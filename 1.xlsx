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VEN35847\Downloads\"/>
    </mc:Choice>
  </mc:AlternateContent>
  <xr:revisionPtr revIDLastSave="0" documentId="8_{7CC8697F-9039-4730-B7E7-2AC61948B2E6}" xr6:coauthVersionLast="47" xr6:coauthVersionMax="47" xr10:uidLastSave="{00000000-0000-0000-0000-000000000000}"/>
  <bookViews>
    <workbookView xWindow="-120" yWindow="-120" windowWidth="20730" windowHeight="11040" xr2:uid="{BC47043B-7CCA-4F6B-800B-49F3124FDF3A}"/>
  </bookViews>
  <sheets>
    <sheet name="Investor Master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T6" i="1" l="1"/>
  <c r="CS6" i="1"/>
  <c r="CU6" i="1" s="1"/>
  <c r="CR6" i="1"/>
  <c r="CP6" i="1"/>
  <c r="CO6" i="1"/>
  <c r="CQ6" i="1" s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CT5" i="1"/>
  <c r="CS5" i="1"/>
  <c r="CU5" i="1" s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CT4" i="1"/>
  <c r="CS4" i="1"/>
  <c r="CU4" i="1" s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CC1" i="1"/>
</calcChain>
</file>

<file path=xl/sharedStrings.xml><?xml version="1.0" encoding="utf-8"?>
<sst xmlns="http://schemas.openxmlformats.org/spreadsheetml/2006/main" count="32462" uniqueCount="11586">
  <si>
    <t xml:space="preserve"> </t>
  </si>
  <si>
    <t>Bank Details</t>
  </si>
  <si>
    <t>PAN Details not Captured</t>
  </si>
  <si>
    <t>Incorrect PAN Details (&lt;10)</t>
  </si>
  <si>
    <t>PAN 4th letter check</t>
  </si>
  <si>
    <t>KYC Details not captured and units allotted</t>
  </si>
  <si>
    <t>KYC on Hold/ Reject / In-Process and units allotted</t>
  </si>
  <si>
    <t>SL_NO</t>
  </si>
  <si>
    <t>FOLIO_NO</t>
  </si>
  <si>
    <t>INVESTOR_F</t>
  </si>
  <si>
    <t>FOLIO_CREA</t>
  </si>
  <si>
    <t>DATE_OF_BI</t>
  </si>
  <si>
    <t>DP_ID</t>
  </si>
  <si>
    <t>EXCHANGE_F</t>
  </si>
  <si>
    <t>FATCA_COMP</t>
  </si>
  <si>
    <t>FATCA_COM""</t>
  </si>
  <si>
    <t>INCOME_COD</t>
  </si>
  <si>
    <t>INCOME_DES</t>
  </si>
  <si>
    <t>OCCUP_CODE</t>
  </si>
  <si>
    <t>OCCUPATION</t>
  </si>
  <si>
    <t>TAX_NO</t>
  </si>
  <si>
    <t>INVESTOR_K</t>
  </si>
  <si>
    <t>GUARDIAN</t>
  </si>
  <si>
    <t>GUARDIAN_P</t>
  </si>
  <si>
    <t>IM_GUARDIA</t>
  </si>
  <si>
    <t>JH1_FIRST_</t>
  </si>
  <si>
    <t>JH1_PAN</t>
  </si>
  <si>
    <t>JH1_KYC_ST</t>
  </si>
  <si>
    <t>JH2_FIRST_</t>
  </si>
  <si>
    <t>JH2_PAN</t>
  </si>
  <si>
    <t>JH2_KYC_ST</t>
  </si>
  <si>
    <t>TAX_STATUS</t>
  </si>
  <si>
    <t>TAX_STATU1</t>
  </si>
  <si>
    <t>DIV_STATUS</t>
  </si>
  <si>
    <t>SCHEME_COD</t>
  </si>
  <si>
    <t>SCHEME_NAM</t>
  </si>
  <si>
    <t>ADDRESS1</t>
  </si>
  <si>
    <t>ADDRESS2</t>
  </si>
  <si>
    <t>ADDRESS3</t>
  </si>
  <si>
    <t>CITY</t>
  </si>
  <si>
    <t>STATE</t>
  </si>
  <si>
    <t>COUNTRY</t>
  </si>
  <si>
    <t>PINCODE</t>
  </si>
  <si>
    <t>PHONE_OFF</t>
  </si>
  <si>
    <t>PHONE_RES</t>
  </si>
  <si>
    <t>EMAIL</t>
  </si>
  <si>
    <t>MOBILE_NO</t>
  </si>
  <si>
    <t>BROK_DLR_C</t>
  </si>
  <si>
    <t>BROK_DLR_N</t>
  </si>
  <si>
    <t>CHANNEL_BR</t>
  </si>
  <si>
    <t>BROK_TAX_N</t>
  </si>
  <si>
    <t>BROK_ADD1</t>
  </si>
  <si>
    <t>BROK_ADD2</t>
  </si>
  <si>
    <t>BROK_ADD3</t>
  </si>
  <si>
    <t>BROK_CITY</t>
  </si>
  <si>
    <t>BROK_PINCO</t>
  </si>
  <si>
    <t>BROK_STAT</t>
  </si>
  <si>
    <t>BROK_MOBIL</t>
  </si>
  <si>
    <t>BROK_EMAIL</t>
  </si>
  <si>
    <t>EMPANELMEN</t>
  </si>
  <si>
    <t>BANK_NAME</t>
  </si>
  <si>
    <t>BRANCH_NAM</t>
  </si>
  <si>
    <t>BANK_CITY</t>
  </si>
  <si>
    <t>AC_TYPE</t>
  </si>
  <si>
    <t>AC_NO</t>
  </si>
  <si>
    <t>MICR_NO</t>
  </si>
  <si>
    <t>IFSC_CODE</t>
  </si>
  <si>
    <t>NEFT_IFSC_</t>
  </si>
  <si>
    <t>PAYOUT_MEC</t>
  </si>
  <si>
    <t>LAST_TRANS</t>
  </si>
  <si>
    <t>ISC_CITY</t>
  </si>
  <si>
    <t>ZONE</t>
  </si>
  <si>
    <t>UNITS</t>
  </si>
  <si>
    <t>AUM</t>
  </si>
  <si>
    <t>IFSC No. not captured</t>
  </si>
  <si>
    <t>IFSC Incorrect</t>
  </si>
  <si>
    <t>Account No. not captured</t>
  </si>
  <si>
    <t>Bank Name not captured</t>
  </si>
  <si>
    <t>First Holder</t>
  </si>
  <si>
    <t>Guardian</t>
  </si>
  <si>
    <t xml:space="preserve">Joint Holder </t>
  </si>
  <si>
    <t>Joint Holder 2</t>
  </si>
  <si>
    <t>Joint Holder</t>
  </si>
  <si>
    <t>Joint Holder 1</t>
  </si>
  <si>
    <t xml:space="preserve">Joint Holder 2 </t>
  </si>
  <si>
    <t>Mobile number</t>
  </si>
  <si>
    <t>Email not Captured</t>
  </si>
  <si>
    <t>Investor Mobile and Email not Captured</t>
  </si>
  <si>
    <t>Folio Created before Emplnement Date</t>
  </si>
  <si>
    <t>Investor Email and broker email same</t>
  </si>
  <si>
    <t>Investor and broker phone number  same</t>
  </si>
  <si>
    <t xml:space="preserve">Email and phone number of broker </t>
  </si>
  <si>
    <t>1050179713</t>
  </si>
  <si>
    <t>Sandip Kumar Mukhopadhyay</t>
  </si>
  <si>
    <t>Y</t>
  </si>
  <si>
    <t>33</t>
  </si>
  <si>
    <t>5-10 Lacs</t>
  </si>
  <si>
    <t>41</t>
  </si>
  <si>
    <t>Private Sector Service</t>
  </si>
  <si>
    <t>AFFPM4721A</t>
  </si>
  <si>
    <t>Ok</t>
  </si>
  <si>
    <t>01</t>
  </si>
  <si>
    <t>Individual</t>
  </si>
  <si>
    <t>R</t>
  </si>
  <si>
    <t>261G</t>
  </si>
  <si>
    <t>Aditya Birla Sun Life Dividend Yield Fund - Growth-Regular Plan</t>
  </si>
  <si>
    <t>CJ-275 SALT LAKE SECTOR II</t>
  </si>
  <si>
    <t>Sec 2 Bidhannagar</t>
  </si>
  <si>
    <t>Sech Bhawan</t>
  </si>
  <si>
    <t>Kolkata</t>
  </si>
  <si>
    <t>WB</t>
  </si>
  <si>
    <t>India</t>
  </si>
  <si>
    <t>700091</t>
  </si>
  <si>
    <t>drsandipkumarmukhopadhyay@gmail.com</t>
  </si>
  <si>
    <t>+919831243098</t>
  </si>
  <si>
    <t>ARN-0005</t>
  </si>
  <si>
    <t>HDFC Bank Limited</t>
  </si>
  <si>
    <t>N</t>
  </si>
  <si>
    <t>AAACH2702H</t>
  </si>
  <si>
    <t>HDFC Bank Ltd HDFC Bank House</t>
  </si>
  <si>
    <t>3rd Floor C S No 6/242</t>
  </si>
  <si>
    <t>Senapati Bapat Marg Lower Parel</t>
  </si>
  <si>
    <t>Mumbai</t>
  </si>
  <si>
    <t>400013</t>
  </si>
  <si>
    <t>MA</t>
  </si>
  <si>
    <t>+919323503362</t>
  </si>
  <si>
    <t>mandar.masurekar@hdfc.bank.in</t>
  </si>
  <si>
    <t>HDFC Bank Ltd</t>
  </si>
  <si>
    <t>KOLKATA - SALT LAKE - SECTOR II</t>
  </si>
  <si>
    <t>KOLKATA</t>
  </si>
  <si>
    <t>SB</t>
  </si>
  <si>
    <t>50100273696360</t>
  </si>
  <si>
    <t>HDFC0000277</t>
  </si>
  <si>
    <t>DCHDFC</t>
  </si>
  <si>
    <t>C1KST</t>
  </si>
  <si>
    <t>East</t>
  </si>
  <si>
    <t>1050187588</t>
  </si>
  <si>
    <t>Parmar Vishnu Ramubhai</t>
  </si>
  <si>
    <t>1203320282679691</t>
  </si>
  <si>
    <t>BSE</t>
  </si>
  <si>
    <t>08</t>
  </si>
  <si>
    <t>Others</t>
  </si>
  <si>
    <t>GHKPR9144H</t>
  </si>
  <si>
    <t>66Y</t>
  </si>
  <si>
    <t>Aditya Birla Sun Life PSU Equity Fund Direct-Growth</t>
  </si>
  <si>
    <t>KHODIYAR MATANI CHALI IS ZALAK</t>
  </si>
  <si>
    <t>COMPLEX GUPTANAGAR VASNA</t>
  </si>
  <si>
    <t>AHMEDABAD CITY AHMEDABAD</t>
  </si>
  <si>
    <t>AHMEDABAD</t>
  </si>
  <si>
    <t>GU</t>
  </si>
  <si>
    <t>380007</t>
  </si>
  <si>
    <t>7016678647</t>
  </si>
  <si>
    <t>vishnuparmar9148@gmail.com</t>
  </si>
  <si>
    <t>+917016678647</t>
  </si>
  <si>
    <t>INZ000161534</t>
  </si>
  <si>
    <t>ANGEL BROKING LIMITED</t>
  </si>
  <si>
    <t>AAACM6094R</t>
  </si>
  <si>
    <t>Angel Broking limited G1 akrutiradecentr</t>
  </si>
  <si>
    <t>midcrd no.7 Andherie</t>
  </si>
  <si>
    <t>+918655937471</t>
  </si>
  <si>
    <t>mfdirect@angelbroking.com</t>
  </si>
  <si>
    <t>KOTAK MAHINDRA BANK LIMITED</t>
  </si>
  <si>
    <t>SANAND BRANCH AHMEDABAD</t>
  </si>
  <si>
    <t>SANAND</t>
  </si>
  <si>
    <t>0547388951</t>
  </si>
  <si>
    <t>KKBK0002561</t>
  </si>
  <si>
    <t>NEFT</t>
  </si>
  <si>
    <t>B2</t>
  </si>
  <si>
    <t>Bangalore</t>
  </si>
  <si>
    <t>South</t>
  </si>
  <si>
    <t>1050193568</t>
  </si>
  <si>
    <t>Saransh Amratlal Shahare</t>
  </si>
  <si>
    <t>NIOPS5852P</t>
  </si>
  <si>
    <t>100Y</t>
  </si>
  <si>
    <t>Aditya Birla Sun Life Silver ETF Fund of Fund Direct Growth</t>
  </si>
  <si>
    <t>AT, KALARTOLA PO.KOTRA TA,SALEKASA, KOTARA GONDIYA,</t>
  </si>
  <si>
    <t>MAHARASHTRA</t>
  </si>
  <si>
    <t>KOTARA</t>
  </si>
  <si>
    <t>441902</t>
  </si>
  <si>
    <t>saranshshahare@gmail.com</t>
  </si>
  <si>
    <t>+917498646188</t>
  </si>
  <si>
    <t>INZ000240532</t>
  </si>
  <si>
    <t>Paytm money limited</t>
  </si>
  <si>
    <t>AAJCP4398N</t>
  </si>
  <si>
    <t>First Floor Devika tower Nehru</t>
  </si>
  <si>
    <t>Place</t>
  </si>
  <si>
    <t>Delhi</t>
  </si>
  <si>
    <t>110019</t>
  </si>
  <si>
    <t>ND</t>
  </si>
  <si>
    <t>mailbackcams@paytmmoney.com</t>
  </si>
  <si>
    <t>BANK OF MAHARASHTRA</t>
  </si>
  <si>
    <t>SATGAON</t>
  </si>
  <si>
    <t>60365375150</t>
  </si>
  <si>
    <t>MAHB0000752</t>
  </si>
  <si>
    <t>DC</t>
  </si>
  <si>
    <t>B1</t>
  </si>
  <si>
    <t>West</t>
  </si>
  <si>
    <t>1050193907</t>
  </si>
  <si>
    <t>SHABANA SOHAIL KHAN</t>
  </si>
  <si>
    <t>1206420012840645</t>
  </si>
  <si>
    <t>AIPPP9998P</t>
  </si>
  <si>
    <t>295G</t>
  </si>
  <si>
    <t>Aditya Birla Sun Life Small Cap Fund Growth-Regular Plan</t>
  </si>
  <si>
    <t>FLAT NO 2004, B TOWER, LODHA B</t>
  </si>
  <si>
    <t>ELAIR PATEL ESTATE ROAD NEAR P</t>
  </si>
  <si>
    <t>ATEL CORPORATE PARK JOGESHWARI</t>
  </si>
  <si>
    <t>MUMBAI SUBURBAN</t>
  </si>
  <si>
    <t>400102</t>
  </si>
  <si>
    <t>ARN-0155</t>
  </si>
  <si>
    <t>NJ IndiaInvest Pvt Ltd</t>
  </si>
  <si>
    <t>AABCN2790G</t>
  </si>
  <si>
    <t>801-802, 8 Floor, B - Tower</t>
  </si>
  <si>
    <t>Udhna Udyog Nagar Sangh</t>
  </si>
  <si>
    <t>Comm Complex Rd No:10, Udhna</t>
  </si>
  <si>
    <t>Surat</t>
  </si>
  <si>
    <t>394210</t>
  </si>
  <si>
    <t>7046017140</t>
  </si>
  <si>
    <t>customercare.mf@info.njgroup.in</t>
  </si>
  <si>
    <t>ICICI BANK LTD</t>
  </si>
  <si>
    <t>MUMBAI</t>
  </si>
  <si>
    <t>037701528599</t>
  </si>
  <si>
    <t>M3</t>
  </si>
  <si>
    <t>Chennai</t>
  </si>
  <si>
    <t>1050197575</t>
  </si>
  <si>
    <t>Roshan Kumar</t>
  </si>
  <si>
    <t>1203320394553144</t>
  </si>
  <si>
    <t>EPXPK9259B</t>
  </si>
  <si>
    <t>845 WARD NO 02 AHMADPUR</t>
  </si>
  <si>
    <t>AHMADPUR AHMADPUR SAMASTIPUR</t>
  </si>
  <si>
    <t>BIHAR</t>
  </si>
  <si>
    <t>DALSINGHSARAI</t>
  </si>
  <si>
    <t>BH</t>
  </si>
  <si>
    <t>848505</t>
  </si>
  <si>
    <t>9939873123</t>
  </si>
  <si>
    <t>rk2282686@gmail.com</t>
  </si>
  <si>
    <t>+919939873123</t>
  </si>
  <si>
    <t>CENTRAL BANK OF INDIA</t>
  </si>
  <si>
    <t>SARAIRANJAN</t>
  </si>
  <si>
    <t>SARAE RANJAN</t>
  </si>
  <si>
    <t>00000003191677436</t>
  </si>
  <si>
    <t>CBIN0280058</t>
  </si>
  <si>
    <t>1050219384</t>
  </si>
  <si>
    <t>Chintankumar Sanjaykumar Mahant</t>
  </si>
  <si>
    <t>1208870018828388</t>
  </si>
  <si>
    <t>02</t>
  </si>
  <si>
    <t>Service</t>
  </si>
  <si>
    <t>CDAPM4452R</t>
  </si>
  <si>
    <t>153GZ</t>
  </si>
  <si>
    <t>Aditya Birla Sun Life Liquid Fund - Growth-Direct Plan</t>
  </si>
  <si>
    <t>MAIN BAZAR ROAD, NEAR HANUMAN TEMPLE</t>
  </si>
  <si>
    <t>SANSOLI, KALOL, PANCHMAHALS</t>
  </si>
  <si>
    <t>PANCH MAHALS</t>
  </si>
  <si>
    <t>389330</t>
  </si>
  <si>
    <t>chintanmahant2012@gmail.com</t>
  </si>
  <si>
    <t>+919898811871</t>
  </si>
  <si>
    <t>INZ000208032</t>
  </si>
  <si>
    <t>NEXTBILLION TECHNOLOGY PVT LTD</t>
  </si>
  <si>
    <t>AAFCN2181H</t>
  </si>
  <si>
    <t>1A-206 CALDRA,DIVYASREE</t>
  </si>
  <si>
    <t>ELAN SARJAPUR ROAD,</t>
  </si>
  <si>
    <t>BANGALORE</t>
  </si>
  <si>
    <t>560035</t>
  </si>
  <si>
    <t>KA</t>
  </si>
  <si>
    <t>+919108800604</t>
  </si>
  <si>
    <t>mfi.mailback@groww.in</t>
  </si>
  <si>
    <t>BANK OF BARODA</t>
  </si>
  <si>
    <t>SANSOLI GUJARAT</t>
  </si>
  <si>
    <t>SANSOLI</t>
  </si>
  <si>
    <t>14780100002869</t>
  </si>
  <si>
    <t>BARB0SANSOL</t>
  </si>
  <si>
    <t>1050243174</t>
  </si>
  <si>
    <t>Rutuja Baban Gadge</t>
  </si>
  <si>
    <t>1208870233268868</t>
  </si>
  <si>
    <t>CUMPG0027M</t>
  </si>
  <si>
    <t>D/O: BABAN GADGE,AT POST NIMAGAON SAWA,</t>
  </si>
  <si>
    <t>TAL-JUNNAR,BAGWADI,NIMGAON</t>
  </si>
  <si>
    <t>SAWA,JUNNAR,NIMGAON</t>
  </si>
  <si>
    <t>PUNE</t>
  </si>
  <si>
    <t>410504</t>
  </si>
  <si>
    <t>rutujagadge2003@gmail.com</t>
  </si>
  <si>
    <t>+919322869758</t>
  </si>
  <si>
    <t>NIMGAON SAVA</t>
  </si>
  <si>
    <t>JUNNAR</t>
  </si>
  <si>
    <t>25034329893</t>
  </si>
  <si>
    <t>MAHB0000967</t>
  </si>
  <si>
    <t>1050194402</t>
  </si>
  <si>
    <t>Ranjeet Kumar Barnwal</t>
  </si>
  <si>
    <t>32</t>
  </si>
  <si>
    <t>1-5 Lacs</t>
  </si>
  <si>
    <t>1</t>
  </si>
  <si>
    <t>Business</t>
  </si>
  <si>
    <t>AOHPB3782P</t>
  </si>
  <si>
    <t>117B</t>
  </si>
  <si>
    <t>Aditya Birla Sun Life Multi Asset Allocation Fund-Reg Gro</t>
  </si>
  <si>
    <t>FLAT NO 304</t>
  </si>
  <si>
    <t>HARI KUNJ APARTMENT</t>
  </si>
  <si>
    <t>MATKURIA OLD GURUDWARA MATKURIA</t>
  </si>
  <si>
    <t>DHANBAD</t>
  </si>
  <si>
    <t>JD</t>
  </si>
  <si>
    <t>826001</t>
  </si>
  <si>
    <t>pdrkb2605@gmail.com</t>
  </si>
  <si>
    <t>+919835592953</t>
  </si>
  <si>
    <t>ARN-69162</t>
  </si>
  <si>
    <t>Sandeep Kumar Burnwal</t>
  </si>
  <si>
    <t>AHXPB3394C</t>
  </si>
  <si>
    <t>Putki Main Road</t>
  </si>
  <si>
    <t>Near Cinema Hall</t>
  </si>
  <si>
    <t>Po Kusunda,Dhanbad-Dist</t>
  </si>
  <si>
    <t>828116</t>
  </si>
  <si>
    <t>JH</t>
  </si>
  <si>
    <t>+919471166688</t>
  </si>
  <si>
    <t>sandeepbaranwaldhn@gmail.com</t>
  </si>
  <si>
    <t>BANK OF INDIA</t>
  </si>
  <si>
    <t>GODHUR</t>
  </si>
  <si>
    <t>470810100010951</t>
  </si>
  <si>
    <t>826013011</t>
  </si>
  <si>
    <t>BKID0004705</t>
  </si>
  <si>
    <t>326</t>
  </si>
  <si>
    <t>Dhanbad</t>
  </si>
  <si>
    <t>1050211470</t>
  </si>
  <si>
    <t>Angur Chauhan</t>
  </si>
  <si>
    <t>1208870428212106</t>
  </si>
  <si>
    <t>CPFPC0782K</t>
  </si>
  <si>
    <t>S O RAMPRIT CHAUHAN BAIKUNTHPUR</t>
  </si>
  <si>
    <t>DUDHAI DUDHI TAMKUHI RAJ KUSHINAGAR</t>
  </si>
  <si>
    <t>UTTAR PRADESH 274302 INDIA</t>
  </si>
  <si>
    <t>KUSHINAGAR</t>
  </si>
  <si>
    <t>UP</t>
  </si>
  <si>
    <t>274302</t>
  </si>
  <si>
    <t>angurchauhan7888665642@gmail.com</t>
  </si>
  <si>
    <t>+917888665642</t>
  </si>
  <si>
    <t>STATE BANK OF INDIA</t>
  </si>
  <si>
    <t>DUDHAI</t>
  </si>
  <si>
    <t>MAUNATH BHANJAN</t>
  </si>
  <si>
    <t>00000043520065514</t>
  </si>
  <si>
    <t>SBIN0013321</t>
  </si>
  <si>
    <t>1050211364</t>
  </si>
  <si>
    <t>Prem Chand Yadav</t>
  </si>
  <si>
    <t>1203320201263281</t>
  </si>
  <si>
    <t>AHNPY0600L</t>
  </si>
  <si>
    <t>VILLAGE GHARWATAND POST CHAMPI</t>
  </si>
  <si>
    <t>THANA PETERWAR GHARWATAND</t>
  </si>
  <si>
    <t>BOKARO JHARKHAND</t>
  </si>
  <si>
    <t>BOKARO</t>
  </si>
  <si>
    <t>JK</t>
  </si>
  <si>
    <t>829123</t>
  </si>
  <si>
    <t>8709388310</t>
  </si>
  <si>
    <t>premkumarspf@gmail.com</t>
  </si>
  <si>
    <t>+918709388310</t>
  </si>
  <si>
    <t>AXIS BANK</t>
  </si>
  <si>
    <t>GUMIA</t>
  </si>
  <si>
    <t>922010016865129</t>
  </si>
  <si>
    <t>UTIB0001631</t>
  </si>
  <si>
    <t>1050212884</t>
  </si>
  <si>
    <t>Aditya</t>
  </si>
  <si>
    <t>ETJPA0241K</t>
  </si>
  <si>
    <t>S/O HIRA LAL,A-374/2 AMAR PURI NABI KARIM PAHAR</t>
  </si>
  <si>
    <t>GANJ,NABI KARIM,SWAMI RAM TIRTH NAGAR,CENTRAL</t>
  </si>
  <si>
    <t>DELHI,DELHI</t>
  </si>
  <si>
    <t>CENTRAL DELHI</t>
  </si>
  <si>
    <t>110055</t>
  </si>
  <si>
    <t>kaditay947@gmail.com</t>
  </si>
  <si>
    <t>+919540001840</t>
  </si>
  <si>
    <t>UNION BANK OF INDIA</t>
  </si>
  <si>
    <t>PAHAR GANJ  NEW DELHI</t>
  </si>
  <si>
    <t>DELHI</t>
  </si>
  <si>
    <t>357102010055517</t>
  </si>
  <si>
    <t>UBIN0535711</t>
  </si>
  <si>
    <t>1050225250</t>
  </si>
  <si>
    <t>Chanchal Jain</t>
  </si>
  <si>
    <t>1208870392858645</t>
  </si>
  <si>
    <t>ADQPJ2601R</t>
  </si>
  <si>
    <t>W O DINESH JAIN 3 RAMCHANDRA NAGAR EXT</t>
  </si>
  <si>
    <t>AIR PORT ROAD INDORE INDORE MADHYA</t>
  </si>
  <si>
    <t>PRADESH 452005</t>
  </si>
  <si>
    <t>INDORE</t>
  </si>
  <si>
    <t>MP</t>
  </si>
  <si>
    <t>452005</t>
  </si>
  <si>
    <t>21dr.chanchal@gmail.com</t>
  </si>
  <si>
    <t>+919826677172</t>
  </si>
  <si>
    <t>INDORE CITY</t>
  </si>
  <si>
    <t>00000010703281502</t>
  </si>
  <si>
    <t>SBIN0000388</t>
  </si>
  <si>
    <t>1050226104</t>
  </si>
  <si>
    <t>Natasha Gupta</t>
  </si>
  <si>
    <t>1208870438313234</t>
  </si>
  <si>
    <t>BEYPG9202D</t>
  </si>
  <si>
    <t>51Z</t>
  </si>
  <si>
    <t>Aditya Birla Sun Life Flexi Cap Fund - Growth-Direct Plan</t>
  </si>
  <si>
    <t>D/O: MANOJ KUMAR GUPTA,104,SURYA</t>
  </si>
  <si>
    <t>APARTMENT,VIJAY NAGAR,,BELAN</t>
  </si>
  <si>
    <t>GANJ,,AGRA,UTTAR PRADESH,282004</t>
  </si>
  <si>
    <t>AGRA</t>
  </si>
  <si>
    <t>282004</t>
  </si>
  <si>
    <t>natasha.gupta104@gmail.com</t>
  </si>
  <si>
    <t>+918860964882</t>
  </si>
  <si>
    <t>AGRA CITY</t>
  </si>
  <si>
    <t>00000031933340583</t>
  </si>
  <si>
    <t>SBIN0000593</t>
  </si>
  <si>
    <t>1050225523</t>
  </si>
  <si>
    <t>Rajni Dandawate</t>
  </si>
  <si>
    <t>ADTPD5357R</t>
  </si>
  <si>
    <t>51</t>
  </si>
  <si>
    <t>Aditya Birla Sun Life Flexi Cap Fund - Growth-Regular Plan</t>
  </si>
  <si>
    <t>W/O ARUN KUMAR DANDAWATE NEAR NAVIN</t>
  </si>
  <si>
    <t>ATA CHAKKI H NO 186 C-SECTOR KOLAR ROAD</t>
  </si>
  <si>
    <t>DAMKHEDA</t>
  </si>
  <si>
    <t>BHOPAL</t>
  </si>
  <si>
    <t>462042</t>
  </si>
  <si>
    <t>rajnidandawate@gmail.com</t>
  </si>
  <si>
    <t>+919893762186</t>
  </si>
  <si>
    <t>ARN-253102</t>
  </si>
  <si>
    <t>MANSI ASERKAR</t>
  </si>
  <si>
    <t>APIPA0559F</t>
  </si>
  <si>
    <t>MIG - 121,SHANTI VIHAR COLONYMakroniya</t>
  </si>
  <si>
    <t>Muhal,RAJAKKHEDI,Sagar</t>
  </si>
  <si>
    <t>Sagar</t>
  </si>
  <si>
    <t>470004</t>
  </si>
  <si>
    <t>+918921177494</t>
  </si>
  <si>
    <t>mansiaserkar@gmail.com</t>
  </si>
  <si>
    <t>MANDAKINI</t>
  </si>
  <si>
    <t>55005134599</t>
  </si>
  <si>
    <t>462002095</t>
  </si>
  <si>
    <t>SBIN0016842</t>
  </si>
  <si>
    <t>SAG7582</t>
  </si>
  <si>
    <t>1050228703</t>
  </si>
  <si>
    <t>Rashmi Khera</t>
  </si>
  <si>
    <t>ADQPV7994R</t>
  </si>
  <si>
    <t>104B</t>
  </si>
  <si>
    <t>Aditya Birla Sun Life Income plus Arbitrage Active FOF - Growth Regular (formerly known as Aditya Birla Sun Life Debt Plus Arbitrage FOF)</t>
  </si>
  <si>
    <t>A/201 GREENFIELDS LOKHANDWALA COMPL</t>
  </si>
  <si>
    <t>EX OPP HDFC BANK ANDHERI WEST</t>
  </si>
  <si>
    <t>400053</t>
  </si>
  <si>
    <t>vijan.16@gmail.com</t>
  </si>
  <si>
    <t>+919930911126</t>
  </si>
  <si>
    <t>ARN-9992</t>
  </si>
  <si>
    <t>Prudent Corporate Advisory Services Ltd</t>
  </si>
  <si>
    <t>AADCP1830B</t>
  </si>
  <si>
    <t>"Prudent House",panjrapole Cross Road</t>
  </si>
  <si>
    <t>Nr. polytechnic,ambawadi</t>
  </si>
  <si>
    <t>Ahmedabad</t>
  </si>
  <si>
    <t>380015</t>
  </si>
  <si>
    <t>+919327579848</t>
  </si>
  <si>
    <t>info@prudentcorporate.com</t>
  </si>
  <si>
    <t>HDFC BANK</t>
  </si>
  <si>
    <t>MUMBAI  SANTACRUZ WEST</t>
  </si>
  <si>
    <t>00791050077698</t>
  </si>
  <si>
    <t>400240017</t>
  </si>
  <si>
    <t>HDFC0000079</t>
  </si>
  <si>
    <t>1050250912</t>
  </si>
  <si>
    <t>Dhaval Hareshbhai Vaishnav</t>
  </si>
  <si>
    <t>1208870428521048</t>
  </si>
  <si>
    <t>BICPV8281K</t>
  </si>
  <si>
    <t>7813 RADHAVALLABH PARK NEAR NIGAM</t>
  </si>
  <si>
    <t>SOCIETY SMURTI MANDIR ROAD VATVA</t>
  </si>
  <si>
    <t>AHMEDABAD GUJARAT</t>
  </si>
  <si>
    <t>VATVA</t>
  </si>
  <si>
    <t>382440</t>
  </si>
  <si>
    <t>dhavalvaishnav72@gmail.com</t>
  </si>
  <si>
    <t>+918849822364</t>
  </si>
  <si>
    <t>YES BANK</t>
  </si>
  <si>
    <t>SHAHIBAUG AHMEDABAD</t>
  </si>
  <si>
    <t>042050700004242</t>
  </si>
  <si>
    <t>YESB0000420</t>
  </si>
  <si>
    <t>1050255013</t>
  </si>
  <si>
    <t>Dilip Bhatia</t>
  </si>
  <si>
    <t>1208160020144199</t>
  </si>
  <si>
    <t>03</t>
  </si>
  <si>
    <t>Professional</t>
  </si>
  <si>
    <t>AOGPB7273L</t>
  </si>
  <si>
    <t>A 1/74 B</t>
  </si>
  <si>
    <t>LAWRENCE ROAD</t>
  </si>
  <si>
    <t>NORTH WEST DELHI</t>
  </si>
  <si>
    <t>110035</t>
  </si>
  <si>
    <t>dilip.bhatia01@gmail.com</t>
  </si>
  <si>
    <t>+919711481191</t>
  </si>
  <si>
    <t>INZ000031633</t>
  </si>
  <si>
    <t>DETAIL TO BE PROVIDED BY AMC</t>
  </si>
  <si>
    <t>FORM 60</t>
  </si>
  <si>
    <t>ICICI BANK LIMITED</t>
  </si>
  <si>
    <t>GURGAON  CYBER GREENS</t>
  </si>
  <si>
    <t>GURGAON</t>
  </si>
  <si>
    <t>061001516963</t>
  </si>
  <si>
    <t>ICIC0000610</t>
  </si>
  <si>
    <t>1050258336</t>
  </si>
  <si>
    <t>Vinay N</t>
  </si>
  <si>
    <t>CDVPV8576L</t>
  </si>
  <si>
    <t>153G</t>
  </si>
  <si>
    <t>Aditya Birla Sun Life Liquid Fund - Growth-Regular Plan</t>
  </si>
  <si>
    <t>Navagrama</t>
  </si>
  <si>
    <t>BENGALURU</t>
  </si>
  <si>
    <t>560082</t>
  </si>
  <si>
    <t>vn5078601@gmail.com</t>
  </si>
  <si>
    <t>+918123774149</t>
  </si>
  <si>
    <t>ARN-328189</t>
  </si>
  <si>
    <t>Nikhil Nair</t>
  </si>
  <si>
    <t>AMCPN1291N</t>
  </si>
  <si>
    <t>A203, DNR Springleaf, Cauvery Layout,</t>
  </si>
  <si>
    <t>ST Bed</t>
  </si>
  <si>
    <t>1st Block Koramangala,Bangalore South</t>
  </si>
  <si>
    <t>560047</t>
  </si>
  <si>
    <t>9908260606</t>
  </si>
  <si>
    <t>contactnikhilnair10@gmail.com</t>
  </si>
  <si>
    <t>BANGALORE JP NAGAR SEVENTH PHASE</t>
  </si>
  <si>
    <t>7850384519</t>
  </si>
  <si>
    <t>KKBK0008128</t>
  </si>
  <si>
    <t>1050171387</t>
  </si>
  <si>
    <t>Srinivasan Krishna Kumar</t>
  </si>
  <si>
    <t>AAIPK7214N</t>
  </si>
  <si>
    <t>D105</t>
  </si>
  <si>
    <t>Aditya Birla Sun Life Balanced Advantage Fund - Growth Direct</t>
  </si>
  <si>
    <t>C/O: A C SRINIVASAN, NO 14, PLOT 77, , HARI</t>
  </si>
  <si>
    <t>KRIPA, 2ND FLOOR 2ND CROSS STREET, R K</t>
  </si>
  <si>
    <t>NAGAR, , RAJA ANNAMALAIPURAM,</t>
  </si>
  <si>
    <t>CHENNAI</t>
  </si>
  <si>
    <t>TN</t>
  </si>
  <si>
    <t>600028</t>
  </si>
  <si>
    <t>yeskrish@yahoo.co.uk</t>
  </si>
  <si>
    <t>+919003156045</t>
  </si>
  <si>
    <t>INA200005166</t>
  </si>
  <si>
    <t>AREVUK ADVOSORY SERVICES PVT LTD</t>
  </si>
  <si>
    <t>AAOCA0829J</t>
  </si>
  <si>
    <t>E7 CHAITANYA SAMARPAN</t>
  </si>
  <si>
    <t>HSOEKOTE MAIN ROAD</t>
  </si>
  <si>
    <t>KADUGODI</t>
  </si>
  <si>
    <t>560097</t>
  </si>
  <si>
    <t>+918527270558</t>
  </si>
  <si>
    <t>cams.mailback@kuvera.in</t>
  </si>
  <si>
    <t>MANDAVELI</t>
  </si>
  <si>
    <t>05751000017285</t>
  </si>
  <si>
    <t>HDFC0001863</t>
  </si>
  <si>
    <t>1050147937</t>
  </si>
  <si>
    <t>Akshay N T Thontaradhya</t>
  </si>
  <si>
    <t>CIEPT3427J</t>
  </si>
  <si>
    <t>THONTARADHYA 271/A GUNGURUMALA ROAD NONAVINAKERE TUMKUR</t>
  </si>
  <si>
    <t>KARNATAKA 572224</t>
  </si>
  <si>
    <t>TUMKUR</t>
  </si>
  <si>
    <t>572224</t>
  </si>
  <si>
    <t>mayboiakshay@gmail.com</t>
  </si>
  <si>
    <t>+916364182034</t>
  </si>
  <si>
    <t>KARNATAKA BANK LIMITED</t>
  </si>
  <si>
    <t>NONAVINAKERE</t>
  </si>
  <si>
    <t>5332500102272801</t>
  </si>
  <si>
    <t>KARB0000533</t>
  </si>
  <si>
    <t>1050234389</t>
  </si>
  <si>
    <t>Akash Kumar</t>
  </si>
  <si>
    <t>KERPK0137M</t>
  </si>
  <si>
    <t>205RG</t>
  </si>
  <si>
    <t>Aditya Birla Sun Life Arbitrage Fund - Growth-Regular Plan</t>
  </si>
  <si>
    <t>SECTOR 2 B, JHOPRI KHATAL G RO</t>
  </si>
  <si>
    <t>POSTOFFICE BOKARO STEEL CITY</t>
  </si>
  <si>
    <t>827001</t>
  </si>
  <si>
    <t>poojakumari.04021994@gmail.com</t>
  </si>
  <si>
    <t>+916299601863</t>
  </si>
  <si>
    <t>ARN-44706</t>
  </si>
  <si>
    <t>PRAHALAD PRASAD</t>
  </si>
  <si>
    <t>APHPP2019N</t>
  </si>
  <si>
    <t>Qr.No - 3555, Sector - 12 - B</t>
  </si>
  <si>
    <t>Bokaro Steel City,</t>
  </si>
  <si>
    <t>Bokaro</t>
  </si>
  <si>
    <t>827012</t>
  </si>
  <si>
    <t>+919304884385</t>
  </si>
  <si>
    <t>01.drprahalad@gmail.com</t>
  </si>
  <si>
    <t>ADMN BUILDING BOKARO</t>
  </si>
  <si>
    <t>34190070678</t>
  </si>
  <si>
    <t>SBIN0003240</t>
  </si>
  <si>
    <t>6542</t>
  </si>
  <si>
    <t>1050148710</t>
  </si>
  <si>
    <t>Vivek Balyan</t>
  </si>
  <si>
    <t>BBJPB9750P</t>
  </si>
  <si>
    <t>1060</t>
  </si>
  <si>
    <t>Aditya Birla Sun Life Dynamic Asset Allocation Omni FOF -Growth (formerly known as Aditya Birla Sun Life Financial Planning FOF - Aggressive Plan)</t>
  </si>
  <si>
    <t>S O SURESH PAL SINGH BHOPUR BHONPUR</t>
  </si>
  <si>
    <t>SHIKARPUR JAHANGIRABAD BULANDSHAHR</t>
  </si>
  <si>
    <t>UTTAR PRADESH 202394 Bulandshahr</t>
  </si>
  <si>
    <t>Bulandshahr</t>
  </si>
  <si>
    <t>202394</t>
  </si>
  <si>
    <t>vivekbalyan3@gmail.com</t>
  </si>
  <si>
    <t>+919582710185</t>
  </si>
  <si>
    <t>ARN-187821</t>
  </si>
  <si>
    <t>PHONEPE WEALTH BROKING PRIVATE LIMITED</t>
  </si>
  <si>
    <t>AALCP9647E</t>
  </si>
  <si>
    <t>Off-2 Floor 4,5,6,7, Wing-A</t>
  </si>
  <si>
    <t>Block-A Salarpuria Softzone</t>
  </si>
  <si>
    <t>Service Rd Greenglen Layout</t>
  </si>
  <si>
    <t>560037</t>
  </si>
  <si>
    <t>9606243049</t>
  </si>
  <si>
    <t>mf-ops@phonepe.com</t>
  </si>
  <si>
    <t>JAHANGIRABAD</t>
  </si>
  <si>
    <t>00000020007382618</t>
  </si>
  <si>
    <t>SBIN0002364</t>
  </si>
  <si>
    <t>NSEDP</t>
  </si>
  <si>
    <t>WEST</t>
  </si>
  <si>
    <t>1050150771</t>
  </si>
  <si>
    <t>Shimul Biswas</t>
  </si>
  <si>
    <t>1208870144101328</t>
  </si>
  <si>
    <t>AOQPB9958L</t>
  </si>
  <si>
    <t>MATIGANJ,NEAR MADRASA</t>
  </si>
  <si>
    <t>ROAD,JAYPUR,BONGAON(M),NORTH TWENTY</t>
  </si>
  <si>
    <t>FOUR PARGANAS,WEST BENGAL,743235</t>
  </si>
  <si>
    <t>NORTH TWENTY FOUR PARGANAS</t>
  </si>
  <si>
    <t>743235</t>
  </si>
  <si>
    <t>shimulishan@gmail.com</t>
  </si>
  <si>
    <t>+919775645275</t>
  </si>
  <si>
    <t>BADURIA</t>
  </si>
  <si>
    <t>00000033658507564</t>
  </si>
  <si>
    <t>SBIN0002005</t>
  </si>
  <si>
    <t>1050178939</t>
  </si>
  <si>
    <t>Sandeep Debiprasad Chatterjee</t>
  </si>
  <si>
    <t>5</t>
  </si>
  <si>
    <t>Retired</t>
  </si>
  <si>
    <t>AIFPC4521R</t>
  </si>
  <si>
    <t>92</t>
  </si>
  <si>
    <t>Aditya Birla Sun Life Large Cap Fund -Growth-Regular Plan(formerly known as Aditya Birla Sun Life Frontline Equity Fund)</t>
  </si>
  <si>
    <t>B 1/2 Savitri Chs Basav Kalyan Nagar Near Shiv</t>
  </si>
  <si>
    <t>Mandir Road Near Welfare Centre Ambernath</t>
  </si>
  <si>
    <t>Thane</t>
  </si>
  <si>
    <t>421501</t>
  </si>
  <si>
    <t>sandeepchatterjee11@gmail.com</t>
  </si>
  <si>
    <t>+918668487037</t>
  </si>
  <si>
    <t>PCASON</t>
  </si>
  <si>
    <t>Canara Bank</t>
  </si>
  <si>
    <t>AMBERNATH</t>
  </si>
  <si>
    <t>THANE</t>
  </si>
  <si>
    <t>0201101041068</t>
  </si>
  <si>
    <t>400015078</t>
  </si>
  <si>
    <t>CNRB0000201</t>
  </si>
  <si>
    <t>THN22</t>
  </si>
  <si>
    <t>1050155877</t>
  </si>
  <si>
    <t>Rohit Sharma</t>
  </si>
  <si>
    <t>IGHPS3336A</t>
  </si>
  <si>
    <t>S O VINOD KUMAR SHARMA H N0 9 3801</t>
  </si>
  <si>
    <t>NEHRU GALI DHARAM PURA AJIT NAGAR</t>
  </si>
  <si>
    <t>CHOWK GANDHI NAGAR EAST DELHI DELHI</t>
  </si>
  <si>
    <t>East Delhi</t>
  </si>
  <si>
    <t>110031</t>
  </si>
  <si>
    <t>rohitsharmad1416@gmail.com</t>
  </si>
  <si>
    <t>+918882522419</t>
  </si>
  <si>
    <t>KOTAK BANK</t>
  </si>
  <si>
    <t>GANDHI NAGAR MARKET BRANCH</t>
  </si>
  <si>
    <t>0046467409</t>
  </si>
  <si>
    <t>KKBK0004661</t>
  </si>
  <si>
    <t>1050157994</t>
  </si>
  <si>
    <t>Soumili Karmakar</t>
  </si>
  <si>
    <t>LAJPK0511Q</t>
  </si>
  <si>
    <t>B 7/223</t>
  </si>
  <si>
    <t>Kalyani</t>
  </si>
  <si>
    <t>Nadia</t>
  </si>
  <si>
    <t>741235</t>
  </si>
  <si>
    <t>soumili223@gmail.com</t>
  </si>
  <si>
    <t>+919477183563</t>
  </si>
  <si>
    <t>ARN-103230</t>
  </si>
  <si>
    <t>KALIPADA ROY</t>
  </si>
  <si>
    <t>ALIPR8422L</t>
  </si>
  <si>
    <t>C/O:Shiboram roy</t>
  </si>
  <si>
    <t>110/1 J R R Road Bhagabati</t>
  </si>
  <si>
    <t>APT 3RD Flr 3A Nonachandanpukur</t>
  </si>
  <si>
    <t>Barrackpur</t>
  </si>
  <si>
    <t>700122</t>
  </si>
  <si>
    <t>+919830823514</t>
  </si>
  <si>
    <t>roy.kali82@gmail.com</t>
  </si>
  <si>
    <t>INDIAN BANK</t>
  </si>
  <si>
    <t>KALYANI INDUSTRIAL STATE</t>
  </si>
  <si>
    <t>Nadiad</t>
  </si>
  <si>
    <t>50212300310</t>
  </si>
  <si>
    <t>700019214</t>
  </si>
  <si>
    <t>IDIB000K546</t>
  </si>
  <si>
    <t>KAL_33</t>
  </si>
  <si>
    <t>1050161165</t>
  </si>
  <si>
    <t>Lanka Nischita</t>
  </si>
  <si>
    <t>CVNPN0478H</t>
  </si>
  <si>
    <t>303GZ</t>
  </si>
  <si>
    <t>Aditya Birla Sun Life Medium Term Plan - Growth-Direct Plan</t>
  </si>
  <si>
    <t>D O LANKA VENKATA NARASIMHA RAO 20 74 8 FLAT</t>
  </si>
  <si>
    <t>NO 305 SAI DHARSHAN APARTMENT GAUTHAM NAGAR MALKAJGIRI</t>
  </si>
  <si>
    <t>MALKAJGIRI MALKAJGIRI K V RANGAREDDY TELANGANA 500047</t>
  </si>
  <si>
    <t>K.V. RANGAREDDY</t>
  </si>
  <si>
    <t>TE</t>
  </si>
  <si>
    <t>500047</t>
  </si>
  <si>
    <t>nischitalanka@gmail.com</t>
  </si>
  <si>
    <t>+917075361540</t>
  </si>
  <si>
    <t>MALKAJGIRI HYDERABAD</t>
  </si>
  <si>
    <t>MALKAJGIRI</t>
  </si>
  <si>
    <t>50100538020060</t>
  </si>
  <si>
    <t>HDFC0001022</t>
  </si>
  <si>
    <t>1050240704</t>
  </si>
  <si>
    <t>Sneh Lata Yadav</t>
  </si>
  <si>
    <t>06</t>
  </si>
  <si>
    <t>Housewife</t>
  </si>
  <si>
    <t>AMUPY3557A</t>
  </si>
  <si>
    <t>C/O SUMER SINGH YADAV,146/A2,SECTOR</t>
  </si>
  <si>
    <t>3,ROHINI,JAIPUR GOLDEN HOSPITAL,ROHINI,ROHINI</t>
  </si>
  <si>
    <t>SECTOR-7,NORTH WEST DELHI,DELHI</t>
  </si>
  <si>
    <t>110085</t>
  </si>
  <si>
    <t>+919891675428</t>
  </si>
  <si>
    <t>DEEPALI ENCLAVE NEW DELHI</t>
  </si>
  <si>
    <t>914010040209499</t>
  </si>
  <si>
    <t>UTIB0001105</t>
  </si>
  <si>
    <t>1050191227</t>
  </si>
  <si>
    <t>Vibhuti Sharma</t>
  </si>
  <si>
    <t>1208160162384217</t>
  </si>
  <si>
    <t>BCYPS6099E</t>
  </si>
  <si>
    <t>205GZ</t>
  </si>
  <si>
    <t>Aditya Birla Sun Life Arbitrage Fund - Growth-Direct Plan</t>
  </si>
  <si>
    <t>WIFE OF VIJAY KUMAR SHARMA HOUSE NO 4314</t>
  </si>
  <si>
    <t>SECTOR 23 A NEAR NORTH CAP UNIVERSITY C</t>
  </si>
  <si>
    <t>ARTERPURI CARTARPURI ALIAS DAULATPUR NAS</t>
  </si>
  <si>
    <t>HA</t>
  </si>
  <si>
    <t>122017</t>
  </si>
  <si>
    <t>67.veekay@gmail.com</t>
  </si>
  <si>
    <t>+919461476050</t>
  </si>
  <si>
    <t>DLF CORPORATE GREENS</t>
  </si>
  <si>
    <t>ABHEYPUR</t>
  </si>
  <si>
    <t>402601502749</t>
  </si>
  <si>
    <t>ICIC0004026</t>
  </si>
  <si>
    <t>1050191891</t>
  </si>
  <si>
    <t>MARSONS LIMITED</t>
  </si>
  <si>
    <t>AABCM9906H</t>
  </si>
  <si>
    <t>Public Limited Company</t>
  </si>
  <si>
    <t>C</t>
  </si>
  <si>
    <t>132G</t>
  </si>
  <si>
    <t>Aditya Birla Sun Life Savings Fund - Growth-Regular Plan</t>
  </si>
  <si>
    <t>BUDGE BUDGE TRUNK ROAD CHAKMIR</t>
  </si>
  <si>
    <t>MAHESHTALA</t>
  </si>
  <si>
    <t>700142</t>
  </si>
  <si>
    <t>sultana@marsonsonline.com</t>
  </si>
  <si>
    <t>+919007004231</t>
  </si>
  <si>
    <t>ARN-82807</t>
  </si>
  <si>
    <t>ONTRUST CAPITAL MARKETS (P) LTD</t>
  </si>
  <si>
    <t>AABCO3341E</t>
  </si>
  <si>
    <t>404, Sikkim Commerce House</t>
  </si>
  <si>
    <t>4/1 Middleton Street</t>
  </si>
  <si>
    <t>Room No 404</t>
  </si>
  <si>
    <t>700071</t>
  </si>
  <si>
    <t>+919830811224</t>
  </si>
  <si>
    <t>mf@ontrustcap.com</t>
  </si>
  <si>
    <t>KOLKATA CHOWRANGHEE</t>
  </si>
  <si>
    <t>CB</t>
  </si>
  <si>
    <t>417705500278</t>
  </si>
  <si>
    <t>ICIC0006947</t>
  </si>
  <si>
    <t>1050192783</t>
  </si>
  <si>
    <t>Harshit Sharma</t>
  </si>
  <si>
    <t>ILHPS4686A</t>
  </si>
  <si>
    <t>S/O JAI PRAKASH SHARMA, 127/275, W 1 SAKET NAGAR, JUHI</t>
  </si>
  <si>
    <t>COLONY, JUHI COLONY, KANPUR, KANPUR NAGAR, UTTAR</t>
  </si>
  <si>
    <t>PRADESH, 208014, INDIA</t>
  </si>
  <si>
    <t>KANPUR NAGAR</t>
  </si>
  <si>
    <t>208014</t>
  </si>
  <si>
    <t>sharma.harshit026@yahoo.com</t>
  </si>
  <si>
    <t>+919792613361</t>
  </si>
  <si>
    <t>ARN-124591</t>
  </si>
  <si>
    <t>AU SMALL FINANCE BANK LIMITED</t>
  </si>
  <si>
    <t>AAACL2777N</t>
  </si>
  <si>
    <t>19 A Dhuleshwar Garden</t>
  </si>
  <si>
    <t>Ajmer Road</t>
  </si>
  <si>
    <t>JAIPUR</t>
  </si>
  <si>
    <t>302021</t>
  </si>
  <si>
    <t>RA</t>
  </si>
  <si>
    <t>+918905996330</t>
  </si>
  <si>
    <t>wealth@aubank.in</t>
  </si>
  <si>
    <t>MUMBAIANDHERI KURLA ROAD</t>
  </si>
  <si>
    <t>2401248763235182</t>
  </si>
  <si>
    <t>AUBL0002340</t>
  </si>
  <si>
    <t>1050185154</t>
  </si>
  <si>
    <t>Sonali Rahul Singh</t>
  </si>
  <si>
    <t>FFBPS7705P</t>
  </si>
  <si>
    <t>SHIVSHAKTI A WING 2ND FLOOR ROOM NO 104</t>
  </si>
  <si>
    <t>DR D L ROAD NR CHINCHPOKLI STATION</t>
  </si>
  <si>
    <t>CHINCHPOKLI EAST</t>
  </si>
  <si>
    <t>400012</t>
  </si>
  <si>
    <t>sonali20890@gmail.com</t>
  </si>
  <si>
    <t>+919082536136</t>
  </si>
  <si>
    <t>ARN-0058</t>
  </si>
  <si>
    <t>IDBI Bank Ltd</t>
  </si>
  <si>
    <t>AABCI8842G</t>
  </si>
  <si>
    <t>Retail Banking Group</t>
  </si>
  <si>
    <t>13th Floor, IDBI Tower</t>
  </si>
  <si>
    <t>WTC Complex, Cuffe Parade</t>
  </si>
  <si>
    <t>400005</t>
  </si>
  <si>
    <t>7004991136</t>
  </si>
  <si>
    <t>tpd@idbi.co.in</t>
  </si>
  <si>
    <t>IDBI BANK LTD</t>
  </si>
  <si>
    <t>PAREL LALBAUG</t>
  </si>
  <si>
    <t>0726104000046899</t>
  </si>
  <si>
    <t>IBKL0000726</t>
  </si>
  <si>
    <t>BMUMTM</t>
  </si>
  <si>
    <t>1050190092</t>
  </si>
  <si>
    <t>PATEL PURVI P</t>
  </si>
  <si>
    <t>ASUPP0774G</t>
  </si>
  <si>
    <t>71B</t>
  </si>
  <si>
    <t>Aditya Birla Sun Life Multi-Cap Fund Regular Growth</t>
  </si>
  <si>
    <t>C/O PRAGNESHBHAI,PALM B/103 PARSHWANATH PATEL</t>
  </si>
  <si>
    <t>TAPOVAN CIRCLE,SUGHAD</t>
  </si>
  <si>
    <t>AHMEDABAD CITY,AHMEDABAD,CHANDKHEDA</t>
  </si>
  <si>
    <t>380005</t>
  </si>
  <si>
    <t>pppatel210815@gmail.com</t>
  </si>
  <si>
    <t>+918511096688</t>
  </si>
  <si>
    <t>ARN-135259</t>
  </si>
  <si>
    <t>SHAH PARAG G</t>
  </si>
  <si>
    <t>AYYPS3019D</t>
  </si>
  <si>
    <t>114-D ,TITENIUM CITY CENTRE,</t>
  </si>
  <si>
    <t>NR.SACHIN TOWERS, 100 FEET RING ROAD</t>
  </si>
  <si>
    <t>ANANDNAGAR SATELLITE</t>
  </si>
  <si>
    <t>+919898186831</t>
  </si>
  <si>
    <t>shah.parag411@yahoo.com</t>
  </si>
  <si>
    <t>IIT GANDHINAGAR</t>
  </si>
  <si>
    <t>GANDHINAGAR</t>
  </si>
  <si>
    <t>30167048484</t>
  </si>
  <si>
    <t>SBIN0011770</t>
  </si>
  <si>
    <t>1050198768</t>
  </si>
  <si>
    <t>Kripal Ashokbhai Parmar</t>
  </si>
  <si>
    <t>CXPPP2681G</t>
  </si>
  <si>
    <t>66B</t>
  </si>
  <si>
    <t>Aditya Birla Sun Life PSU Equity Fund Regular-Growth</t>
  </si>
  <si>
    <t>STREET NO 2 MADHAVPARK, NEAR TAGOR SOCIETY</t>
  </si>
  <si>
    <t>SURENDRANAGAR</t>
  </si>
  <si>
    <t>SURENDRA NAGAR, GUJARAT</t>
  </si>
  <si>
    <t>SURENDRA NAGAR</t>
  </si>
  <si>
    <t>363001</t>
  </si>
  <si>
    <t>varshaparmar1031@gmail.com</t>
  </si>
  <si>
    <t>+919898111463</t>
  </si>
  <si>
    <t>VADIPARA SURENDRA NAGAR</t>
  </si>
  <si>
    <t>00000020093325294</t>
  </si>
  <si>
    <t>SBIN0060101</t>
  </si>
  <si>
    <t>1050200120</t>
  </si>
  <si>
    <t>R Vikas</t>
  </si>
  <si>
    <t>AXCPV2701Q</t>
  </si>
  <si>
    <t>292GZ</t>
  </si>
  <si>
    <t>Aditya Birla Sun Life Focused  Fund - Growth-Direct Plan</t>
  </si>
  <si>
    <t>C/O B N RAMESH NO6 SRI SAI MEDOWS FLAT 101 4TH BLOCK</t>
  </si>
  <si>
    <t>5TH MAIN THYAGARAJANAGAR MOOKAMBIKA SCHOOL</t>
  </si>
  <si>
    <t>BANASHANKARI II STAGE TYAGRAJNAGAR</t>
  </si>
  <si>
    <t>560070</t>
  </si>
  <si>
    <t>vikas3595@gmail.com</t>
  </si>
  <si>
    <t>+917795050597</t>
  </si>
  <si>
    <t>INZ000305337</t>
  </si>
  <si>
    <t>INDMONEY PRIVATE LIMITED</t>
  </si>
  <si>
    <t>AAGCI3750E</t>
  </si>
  <si>
    <t>616, 6th Floor, Suncity Success Towers</t>
  </si>
  <si>
    <t>Near Golf Course Extension Road</t>
  </si>
  <si>
    <t>Sector 65, Gurugram,</t>
  </si>
  <si>
    <t>Gurugram</t>
  </si>
  <si>
    <t>+919599278379</t>
  </si>
  <si>
    <t>mailback.mf@indmoney.com</t>
  </si>
  <si>
    <t>KEMPAPURA</t>
  </si>
  <si>
    <t>50100170637620</t>
  </si>
  <si>
    <t>HDFC0004052</t>
  </si>
  <si>
    <t>1050200375</t>
  </si>
  <si>
    <t>Samajit Chatterjee</t>
  </si>
  <si>
    <t>AWVPC8796N</t>
  </si>
  <si>
    <t>105G</t>
  </si>
  <si>
    <t>Aditya Birla Sun Life Balanced Advantage Fund - Growth</t>
  </si>
  <si>
    <t>C/O Sankar Chatterjee C1/E 5 Housing Estate</t>
  </si>
  <si>
    <t>D Block Catr 4 And Cat 3 Kalyani</t>
  </si>
  <si>
    <t>samajitchatterjee@gmail.com</t>
  </si>
  <si>
    <t>+919831761973</t>
  </si>
  <si>
    <t>ARN-326465</t>
  </si>
  <si>
    <t>Aranita Mukherjee</t>
  </si>
  <si>
    <t>DFVPM2151D</t>
  </si>
  <si>
    <t>KANCHRAPARA, 121 BARO JONEPUR</t>
  </si>
  <si>
    <t>,Kanchrapara m</t>
  </si>
  <si>
    <t>Kanchrapara</t>
  </si>
  <si>
    <t>743145</t>
  </si>
  <si>
    <t>7044966833</t>
  </si>
  <si>
    <t>aranitamukherjee36@gmail.com</t>
  </si>
  <si>
    <t>KALYANI IGC</t>
  </si>
  <si>
    <t>33320648806</t>
  </si>
  <si>
    <t>700002332</t>
  </si>
  <si>
    <t>SBIN0006701</t>
  </si>
  <si>
    <t>1050203723</t>
  </si>
  <si>
    <t>Vinod Kumar</t>
  </si>
  <si>
    <t>1208160194101850</t>
  </si>
  <si>
    <t>FATCA not available for Investor/Guardian-DRUPK3665K</t>
  </si>
  <si>
    <t>DRUPK3665K</t>
  </si>
  <si>
    <t>S/O SHRI BABOO HARAMAU HAIDARPUR</t>
  </si>
  <si>
    <t>HAIDARPUR</t>
  </si>
  <si>
    <t>209111</t>
  </si>
  <si>
    <t>vinodkumar78747@gmail.com</t>
  </si>
  <si>
    <t>+919129847038</t>
  </si>
  <si>
    <t>DIGH UP</t>
  </si>
  <si>
    <t>DIGH</t>
  </si>
  <si>
    <t>13670100001731</t>
  </si>
  <si>
    <t>BARB0DIGHXX</t>
  </si>
  <si>
    <t>1050203486</t>
  </si>
  <si>
    <t>Lakshman Roy</t>
  </si>
  <si>
    <t>1204720018346775</t>
  </si>
  <si>
    <t>BVVPR9869R</t>
  </si>
  <si>
    <t>69B</t>
  </si>
  <si>
    <t>Aditya Birla Sun Life Nifty Smallcap 50 Index Fund Regular Growth</t>
  </si>
  <si>
    <t>VILL HOSSENPUR PO ARANGHATA PS DHAN TALA</t>
  </si>
  <si>
    <t>PS DHAN TALA</t>
  </si>
  <si>
    <t>NADIA</t>
  </si>
  <si>
    <t>741501</t>
  </si>
  <si>
    <t>roylakshman88@gmail.com</t>
  </si>
  <si>
    <t>+919474477746</t>
  </si>
  <si>
    <t>ARN-0011</t>
  </si>
  <si>
    <t>SBICAP Securities Limited</t>
  </si>
  <si>
    <t>AAJCS3407M</t>
  </si>
  <si>
    <t>Marathon Futurex,12Th Floor</t>
  </si>
  <si>
    <t>A&amp;B Wing,Mafatlal Mill Compound</t>
  </si>
  <si>
    <t>N.M.Joshi Marg Lower Parel</t>
  </si>
  <si>
    <t>MH</t>
  </si>
  <si>
    <t>9324634624</t>
  </si>
  <si>
    <t>archana.dedhia@sbicapsec.com</t>
  </si>
  <si>
    <t>ARANGHATA</t>
  </si>
  <si>
    <t>30396773601</t>
  </si>
  <si>
    <t>SBIN0011375</t>
  </si>
  <si>
    <t>BSEDP</t>
  </si>
  <si>
    <t>1050207050</t>
  </si>
  <si>
    <t>ANIL ARJUN KAMBALE</t>
  </si>
  <si>
    <t>IQBPK0774G</t>
  </si>
  <si>
    <t>637 Bouddha Vasti Degaon Tal</t>
  </si>
  <si>
    <t>Satara Near Laxmi Temple</t>
  </si>
  <si>
    <t>Degaon</t>
  </si>
  <si>
    <t>415004</t>
  </si>
  <si>
    <t>anilkambale920@gmail.com</t>
  </si>
  <si>
    <t>+919890437968</t>
  </si>
  <si>
    <t>ARN-54846</t>
  </si>
  <si>
    <t>SVC CO OPERATIVE BANK LTD</t>
  </si>
  <si>
    <t>AAAAT0177C</t>
  </si>
  <si>
    <t>Svc Tower</t>
  </si>
  <si>
    <t>Jawaharlal Nehru Road</t>
  </si>
  <si>
    <t>Santacruz East</t>
  </si>
  <si>
    <t>400055</t>
  </si>
  <si>
    <t>9619075748</t>
  </si>
  <si>
    <t>wealthproducts@svcbank.com</t>
  </si>
  <si>
    <t>THE SHAMRAO VITHAL COOPERATIVE BANK</t>
  </si>
  <si>
    <t>SATARA</t>
  </si>
  <si>
    <t>119903130001165</t>
  </si>
  <si>
    <t>415089002</t>
  </si>
  <si>
    <t>SVCB0000199</t>
  </si>
  <si>
    <t>ECS</t>
  </si>
  <si>
    <t>SATA2162</t>
  </si>
  <si>
    <t>Satara</t>
  </si>
  <si>
    <t>1050211487</t>
  </si>
  <si>
    <t>Kishan Tiwari</t>
  </si>
  <si>
    <t>1208870216654239</t>
  </si>
  <si>
    <t>BXDPT4111Q</t>
  </si>
  <si>
    <t>S/O MOTI LAL TIWARI,HOUSE NO 169,STREET</t>
  </si>
  <si>
    <t>NO 3,GURU NANAK NAGAR,LUDHIANA,MUNDIAN</t>
  </si>
  <si>
    <t>KALAN,LUDHIANA,PUNJAB,141015</t>
  </si>
  <si>
    <t>LUDHIANA</t>
  </si>
  <si>
    <t>PU</t>
  </si>
  <si>
    <t>141015</t>
  </si>
  <si>
    <t>tiwari1921056@gmail.com</t>
  </si>
  <si>
    <t>+918283877183</t>
  </si>
  <si>
    <t>MUNDIAN KALAN</t>
  </si>
  <si>
    <t>00000040827541602</t>
  </si>
  <si>
    <t>SBIN0004633</t>
  </si>
  <si>
    <t>1050214767</t>
  </si>
  <si>
    <t>Abhirami Gopalakrishnan</t>
  </si>
  <si>
    <t>1208870341959621</t>
  </si>
  <si>
    <t>CKLPG0001J</t>
  </si>
  <si>
    <t>916GZ</t>
  </si>
  <si>
    <t>Aditya Birla Sun Life Gold Fund Growth-Direct Plan</t>
  </si>
  <si>
    <t>C/O DAUGHTER OF P K GOPALAKRISHNAN,NO</t>
  </si>
  <si>
    <t>1 2ND FLOOR,10TH A</t>
  </si>
  <si>
    <t>CROSS,ADUGODI,ANEPALYA,BANGALORE</t>
  </si>
  <si>
    <t>560030</t>
  </si>
  <si>
    <t>abhiramig06@gmail.com</t>
  </si>
  <si>
    <t>+918714073167</t>
  </si>
  <si>
    <t>SOUTH INDIAN BANK</t>
  </si>
  <si>
    <t>BANGALORE CHRIST COLLEGE</t>
  </si>
  <si>
    <t>0396053000041388</t>
  </si>
  <si>
    <t>SIBL0000396</t>
  </si>
  <si>
    <t>1050214857</t>
  </si>
  <si>
    <t>Yoganarasimha Nagaraja Hebbale</t>
  </si>
  <si>
    <t>1203320206875800</t>
  </si>
  <si>
    <t>AEDPH2166K</t>
  </si>
  <si>
    <t>72 VALLABA NAGARA UTTARAHALLI</t>
  </si>
  <si>
    <t>BANGALORE SOUTH BANGALORE</t>
  </si>
  <si>
    <t>KARNATAKA</t>
  </si>
  <si>
    <t>560061</t>
  </si>
  <si>
    <t>8073488585</t>
  </si>
  <si>
    <t>girimona1983@gmail.com</t>
  </si>
  <si>
    <t>+918073488585</t>
  </si>
  <si>
    <t>KARNATAKA BANK LTD</t>
  </si>
  <si>
    <t>MALAVALLI</t>
  </si>
  <si>
    <t>MANDYA</t>
  </si>
  <si>
    <t>9012500100239201</t>
  </si>
  <si>
    <t>KARB0000621</t>
  </si>
  <si>
    <t>1050210875</t>
  </si>
  <si>
    <t>JETTY RAM</t>
  </si>
  <si>
    <t>BRVPJ2357N</t>
  </si>
  <si>
    <t>103B</t>
  </si>
  <si>
    <t>Aditya Birla Sun Life Multi-Asset Omni FOF - Growth Regular (formerly known as Aditya Birla Sun Life Asset Allocator FOF)</t>
  </si>
  <si>
    <t>C/O Lakshmikant</t>
  </si>
  <si>
    <t>203 Krishna Paradise</t>
  </si>
  <si>
    <t>Opp New D Mart</t>
  </si>
  <si>
    <t>Vadodara</t>
  </si>
  <si>
    <t>390006</t>
  </si>
  <si>
    <t>ramjetty1989@gmail.com</t>
  </si>
  <si>
    <t>+918347721541</t>
  </si>
  <si>
    <t>ARN-130621</t>
  </si>
  <si>
    <t>SHRIYANKA JAIN</t>
  </si>
  <si>
    <t>BKRPJ7779R</t>
  </si>
  <si>
    <t>D - 408 The Rise 1</t>
  </si>
  <si>
    <t>Vasna Bhayli Road</t>
  </si>
  <si>
    <t>Behind Bright Day School</t>
  </si>
  <si>
    <t>390012</t>
  </si>
  <si>
    <t>+918849801591</t>
  </si>
  <si>
    <t>way2wealthfinserv@gmail.com</t>
  </si>
  <si>
    <t>CANARA BANK</t>
  </si>
  <si>
    <t>VADODARA RAOPURA II BARODA</t>
  </si>
  <si>
    <t>VADODARA</t>
  </si>
  <si>
    <t>110168394597</t>
  </si>
  <si>
    <t>CNRB0017041</t>
  </si>
  <si>
    <t>V1</t>
  </si>
  <si>
    <t>1050246609</t>
  </si>
  <si>
    <t>Shafi Shaik</t>
  </si>
  <si>
    <t>MJLPS5779N</t>
  </si>
  <si>
    <t>S O KARIMULLA 3 8 40 JAFAR SAHEB CENTAR STONE HOUSE</t>
  </si>
  <si>
    <t>PETA SETTY GUNTA ROAD NELLORE STONEHOUSEPET NELLORE</t>
  </si>
  <si>
    <t>ANDHRA PRADESH 524002</t>
  </si>
  <si>
    <t>NELLORE</t>
  </si>
  <si>
    <t>AP</t>
  </si>
  <si>
    <t>524002</t>
  </si>
  <si>
    <t>shafikhms@gmail.com</t>
  </si>
  <si>
    <t>+919966049415</t>
  </si>
  <si>
    <t>NELLORE TOWN</t>
  </si>
  <si>
    <t>00000032439063986</t>
  </si>
  <si>
    <t>SBIN0001163</t>
  </si>
  <si>
    <t>1050229936</t>
  </si>
  <si>
    <t>Sujith Joseph</t>
  </si>
  <si>
    <t>ARFPJ6119F</t>
  </si>
  <si>
    <t>100B</t>
  </si>
  <si>
    <t>Aditya Birla Sun Life Silver ETF Fund of Fund Regular Growth</t>
  </si>
  <si>
    <t>KODUVELIL PUTHEN PURAYIL</t>
  </si>
  <si>
    <t>KOTTAYAM</t>
  </si>
  <si>
    <t>KE</t>
  </si>
  <si>
    <t>686021</t>
  </si>
  <si>
    <t>sujitjoseph86@gmail.com</t>
  </si>
  <si>
    <t>+919744796788</t>
  </si>
  <si>
    <t>BANYANON</t>
  </si>
  <si>
    <t>BANAYANTREE SERVICES LIMITED</t>
  </si>
  <si>
    <t>AAGCB7486G</t>
  </si>
  <si>
    <t>Plot No.391,Udyog Vihar,</t>
  </si>
  <si>
    <t>Phase-|||,Gurugram</t>
  </si>
  <si>
    <t>122016</t>
  </si>
  <si>
    <t>+919871396095</t>
  </si>
  <si>
    <t>cams@smartspends.com</t>
  </si>
  <si>
    <t>50100046434431</t>
  </si>
  <si>
    <t>HDFC0000071</t>
  </si>
  <si>
    <t>124</t>
  </si>
  <si>
    <t>Gurgaon</t>
  </si>
  <si>
    <t>North</t>
  </si>
  <si>
    <t>1050246675</t>
  </si>
  <si>
    <t>Amisha K</t>
  </si>
  <si>
    <t>KZSPK6749H</t>
  </si>
  <si>
    <t>MUTIRAPARAMBIL HOUSE KUDALLUR P O ERIMAYUR II</t>
  </si>
  <si>
    <t>KUDALLUR PALAKKAD KERALA</t>
  </si>
  <si>
    <t>PALAKKAD</t>
  </si>
  <si>
    <t>678688</t>
  </si>
  <si>
    <t>amishakrishnankutty@gmail.com</t>
  </si>
  <si>
    <t>+918921118432</t>
  </si>
  <si>
    <t>ARN-186125</t>
  </si>
  <si>
    <t>DOCTOR WEALTH FINANCIAL SERVICES PRIVATE LIMITED</t>
  </si>
  <si>
    <t>AAICD4688C</t>
  </si>
  <si>
    <t>XV/675 1st Floor</t>
  </si>
  <si>
    <t>Puthenparambil Building ,K K ROAD</t>
  </si>
  <si>
    <t>KANJIKUZHY</t>
  </si>
  <si>
    <t>686004</t>
  </si>
  <si>
    <t>9496160970</t>
  </si>
  <si>
    <t>doctorwealth.fs@gmail.com</t>
  </si>
  <si>
    <t>NEMMARA</t>
  </si>
  <si>
    <t>0810127000121</t>
  </si>
  <si>
    <t>CNRB0000810</t>
  </si>
  <si>
    <t>1050231926</t>
  </si>
  <si>
    <t>Saroj Bala</t>
  </si>
  <si>
    <t>ACMPK7442C</t>
  </si>
  <si>
    <t>C O ANIL KUKKAR 57 GALI NO 09 SETIA FARM SANT</t>
  </si>
  <si>
    <t>KIRPAL NAGAR GANGANAGAR GANGANAGAR SRIGANGANAGAR</t>
  </si>
  <si>
    <t>GANGANAGAR RAJASTHAN 335001</t>
  </si>
  <si>
    <t>Ganganagar</t>
  </si>
  <si>
    <t>335001</t>
  </si>
  <si>
    <t>sarojkukkar@gmail.com</t>
  </si>
  <si>
    <t>+919024194740</t>
  </si>
  <si>
    <t>DIRECT</t>
  </si>
  <si>
    <t>DETAILS TO BE PROVIDED</t>
  </si>
  <si>
    <t>0</t>
  </si>
  <si>
    <t>Public Park</t>
  </si>
  <si>
    <t>Sriganganagar</t>
  </si>
  <si>
    <t>51037198817</t>
  </si>
  <si>
    <t>SBIN0031144</t>
  </si>
  <si>
    <t>CAMSWEB</t>
  </si>
  <si>
    <t>1050234758</t>
  </si>
  <si>
    <t>Prashobh Mohanan Nair</t>
  </si>
  <si>
    <t>IN30143695128477</t>
  </si>
  <si>
    <t>AIXPN9352P</t>
  </si>
  <si>
    <t>B 18 SATYAM APARTMENT MULA ROAD,KHADKI</t>
  </si>
  <si>
    <t>KHADKI NEAR WAR CEMETRY PUNE CITY</t>
  </si>
  <si>
    <t>PUNE CITY KHADKI PUNE MAHARASHTRA 411003</t>
  </si>
  <si>
    <t>411003</t>
  </si>
  <si>
    <t>prashobhnair19@gmail.com</t>
  </si>
  <si>
    <t>+919558821266</t>
  </si>
  <si>
    <t>ARN-13549</t>
  </si>
  <si>
    <t>HDFC Securities Ltd</t>
  </si>
  <si>
    <t>AAACH8215R</t>
  </si>
  <si>
    <t>I Think Techno Campus Alpha Office</t>
  </si>
  <si>
    <t>8Th Floor Crompton Greaves</t>
  </si>
  <si>
    <t>Nr Kanjarmarg Station(E)</t>
  </si>
  <si>
    <t>400042</t>
  </si>
  <si>
    <t>hslrecon@hdfcsec.com</t>
  </si>
  <si>
    <t>CHENNAI  NUNGAMBAKKAM</t>
  </si>
  <si>
    <t>00821140116146</t>
  </si>
  <si>
    <t>HDFC0000082</t>
  </si>
  <si>
    <t>1050238520</t>
  </si>
  <si>
    <t>Durgesh Mishra</t>
  </si>
  <si>
    <t>HDPPM8363F</t>
  </si>
  <si>
    <t>S O VIJAY SHANKAR MISHRA KHATMIPUR AMBEDKAR NAGAR</t>
  </si>
  <si>
    <t>AROPUR RAMNAGAR MAHUWARE ALLAPUR RAM NAGAR AMBEDKAR</t>
  </si>
  <si>
    <t>NAGAR UTTAR PRADESH 224181</t>
  </si>
  <si>
    <t>AMBEDKAR NAGAR</t>
  </si>
  <si>
    <t>224181</t>
  </si>
  <si>
    <t>durgeshm970@gmail.com</t>
  </si>
  <si>
    <t>+918400278595</t>
  </si>
  <si>
    <t>AALAPUR</t>
  </si>
  <si>
    <t>GONDA</t>
  </si>
  <si>
    <t>00000036314395407</t>
  </si>
  <si>
    <t>SBIN0011230</t>
  </si>
  <si>
    <t>1050166821</t>
  </si>
  <si>
    <t>Jaswant Kumar</t>
  </si>
  <si>
    <t>1208870295577340</t>
  </si>
  <si>
    <t>CQDPK7361M</t>
  </si>
  <si>
    <t>S/O KANHAIYA LAL,NEAR HANUMAN KI</t>
  </si>
  <si>
    <t>BAGICHI,BAHADURPUR PATTI</t>
  </si>
  <si>
    <t>JORIYA,BAHADURPUR,ALWAR,RAJASTHAN,3010</t>
  </si>
  <si>
    <t>ALWAR</t>
  </si>
  <si>
    <t>301028</t>
  </si>
  <si>
    <t>jaswantsaini711@gmail.com</t>
  </si>
  <si>
    <t>+919718971577</t>
  </si>
  <si>
    <t>GURGAON  SECTOR 14  HARYANA</t>
  </si>
  <si>
    <t>50100380360020</t>
  </si>
  <si>
    <t>HDFC0000090</t>
  </si>
  <si>
    <t>1050167647</t>
  </si>
  <si>
    <t>Sakshi Rawat</t>
  </si>
  <si>
    <t>1208870434711393</t>
  </si>
  <si>
    <t>HCFPR8193R</t>
  </si>
  <si>
    <t>H NO G 3234 KHASARA NO 192 RAMPARK</t>
  </si>
  <si>
    <t>EXT LONI LONI</t>
  </si>
  <si>
    <t>GHAZIABAD</t>
  </si>
  <si>
    <t>201102</t>
  </si>
  <si>
    <t>rawatsakshi2802@gmail.com</t>
  </si>
  <si>
    <t>+919599483567</t>
  </si>
  <si>
    <t>IDBI BANK</t>
  </si>
  <si>
    <t>LAJPAT NAGAR</t>
  </si>
  <si>
    <t>0191104000374330</t>
  </si>
  <si>
    <t>IBKL0000191</t>
  </si>
  <si>
    <t>1050167950</t>
  </si>
  <si>
    <t>Puriben C Patel</t>
  </si>
  <si>
    <t>6</t>
  </si>
  <si>
    <t>AOQPP1564A</t>
  </si>
  <si>
    <t>UCDIE</t>
  </si>
  <si>
    <t>Aditya Birla Sun Life Unclaimed IDCW (After 3 years)</t>
  </si>
  <si>
    <t>32 suryo dayanagar society</t>
  </si>
  <si>
    <t>radhanpur road near</t>
  </si>
  <si>
    <t>aerodram mahesana</t>
  </si>
  <si>
    <t>Mahesana</t>
  </si>
  <si>
    <t>india</t>
  </si>
  <si>
    <t>384002</t>
  </si>
  <si>
    <t>hiren.pe@gmail.com</t>
  </si>
  <si>
    <t>+919909123174</t>
  </si>
  <si>
    <t>RADHANPUR CHAR RASTA,MEHSANA</t>
  </si>
  <si>
    <t>30990100013600</t>
  </si>
  <si>
    <t>384012002</t>
  </si>
  <si>
    <t>BARB0DUDHSA</t>
  </si>
  <si>
    <t>A1</t>
  </si>
  <si>
    <t>1050143464</t>
  </si>
  <si>
    <t>Hruday Venkata Sainath Achyuta</t>
  </si>
  <si>
    <t>1208870382462459</t>
  </si>
  <si>
    <t>BSNPA6323A</t>
  </si>
  <si>
    <t>C/O: A V SUBRAMANYAM,SHOP NO 214 ,CITY</t>
  </si>
  <si>
    <t>MARKET,MANGALAGIRI ROAD,OPP MARUTHI</t>
  </si>
  <si>
    <t>SUZIKI</t>
  </si>
  <si>
    <t>GUNTUR</t>
  </si>
  <si>
    <t>522001</t>
  </si>
  <si>
    <t>hruday.achyuta1997@gmail.com</t>
  </si>
  <si>
    <t>+917093278959</t>
  </si>
  <si>
    <t>GUNTUR MAIN</t>
  </si>
  <si>
    <t>015010100080748</t>
  </si>
  <si>
    <t>UBIN0801500</t>
  </si>
  <si>
    <t>1050171246</t>
  </si>
  <si>
    <t>Siriki Harika Aparna</t>
  </si>
  <si>
    <t>1203320444557411</t>
  </si>
  <si>
    <t>KOOPS8781C</t>
  </si>
  <si>
    <t>5 12 102 BATHAI THOTA VEEDHI</t>
  </si>
  <si>
    <t>26TH WARD TUNI KAKINADA ANDHRA</t>
  </si>
  <si>
    <t>PRADESH</t>
  </si>
  <si>
    <t>TUNI</t>
  </si>
  <si>
    <t>533401</t>
  </si>
  <si>
    <t>9494351133</t>
  </si>
  <si>
    <t>harikaaparnas@gmail.com</t>
  </si>
  <si>
    <t>+919494351133</t>
  </si>
  <si>
    <t>EAST GODAVARI</t>
  </si>
  <si>
    <t>00000037883196572</t>
  </si>
  <si>
    <t>SBIN0020768</t>
  </si>
  <si>
    <t>1050146624</t>
  </si>
  <si>
    <t>Abhishek Sharma</t>
  </si>
  <si>
    <t>OGJPS6942E</t>
  </si>
  <si>
    <t>SO SHAKTI KUMAR VILL PADHER TEH NURPUR</t>
  </si>
  <si>
    <t>KUTHANDAL</t>
  </si>
  <si>
    <t>HIMACHAL PRADESH</t>
  </si>
  <si>
    <t>HP</t>
  </si>
  <si>
    <t>176022</t>
  </si>
  <si>
    <t>sharmaabhishek6473@gmail.com</t>
  </si>
  <si>
    <t>+919805798201</t>
  </si>
  <si>
    <t>ARN-1390</t>
  </si>
  <si>
    <t>Kotak Mahindra Bank Limited</t>
  </si>
  <si>
    <t>AAACK4409J</t>
  </si>
  <si>
    <t>5Th Flr Zone 4 Off Western Express</t>
  </si>
  <si>
    <t>Highway Infiniti Building No 21</t>
  </si>
  <si>
    <t>General A K Vaidya Marg Malad East</t>
  </si>
  <si>
    <t>400097</t>
  </si>
  <si>
    <t>+919867001339</t>
  </si>
  <si>
    <t>bank.mfqueries@kotak.com</t>
  </si>
  <si>
    <t>MAMUN BRANCH</t>
  </si>
  <si>
    <t>GURDASPUR</t>
  </si>
  <si>
    <t>3449215721</t>
  </si>
  <si>
    <t>KKBK0004100</t>
  </si>
  <si>
    <t>1050141852</t>
  </si>
  <si>
    <t>Heena Parween</t>
  </si>
  <si>
    <t>BCLPP5070R</t>
  </si>
  <si>
    <t>291G</t>
  </si>
  <si>
    <t>Aditya Birla Sun Life Consumption Fund - Growth-Regular Plan(Formerly known as Aditya Birla Sun Life India GenNext Fund)</t>
  </si>
  <si>
    <t>W/O Mohanmed Sadique Kumbhar Para Sadar</t>
  </si>
  <si>
    <t>Sambalpur</t>
  </si>
  <si>
    <t>OD</t>
  </si>
  <si>
    <t>768001</t>
  </si>
  <si>
    <t>mr.sadique@rediffmail.com</t>
  </si>
  <si>
    <t>+919937201786</t>
  </si>
  <si>
    <t>ARN-81996</t>
  </si>
  <si>
    <t>UMESH RANJAN SATPATHY</t>
  </si>
  <si>
    <t>ASTPS0946A</t>
  </si>
  <si>
    <t>At/Po Budharaja</t>
  </si>
  <si>
    <t>Danipali P.S. Ainthapali</t>
  </si>
  <si>
    <t>SAMBALPUR</t>
  </si>
  <si>
    <t>768004</t>
  </si>
  <si>
    <t>OR</t>
  </si>
  <si>
    <t>+919437258040</t>
  </si>
  <si>
    <t>bunumilan@gmail.com</t>
  </si>
  <si>
    <t>SAMBALPUR - ORISSA</t>
  </si>
  <si>
    <t>50100050635734</t>
  </si>
  <si>
    <t>768240002</t>
  </si>
  <si>
    <t>HDFC0000369</t>
  </si>
  <si>
    <t>663</t>
  </si>
  <si>
    <t>1050147808</t>
  </si>
  <si>
    <t>Kanta Hari Vengurlekar</t>
  </si>
  <si>
    <t>1206420014755396</t>
  </si>
  <si>
    <t>NSE</t>
  </si>
  <si>
    <t>AEWPV6091C</t>
  </si>
  <si>
    <t>D 12/2 JEEVAN SHANTI COLONY LI</t>
  </si>
  <si>
    <t>C STAFF QTRS S V ROAD SANTACRU</t>
  </si>
  <si>
    <t>Z WEST</t>
  </si>
  <si>
    <t>400054</t>
  </si>
  <si>
    <t>kvengurlekar.15@gmail.com</t>
  </si>
  <si>
    <t>+919969035752</t>
  </si>
  <si>
    <t>VIMA KAMGAR COOPERATIVE BANK</t>
  </si>
  <si>
    <t>0317100010001868</t>
  </si>
  <si>
    <t>IBKL0452VK3</t>
  </si>
  <si>
    <t>D</t>
  </si>
  <si>
    <t>1050178365</t>
  </si>
  <si>
    <t>Mansuri Tabrez Mutiurrehman</t>
  </si>
  <si>
    <t>07</t>
  </si>
  <si>
    <t>Student</t>
  </si>
  <si>
    <t>FNVPM9225E</t>
  </si>
  <si>
    <t>D/O MUTIURREHMAN MANSURI,RAJWADE</t>
  </si>
  <si>
    <t>NAGAR,KALEWADI,PUNE CITY,PUNE CITY,PIMPRI</t>
  </si>
  <si>
    <t>COLONY,PUNE,MAHARASHTRA</t>
  </si>
  <si>
    <t>411017</t>
  </si>
  <si>
    <t>tousinmansuri11@gmail.com</t>
  </si>
  <si>
    <t>+919373340170</t>
  </si>
  <si>
    <t>PIMPLE SAUDAGAR PUNE</t>
  </si>
  <si>
    <t>50100558280526</t>
  </si>
  <si>
    <t>HDFC0002524</t>
  </si>
  <si>
    <t>1050180767</t>
  </si>
  <si>
    <t>Ajit Baid</t>
  </si>
  <si>
    <t>35</t>
  </si>
  <si>
    <t>25 Lacs to 1 Crore</t>
  </si>
  <si>
    <t>ACFPB1331G</t>
  </si>
  <si>
    <t>11</t>
  </si>
  <si>
    <t>NRI - Non-Repartriable (NRO)</t>
  </si>
  <si>
    <t>9 VIRGINIA RIDGE RD SUDBURY</t>
  </si>
  <si>
    <t>MA 01776 1053</t>
  </si>
  <si>
    <t>United States</t>
  </si>
  <si>
    <t>017761053</t>
  </si>
  <si>
    <t>baidajit@gmail.com</t>
  </si>
  <si>
    <t>FORT</t>
  </si>
  <si>
    <t>NRO</t>
  </si>
  <si>
    <t>50100852444852</t>
  </si>
  <si>
    <t>HDFC0000060</t>
  </si>
  <si>
    <t>1050160947</t>
  </si>
  <si>
    <t>Shaik Abdul Shareef</t>
  </si>
  <si>
    <t>HGPPS7618J</t>
  </si>
  <si>
    <t>S/O SHAIK HASIDHNA VALI,1-188,MUSLIM</t>
  </si>
  <si>
    <t>BAZAR,VEDULLAPALLI,BAPATLA</t>
  </si>
  <si>
    <t>WEST(RURAL,BAPATLA,BAPATLA,GUNTUR,ANDHRA PRADESH</t>
  </si>
  <si>
    <t>522101</t>
  </si>
  <si>
    <t>shareef.shannu143@gmail.com</t>
  </si>
  <si>
    <t>+917075766546</t>
  </si>
  <si>
    <t>MADHAPUR</t>
  </si>
  <si>
    <t>HYDERABAD</t>
  </si>
  <si>
    <t>918010065098119</t>
  </si>
  <si>
    <t>UTIB0000553</t>
  </si>
  <si>
    <t>1050161263</t>
  </si>
  <si>
    <t>Kuldip Kaur</t>
  </si>
  <si>
    <t>DYCPK0563F</t>
  </si>
  <si>
    <t>341GZ</t>
  </si>
  <si>
    <t>Aditya Birla Sun Life Short Term Fund - Growth-Direct Plan</t>
  </si>
  <si>
    <t>5/24, EINSTEIN AVENUE, B ZONE,, DURGAPUR [M CORP.],</t>
  </si>
  <si>
    <t>BARDDHAMAN, , WEST BENGAL, 713205</t>
  </si>
  <si>
    <t>BARDHAMAN</t>
  </si>
  <si>
    <t>713205</t>
  </si>
  <si>
    <t>kuldipk0201@gmail.com</t>
  </si>
  <si>
    <t>+917384500982</t>
  </si>
  <si>
    <t>BIDHAN NAGAR BRANCH</t>
  </si>
  <si>
    <t>BIDHAN NAGAR</t>
  </si>
  <si>
    <t>50100067221202</t>
  </si>
  <si>
    <t>HDFC0002697</t>
  </si>
  <si>
    <t>1050150962</t>
  </si>
  <si>
    <t>Chandramani Sahu</t>
  </si>
  <si>
    <t>1203320326930694</t>
  </si>
  <si>
    <t>HOJPS2131N</t>
  </si>
  <si>
    <t>WARD NO 13 KOTRA FATAK RAILWAY</t>
  </si>
  <si>
    <t>CROSSING KE PASS KALMI RAIGARH</t>
  </si>
  <si>
    <t>CHHATTISGARH</t>
  </si>
  <si>
    <t>RAIGARH</t>
  </si>
  <si>
    <t>CG</t>
  </si>
  <si>
    <t>496001</t>
  </si>
  <si>
    <t>8770533060</t>
  </si>
  <si>
    <t>madisahu11@gmail.com</t>
  </si>
  <si>
    <t>+918770533060</t>
  </si>
  <si>
    <t>KOTRA ROAD RAIGARH</t>
  </si>
  <si>
    <t>00000039917004155</t>
  </si>
  <si>
    <t>SBIN0012269</t>
  </si>
  <si>
    <t>1050176097</t>
  </si>
  <si>
    <t>VIMLABEN GHUSABHAI KACHHADIA</t>
  </si>
  <si>
    <t>AACPK1139J</t>
  </si>
  <si>
    <t>Not Verified</t>
  </si>
  <si>
    <t>401 ARUNODAY CO OP HSG SOC LTD</t>
  </si>
  <si>
    <t>VH DESAI RD OPP RAM KRISHNA</t>
  </si>
  <si>
    <t>HOTEL DAHISAR EAST</t>
  </si>
  <si>
    <t>400068</t>
  </si>
  <si>
    <t>HDFC BANK LTD</t>
  </si>
  <si>
    <t>50100801428547</t>
  </si>
  <si>
    <t>1050194006</t>
  </si>
  <si>
    <t>VAHOYA SHAKILBHAI SIKANDARBHAI</t>
  </si>
  <si>
    <t>BDCPV8097C</t>
  </si>
  <si>
    <t>136B</t>
  </si>
  <si>
    <t>ADITYA BIRLA SUN LIFE CONGLOMERATE FUND- Regular Growth</t>
  </si>
  <si>
    <t>KHANDI PUOL NADIYAPA</t>
  </si>
  <si>
    <t>VADHAN</t>
  </si>
  <si>
    <t>WADHWAN</t>
  </si>
  <si>
    <t>363030</t>
  </si>
  <si>
    <t>vahoyashakil1997@gmail.com</t>
  </si>
  <si>
    <t>+918154928230</t>
  </si>
  <si>
    <t>ARN-192252</t>
  </si>
  <si>
    <t>Yakubbhai Abdulbhai Vora</t>
  </si>
  <si>
    <t>ABHPV4870B</t>
  </si>
  <si>
    <t>Plot No 655/2 Behind Church</t>
  </si>
  <si>
    <t>Sector 29</t>
  </si>
  <si>
    <t>Gandhi Nagar</t>
  </si>
  <si>
    <t>382030</t>
  </si>
  <si>
    <t>+919033592120</t>
  </si>
  <si>
    <t>jakir.adviser@gmail.com</t>
  </si>
  <si>
    <t>37874943550</t>
  </si>
  <si>
    <t>SBIN0006498</t>
  </si>
  <si>
    <t>1050240997</t>
  </si>
  <si>
    <t>Rudraksh Nathani</t>
  </si>
  <si>
    <t>3</t>
  </si>
  <si>
    <t>Bal Krishan Nathani</t>
  </si>
  <si>
    <t>ABIPN4746K</t>
  </si>
  <si>
    <t>On Behalf Of Minor</t>
  </si>
  <si>
    <t>916G</t>
  </si>
  <si>
    <t>Aditya Birla Sun Life Gold Fund Growth-Regular Plan</t>
  </si>
  <si>
    <t>PLY  BANK  NEAR  DR  AGARWAL  LANE</t>
  </si>
  <si>
    <t>JAWAHAR  LAL  ROAD  HPO</t>
  </si>
  <si>
    <t>MUZAFFARPUR</t>
  </si>
  <si>
    <t>842001</t>
  </si>
  <si>
    <t>direct2arn2920@gmail.com</t>
  </si>
  <si>
    <t>+919334917031</t>
  </si>
  <si>
    <t>ARN-2920</t>
  </si>
  <si>
    <t>SANJAY KUMAR AGRAWAL</t>
  </si>
  <si>
    <t>ACVPA2119D</t>
  </si>
  <si>
    <t>Nai Bazar Ali Mirza Road</t>
  </si>
  <si>
    <t>Ward-44 Affa Chakki</t>
  </si>
  <si>
    <t>Baba Garib Nath Dham</t>
  </si>
  <si>
    <t>+917004142274</t>
  </si>
  <si>
    <t>arn2920@gmail.com</t>
  </si>
  <si>
    <t>PUNJAB NATIONAL BANK</t>
  </si>
  <si>
    <t>MUZAFFARPUR JAWAHARLAL ROAD</t>
  </si>
  <si>
    <t>Muzaffarpur</t>
  </si>
  <si>
    <t>0334000102167241</t>
  </si>
  <si>
    <t>842024002</t>
  </si>
  <si>
    <t>PUNB0033400</t>
  </si>
  <si>
    <t>CHEQUE</t>
  </si>
  <si>
    <t>MUZ621</t>
  </si>
  <si>
    <t>1050186358</t>
  </si>
  <si>
    <t>Muthu K</t>
  </si>
  <si>
    <t>1203320364976767</t>
  </si>
  <si>
    <t>FHQPM7215H</t>
  </si>
  <si>
    <t>19 62 PASUMBON NAGAR 1ST MAIN</t>
  </si>
  <si>
    <t>ROAD AMBATTUR TIRUVALLUR TAMIL</t>
  </si>
  <si>
    <t>NADU</t>
  </si>
  <si>
    <t>600053</t>
  </si>
  <si>
    <t>7338870796</t>
  </si>
  <si>
    <t>kmuthu1310@gmail.com</t>
  </si>
  <si>
    <t>+917338870796</t>
  </si>
  <si>
    <t>ARN-77404</t>
  </si>
  <si>
    <t>ANGEL ONE LIMITED</t>
  </si>
  <si>
    <t>6th Floor Acruti Star</t>
  </si>
  <si>
    <t>Central Road Midc</t>
  </si>
  <si>
    <t>Andheri East</t>
  </si>
  <si>
    <t>400093</t>
  </si>
  <si>
    <t>+919029171075</t>
  </si>
  <si>
    <t>dhanbahadur.thakur@angeltrade.com</t>
  </si>
  <si>
    <t>AMBATTURE BRANCH</t>
  </si>
  <si>
    <t>3245172907</t>
  </si>
  <si>
    <t>KKBK0008518</t>
  </si>
  <si>
    <t>1050191596</t>
  </si>
  <si>
    <t>Rumit Ghanshyambhai Jadav</t>
  </si>
  <si>
    <t>1208870210131845</t>
  </si>
  <si>
    <t>BFNPJ0394F</t>
  </si>
  <si>
    <t>S/O: JADAV GHANSHYAMBHAI,SONBAI NA</t>
  </si>
  <si>
    <t>BANGLOW PASE,BHAVNAGAR ROAD,JYOTI GRAM</t>
  </si>
  <si>
    <t>SARCAL,BOTAD,BHAVNAGAR,GUJARAT,364710</t>
  </si>
  <si>
    <t>BHAVNAGAR</t>
  </si>
  <si>
    <t>364710</t>
  </si>
  <si>
    <t>rumitjadav21799@gmail.com</t>
  </si>
  <si>
    <t>+918264399421</t>
  </si>
  <si>
    <t>BARWALA GHELASHA</t>
  </si>
  <si>
    <t>BARWALA</t>
  </si>
  <si>
    <t>41850763015</t>
  </si>
  <si>
    <t>SBIN0060176</t>
  </si>
  <si>
    <t>1050192196</t>
  </si>
  <si>
    <t>Priti Hemant Naik</t>
  </si>
  <si>
    <t>BBIPM5087K</t>
  </si>
  <si>
    <t>W O HEMANT MADHUKAR NAIK PLOT NO 1</t>
  </si>
  <si>
    <t>NAIK HOSPITAL NAGAR MANMAD ROAD SA</t>
  </si>
  <si>
    <t>WEDI AHMADNAGAR MAHARASHTRA 414003</t>
  </si>
  <si>
    <t>AHMADNAGAR</t>
  </si>
  <si>
    <t>414003</t>
  </si>
  <si>
    <t>drhmnaik@gmail.com</t>
  </si>
  <si>
    <t>+919049957854</t>
  </si>
  <si>
    <t>SAVEDI (AHMEDNAGAR)</t>
  </si>
  <si>
    <t>SAVEDI</t>
  </si>
  <si>
    <t>00000039401733434</t>
  </si>
  <si>
    <t>SBIN0007689</t>
  </si>
  <si>
    <t>1050205070</t>
  </si>
  <si>
    <t>Ankita Ghosh</t>
  </si>
  <si>
    <t>BTWPG4174M</t>
  </si>
  <si>
    <t>92Z</t>
  </si>
  <si>
    <t>Aditya Birla Sun Life Large Cap Fund -Growth-Direct Plan(formerly known as Aditya Birla Sun Life Frontline Equity Fund)</t>
  </si>
  <si>
    <t>B 601 Saarrthi Signor Society Near</t>
  </si>
  <si>
    <t>Rahul International School Hinjewadi</t>
  </si>
  <si>
    <t>Phase 1 Hinjewadi Infotech Park</t>
  </si>
  <si>
    <t>Hinjavadi</t>
  </si>
  <si>
    <t>411057</t>
  </si>
  <si>
    <t>ankita9494@gmail.com</t>
  </si>
  <si>
    <t>+919861056412</t>
  </si>
  <si>
    <t>BLUERIDGE HINJEWADI PH PUNE</t>
  </si>
  <si>
    <t>HINJAWADI</t>
  </si>
  <si>
    <t>240301508960</t>
  </si>
  <si>
    <t>ICIC0002403</t>
  </si>
  <si>
    <t>1050204594</t>
  </si>
  <si>
    <t>Amit Ahuja</t>
  </si>
  <si>
    <t>1208430004982165</t>
  </si>
  <si>
    <t>ADHPA1289M</t>
  </si>
  <si>
    <t>M N 1719 FIRST FLOOR G T B NAGAR</t>
  </si>
  <si>
    <t>OUTRAM LINE DR MUKERJEE NAGARSO NORTH</t>
  </si>
  <si>
    <t>WEST DELHI DELHI INDIA</t>
  </si>
  <si>
    <t>DR.MUKERJEE NAGAR S.O</t>
  </si>
  <si>
    <t>110009</t>
  </si>
  <si>
    <t>aaresponse@yahoo.com</t>
  </si>
  <si>
    <t>+917982532045</t>
  </si>
  <si>
    <t>INZ000176037</t>
  </si>
  <si>
    <t>Details to be provide by amc</t>
  </si>
  <si>
    <t>finvasiaria@gmail.com</t>
  </si>
  <si>
    <t>NEW DELHI  MODEL TOWN?</t>
  </si>
  <si>
    <t>016001022125</t>
  </si>
  <si>
    <t>ICIC0000160</t>
  </si>
  <si>
    <t>1050205573</t>
  </si>
  <si>
    <t>Bahadur Yadav</t>
  </si>
  <si>
    <t>AGIPY5348P</t>
  </si>
  <si>
    <t>NICHU GRAM KULTI KULTI (M) BARDHAMAN</t>
  </si>
  <si>
    <t>713343</t>
  </si>
  <si>
    <t>by495179@gmail.com</t>
  </si>
  <si>
    <t>+917810957536</t>
  </si>
  <si>
    <t>INDIAN OVERSEAS BANK</t>
  </si>
  <si>
    <t>INDIA EXCHANGE PLACE</t>
  </si>
  <si>
    <t>001501000031448</t>
  </si>
  <si>
    <t>IOBA0000015</t>
  </si>
  <si>
    <t>NSENONDP</t>
  </si>
  <si>
    <t>1050206099</t>
  </si>
  <si>
    <t>Deepak Kumar</t>
  </si>
  <si>
    <t>1208870103734342</t>
  </si>
  <si>
    <t>JSTPK5289K</t>
  </si>
  <si>
    <t>16Z</t>
  </si>
  <si>
    <t>Aditya Birla Sun Life Digital India Fund - Growth-Direct Plan</t>
  </si>
  <si>
    <t>S/O: PARSHURAM</t>
  </si>
  <si>
    <t>PRASAD,SONBARSA,KHANETU,GAYA,BIHAR,824</t>
  </si>
  <si>
    <t>209</t>
  </si>
  <si>
    <t>GAYA</t>
  </si>
  <si>
    <t>824209</t>
  </si>
  <si>
    <t>kumarsinghaniyadeepak707@gmail.com</t>
  </si>
  <si>
    <t>+917281080175</t>
  </si>
  <si>
    <t>CHANGODAR</t>
  </si>
  <si>
    <t>50100456308787</t>
  </si>
  <si>
    <t>HDFC0001681</t>
  </si>
  <si>
    <t>1050215689</t>
  </si>
  <si>
    <t>Aaditya Mani Tripathy</t>
  </si>
  <si>
    <t>1203320454491436</t>
  </si>
  <si>
    <t>DIGPM2908J</t>
  </si>
  <si>
    <t>RAMKOLA PADRAUNA</t>
  </si>
  <si>
    <t>274305</t>
  </si>
  <si>
    <t>8355869860</t>
  </si>
  <si>
    <t>aadityatripathi8355@gmail.com</t>
  </si>
  <si>
    <t>+918355869860</t>
  </si>
  <si>
    <t>RAMKOLA</t>
  </si>
  <si>
    <t>00000002277203783</t>
  </si>
  <si>
    <t>CBIN0280203</t>
  </si>
  <si>
    <t>1050223025</t>
  </si>
  <si>
    <t>Dalbir Singh</t>
  </si>
  <si>
    <t>JTFPS5325M</t>
  </si>
  <si>
    <t>VPO KANG SAHBU TEHSIL NAKODAR</t>
  </si>
  <si>
    <t>. DISTT JALANDHAR</t>
  </si>
  <si>
    <t>KANG SAHBU .</t>
  </si>
  <si>
    <t>JALANDHAR</t>
  </si>
  <si>
    <t>144630</t>
  </si>
  <si>
    <t>sonysab53170@gmail.com</t>
  </si>
  <si>
    <t>+918196038794</t>
  </si>
  <si>
    <t>JALANDHAROVERSEASGARHA ROAD</t>
  </si>
  <si>
    <t>08862413000301</t>
  </si>
  <si>
    <t>PUNB0088610</t>
  </si>
  <si>
    <t>1050223575</t>
  </si>
  <si>
    <t>Deepak Sharma</t>
  </si>
  <si>
    <t>EHLPS8123N</t>
  </si>
  <si>
    <t>293G</t>
  </si>
  <si>
    <t>Aditya Birla Sun Life Infrastructure Fund -PLAN - Growth-Regular Plan</t>
  </si>
  <si>
    <t>C/O Bhawana Sharma Kh No-800 Flat No</t>
  </si>
  <si>
    <t>A-2 Ashriwad Appartments Sant Nagar</t>
  </si>
  <si>
    <t>Burari North Delhi Delhi 110084</t>
  </si>
  <si>
    <t>North Delhi</t>
  </si>
  <si>
    <t>110084</t>
  </si>
  <si>
    <t>deep92.ds@gmail.com</t>
  </si>
  <si>
    <t>+917838284043</t>
  </si>
  <si>
    <t>HDFCWMS</t>
  </si>
  <si>
    <t>divyak.nair@hdfc.bank.in</t>
  </si>
  <si>
    <t>HDFC Bank</t>
  </si>
  <si>
    <t>K G MARG</t>
  </si>
  <si>
    <t>NEW DELHI</t>
  </si>
  <si>
    <t>50100070065040</t>
  </si>
  <si>
    <t>HDFC0000003</t>
  </si>
  <si>
    <t>1050228993</t>
  </si>
  <si>
    <t>Prerna Manchanda</t>
  </si>
  <si>
    <t>EQUPM0383L</t>
  </si>
  <si>
    <t>251G</t>
  </si>
  <si>
    <t>Aditya Birla Sun Life Midcap Fund -PLAN - Growth-Regular Plan</t>
  </si>
  <si>
    <t>Ward No 2, Near G M S Komla,Billawar,Billawar,Kilyal</t>
  </si>
  <si>
    <t>Gurah Kalyal</t>
  </si>
  <si>
    <t>Kathua</t>
  </si>
  <si>
    <t>KR</t>
  </si>
  <si>
    <t>184203</t>
  </si>
  <si>
    <t>prernamanchanda23@gmail.com</t>
  </si>
  <si>
    <t>+919781852678</t>
  </si>
  <si>
    <t>ARN-80698</t>
  </si>
  <si>
    <t>ASHWANI KUMAR</t>
  </si>
  <si>
    <t>ACXPK8410D</t>
  </si>
  <si>
    <t>House No.32 Ward No.16</t>
  </si>
  <si>
    <t>Chabutra Bazar</t>
  </si>
  <si>
    <t>Udhampur</t>
  </si>
  <si>
    <t>182101</t>
  </si>
  <si>
    <t>+919419162440</t>
  </si>
  <si>
    <t>ashwani_gupta11@yahoo.com</t>
  </si>
  <si>
    <t>ARMY PUBLIC SCHOOL UDHAMPUR</t>
  </si>
  <si>
    <t>UDHAMPUR ,JK</t>
  </si>
  <si>
    <t>1794001500001675</t>
  </si>
  <si>
    <t>182024003</t>
  </si>
  <si>
    <t>PUNB0475200</t>
  </si>
  <si>
    <t>UDHATP</t>
  </si>
  <si>
    <t>1050228516</t>
  </si>
  <si>
    <t>Swapnil Kumar</t>
  </si>
  <si>
    <t>HFQPK8351J</t>
  </si>
  <si>
    <t>S/O DINESH KUMAR UDUPI, 14-29AB CHUKKI, 2ND CROSS</t>
  </si>
  <si>
    <t>VAISHNAVI NAGARA, NEAR SHANKAR NARAYANA TEMPLE,</t>
  </si>
  <si>
    <t>KRODASHRAMA, TENKANIDYOOR, UDUPI, KARNATAKA, 576106,</t>
  </si>
  <si>
    <t>UDUPI</t>
  </si>
  <si>
    <t>576106</t>
  </si>
  <si>
    <t>swapnil.kumar.366@gmail.com</t>
  </si>
  <si>
    <t>+919019322976</t>
  </si>
  <si>
    <t>ARN-14352</t>
  </si>
  <si>
    <t>BOHO FINSERV PRIVATE LIMITED</t>
  </si>
  <si>
    <t>AACCB4146M</t>
  </si>
  <si>
    <t>Unit 3,1st Floor,</t>
  </si>
  <si>
    <t>West Gate Point,</t>
  </si>
  <si>
    <t>No:77, R.V.Road,Basavanagudi,</t>
  </si>
  <si>
    <t>560004</t>
  </si>
  <si>
    <t>+919845124741</t>
  </si>
  <si>
    <t>yuraj9@yahoo.co.in</t>
  </si>
  <si>
    <t>BTM LAYOUT II</t>
  </si>
  <si>
    <t>50100533701271</t>
  </si>
  <si>
    <t>560240110</t>
  </si>
  <si>
    <t>HDFC0003940</t>
  </si>
  <si>
    <t>1050250929</t>
  </si>
  <si>
    <t>Mumal Ranawat</t>
  </si>
  <si>
    <t>1203320043472204</t>
  </si>
  <si>
    <t>DSOPR2551G</t>
  </si>
  <si>
    <t>F211 5 MEERA COLONY 00</t>
  </si>
  <si>
    <t>ADITYAPURAM</t>
  </si>
  <si>
    <t>CHITTORGARH</t>
  </si>
  <si>
    <t>312622</t>
  </si>
  <si>
    <t>9636282190</t>
  </si>
  <si>
    <t>mumalranawat004@gmail.com</t>
  </si>
  <si>
    <t>+919636282190</t>
  </si>
  <si>
    <t>NIMBEHERA</t>
  </si>
  <si>
    <t>CHITTAURGARH</t>
  </si>
  <si>
    <t>7849771490</t>
  </si>
  <si>
    <t>IDIB000N598</t>
  </si>
  <si>
    <t>1050253045</t>
  </si>
  <si>
    <t>Shubham Goyal</t>
  </si>
  <si>
    <t>2A</t>
  </si>
  <si>
    <t>Government Service</t>
  </si>
  <si>
    <t>BBZPG8674F</t>
  </si>
  <si>
    <t>201G</t>
  </si>
  <si>
    <t>Aditya Birla Sun Life Large &amp; Mid Cap Fund - Growth-Regular Plan (formerly known as Aditya Birla Sun Life Equity Advantage Fund)</t>
  </si>
  <si>
    <t>S/O ASHOK KUMAR GOYAL,TEHSIL DHURI,HOUSE NUMBER 136</t>
  </si>
  <si>
    <t>SHIVPURI MOHALLA,DHURI,SANGRUR,PUNJAB,148024</t>
  </si>
  <si>
    <t>SANGRUR</t>
  </si>
  <si>
    <t>148024</t>
  </si>
  <si>
    <t>goyalshubham777@gmail.com</t>
  </si>
  <si>
    <t>+919464706263</t>
  </si>
  <si>
    <t>ARN-78342</t>
  </si>
  <si>
    <t>Rahul Goyal</t>
  </si>
  <si>
    <t>AOPPG1326J</t>
  </si>
  <si>
    <t>House No 34</t>
  </si>
  <si>
    <t>Sector 9</t>
  </si>
  <si>
    <t>Urban Estate</t>
  </si>
  <si>
    <t>Ambala</t>
  </si>
  <si>
    <t>134003</t>
  </si>
  <si>
    <t>+919416020002</t>
  </si>
  <si>
    <t>rahulgoyal1@yahoo.com</t>
  </si>
  <si>
    <t>DHURI</t>
  </si>
  <si>
    <t>623502010009452</t>
  </si>
  <si>
    <t>148026002</t>
  </si>
  <si>
    <t>UBIN0562351</t>
  </si>
  <si>
    <t>AMB171</t>
  </si>
  <si>
    <t>1050145078</t>
  </si>
  <si>
    <t>Shivaji Ambu Pawar</t>
  </si>
  <si>
    <t>1208870436389086</t>
  </si>
  <si>
    <t>BOGPP8331E</t>
  </si>
  <si>
    <t>291GZ</t>
  </si>
  <si>
    <t>Aditya Birla Sun Life Consumption Fund - Growth-Direct Plan(Formerly known as Aditya Birla Sun Life India GenNext Fund)</t>
  </si>
  <si>
    <t>,FLAT NO 103 , 1ST FLOOR , A - WING ,</t>
  </si>
  <si>
    <t>AASTHA HERITAGE,,KALYAN,,PISAWALI</t>
  </si>
  <si>
    <t>(N.V.),,THANE,MAHARASHTRA,421306</t>
  </si>
  <si>
    <t>421306</t>
  </si>
  <si>
    <t>sp1268362@gmail.com</t>
  </si>
  <si>
    <t>+919222798978</t>
  </si>
  <si>
    <t>MULUND (EAST)</t>
  </si>
  <si>
    <t>00000030969245186</t>
  </si>
  <si>
    <t>SBIN0004210</t>
  </si>
  <si>
    <t>1050146238</t>
  </si>
  <si>
    <t>Satyabrata Sahoo</t>
  </si>
  <si>
    <t>1208870215610873</t>
  </si>
  <si>
    <t>DBOPS4516M</t>
  </si>
  <si>
    <t>AMBPAL,AMBPAL,AMBPAL,AMBPAL,AMBAPAL,ANU</t>
  </si>
  <si>
    <t>GUL,AMABAPAL,ANGUL,ODISHA,759126</t>
  </si>
  <si>
    <t>ANGUL</t>
  </si>
  <si>
    <t>759126</t>
  </si>
  <si>
    <t>sbcool1985@gmail.com</t>
  </si>
  <si>
    <t>+919853736011</t>
  </si>
  <si>
    <t>UCO BANK</t>
  </si>
  <si>
    <t>AMALAPADA</t>
  </si>
  <si>
    <t>31520110043820</t>
  </si>
  <si>
    <t>UCBA0003152</t>
  </si>
  <si>
    <t>1050194830</t>
  </si>
  <si>
    <t>Debajyoti Dasgupta</t>
  </si>
  <si>
    <t>1208870016586715</t>
  </si>
  <si>
    <t>AGTPD4175C</t>
  </si>
  <si>
    <t>C/O S/O DIPAK K DASGUPTA, A 705, LAKE</t>
  </si>
  <si>
    <t>LUCERNE, LAKE HOMES PHASE III,, POWAI,</t>
  </si>
  <si>
    <t>MUMBAI, MUMBAI SUBURBAN, ,</t>
  </si>
  <si>
    <t>400076</t>
  </si>
  <si>
    <t>debajyoti.dasgupta10@gmail.com</t>
  </si>
  <si>
    <t>+919619615749</t>
  </si>
  <si>
    <t>MUMBAI  POWAI</t>
  </si>
  <si>
    <t>00531050175201</t>
  </si>
  <si>
    <t>HDFC0000239</t>
  </si>
  <si>
    <t>1050179514</t>
  </si>
  <si>
    <t>Shakher Verma</t>
  </si>
  <si>
    <t>AXWPV7567Q</t>
  </si>
  <si>
    <t>151IG</t>
  </si>
  <si>
    <t>Aditya Birla Sun Life Money Manager Fund - Growth-Regular Plan</t>
  </si>
  <si>
    <t># 249, VILLAGE- BADHIMAJRA</t>
  </si>
  <si>
    <t>, GANGOH KHALSA</t>
  </si>
  <si>
    <t>SAHARANPUR, UTTAR PRADESH</t>
  </si>
  <si>
    <t>SAHARANPUR</t>
  </si>
  <si>
    <t>247341</t>
  </si>
  <si>
    <t>shekharverma2392@gmail.com</t>
  </si>
  <si>
    <t>+917696606147</t>
  </si>
  <si>
    <t>SWMPLON</t>
  </si>
  <si>
    <t>SCRIPBOX WEALTH MANAGERS PRIVATE LIMITED</t>
  </si>
  <si>
    <t>AATCS1291H</t>
  </si>
  <si>
    <t>3rd Floor, Indiqube @ The Leela Galleria</t>
  </si>
  <si>
    <t>No.23, Old Airport Road</t>
  </si>
  <si>
    <t>560008</t>
  </si>
  <si>
    <t>9071017501</t>
  </si>
  <si>
    <t>swmpl@scripbox.com</t>
  </si>
  <si>
    <t>ROPAR COLLEGE ROAD</t>
  </si>
  <si>
    <t>RUPNAGAR</t>
  </si>
  <si>
    <t>171701502580</t>
  </si>
  <si>
    <t>ICIC0007986</t>
  </si>
  <si>
    <t>1050152120</t>
  </si>
  <si>
    <t>Aamir Khan</t>
  </si>
  <si>
    <t>NXWPK8049B</t>
  </si>
  <si>
    <t>S/O RUJJI CHANDOLI CHANDOLI ALWAR</t>
  </si>
  <si>
    <t>CHANDOLI</t>
  </si>
  <si>
    <t>RAJASTHAN</t>
  </si>
  <si>
    <t>301001</t>
  </si>
  <si>
    <t>aamirkhan8441721@gmail.com</t>
  </si>
  <si>
    <t>+917878388672</t>
  </si>
  <si>
    <t>2501218978379402</t>
  </si>
  <si>
    <t>1050164782</t>
  </si>
  <si>
    <t>Raghavendra Kamath</t>
  </si>
  <si>
    <t>EPNPK1648E</t>
  </si>
  <si>
    <t>1-9 DENDADKA KAVATHAR</t>
  </si>
  <si>
    <t>ATHIKARIBETTU</t>
  </si>
  <si>
    <t>574154</t>
  </si>
  <si>
    <t>raghavendrakamath73@gmail.com</t>
  </si>
  <si>
    <t>+918762535734</t>
  </si>
  <si>
    <t>ARN-103168</t>
  </si>
  <si>
    <t>FINWIZARD TECHNOLOGY PVT LTD</t>
  </si>
  <si>
    <t>AACCF5863B</t>
  </si>
  <si>
    <t>2nd Floor, 73/1, IndiQube Sapphire</t>
  </si>
  <si>
    <t>St. Marks Road, Bengaluru</t>
  </si>
  <si>
    <t>560001</t>
  </si>
  <si>
    <t>+919819718508</t>
  </si>
  <si>
    <t>mffeed@fisdom.in</t>
  </si>
  <si>
    <t>MULKI</t>
  </si>
  <si>
    <t>MANGALURU</t>
  </si>
  <si>
    <t>6302500100220301</t>
  </si>
  <si>
    <t>KARB0000630</t>
  </si>
  <si>
    <t>1050157563</t>
  </si>
  <si>
    <t>Akash Gupta</t>
  </si>
  <si>
    <t>BJFPA2043G</t>
  </si>
  <si>
    <t>70Y</t>
  </si>
  <si>
    <t>Aditya Birla Sun Life Nifty Midcap 150 Index Fund Direct Growth</t>
  </si>
  <si>
    <t>S/O: RAKESH GUPTA, 405, BRAHAMPURI, MEERUT, 250002,</t>
  </si>
  <si>
    <t>MEERUT, UTTAR PRADESH,</t>
  </si>
  <si>
    <t>INDIA</t>
  </si>
  <si>
    <t>MEERUT</t>
  </si>
  <si>
    <t>250002</t>
  </si>
  <si>
    <t>akash.vistaar@gmail.com</t>
  </si>
  <si>
    <t>+919896005476</t>
  </si>
  <si>
    <t>INA100006898</t>
  </si>
  <si>
    <t>10,DARYAGANJ,</t>
  </si>
  <si>
    <t>110002</t>
  </si>
  <si>
    <t>+919167949733</t>
  </si>
  <si>
    <t>camsria@smartspends.com</t>
  </si>
  <si>
    <t>DELHI ROAD BRANCH</t>
  </si>
  <si>
    <t>1549857896</t>
  </si>
  <si>
    <t>KKBK0005148</t>
  </si>
  <si>
    <t>1050160211</t>
  </si>
  <si>
    <t>Aman Nishad</t>
  </si>
  <si>
    <t>CCBPN3384B</t>
  </si>
  <si>
    <t>S O SUMER UPARAURA UPARAURA UPARHAR MEJA SIRSA</t>
  </si>
  <si>
    <t>ALLAHABAD UTTAR PRADESH 212305</t>
  </si>
  <si>
    <t>ALLAHABAD</t>
  </si>
  <si>
    <t>212305</t>
  </si>
  <si>
    <t>an6272228@gmail.com</t>
  </si>
  <si>
    <t>+917521848525</t>
  </si>
  <si>
    <t>NOIDA</t>
  </si>
  <si>
    <t>6349775074</t>
  </si>
  <si>
    <t>KKBK0000181</t>
  </si>
  <si>
    <t>1050181136</t>
  </si>
  <si>
    <t>Sachin Sachin</t>
  </si>
  <si>
    <t>1203320451352591</t>
  </si>
  <si>
    <t>RVSPS0279F</t>
  </si>
  <si>
    <t>NAGLA BALDU DADORA CHAKARNAGAR</t>
  </si>
  <si>
    <t>ETAWAH</t>
  </si>
  <si>
    <t>206126</t>
  </si>
  <si>
    <t>6399406357</t>
  </si>
  <si>
    <t>gouravkashyap0012@gmail.com</t>
  </si>
  <si>
    <t>+916399406357</t>
  </si>
  <si>
    <t>COURT ROAD ETAWAH M9719934200</t>
  </si>
  <si>
    <t>ETAWAH, UP</t>
  </si>
  <si>
    <t>3685000100275254</t>
  </si>
  <si>
    <t>PUNB0368500</t>
  </si>
  <si>
    <t>1050155797</t>
  </si>
  <si>
    <t>Vivek Chinnasamy</t>
  </si>
  <si>
    <t>AXQPC8622H</t>
  </si>
  <si>
    <t>25 2 COLLEGE ROAD KUMBAKONAM</t>
  </si>
  <si>
    <t>KUMBAKONAM MELACAUVERY</t>
  </si>
  <si>
    <t>THANJAVUR</t>
  </si>
  <si>
    <t>612002</t>
  </si>
  <si>
    <t>vivek_bschool@yahoo.co.in</t>
  </si>
  <si>
    <t>+919894212020</t>
  </si>
  <si>
    <t>CITY UNION BANK LIMITED</t>
  </si>
  <si>
    <t>PALAVATHANKATTALAI</t>
  </si>
  <si>
    <t>KUMBAKONAM</t>
  </si>
  <si>
    <t>061001001414413</t>
  </si>
  <si>
    <t>CIUB0000303</t>
  </si>
  <si>
    <t>1050160377</t>
  </si>
  <si>
    <t>Yerragunta Lakhan</t>
  </si>
  <si>
    <t>1209290005805101</t>
  </si>
  <si>
    <t>AHSPL3259R</t>
  </si>
  <si>
    <t>H NO 5-67 LACHAPET,</t>
  </si>
  <si>
    <t>DUBBAK</t>
  </si>
  <si>
    <t>MEDAK</t>
  </si>
  <si>
    <t>TG</t>
  </si>
  <si>
    <t>502108</t>
  </si>
  <si>
    <t>yerraguntalakhan7370@gmail.com</t>
  </si>
  <si>
    <t>+919000687370</t>
  </si>
  <si>
    <t>INZ000163138</t>
  </si>
  <si>
    <t>MIRAE ASSET CAPITAL MARKETS INDIAN PVT.LTD</t>
  </si>
  <si>
    <t>AALCM3742K</t>
  </si>
  <si>
    <t>Unit no 502 leela business park</t>
  </si>
  <si>
    <t>andheri kurla road</t>
  </si>
  <si>
    <t>400059</t>
  </si>
  <si>
    <t>+919820054766</t>
  </si>
  <si>
    <t>macm.tradesettlement@miraeassetcm.com</t>
  </si>
  <si>
    <t>SIDDIPET</t>
  </si>
  <si>
    <t>50100388515120</t>
  </si>
  <si>
    <t>HDFC0001634</t>
  </si>
  <si>
    <t>1050194314</t>
  </si>
  <si>
    <t>Vinayak Digambar Joshi</t>
  </si>
  <si>
    <t>05</t>
  </si>
  <si>
    <t>ABLPJ6960A</t>
  </si>
  <si>
    <t>A - 6, KUNJALI C H S, SECTOR</t>
  </si>
  <si>
    <t>16 A, VASHI PLOT NO - 33,</t>
  </si>
  <si>
    <t>NAVI MUMBAI</t>
  </si>
  <si>
    <t>400703</t>
  </si>
  <si>
    <t>vinayakjoshi067@gmail.com</t>
  </si>
  <si>
    <t>+919869405092</t>
  </si>
  <si>
    <t>ARN-127903</t>
  </si>
  <si>
    <t>ARCHANA UDAY JOSHI</t>
  </si>
  <si>
    <t>AZJPJ5146N</t>
  </si>
  <si>
    <t>A/P Jorve Datta Mandir</t>
  </si>
  <si>
    <t>Tal Sangamner Dist Ahmednagar</t>
  </si>
  <si>
    <t>Jorve</t>
  </si>
  <si>
    <t>422605</t>
  </si>
  <si>
    <t>+919730206362</t>
  </si>
  <si>
    <t>udayjoshi84@gmail.com</t>
  </si>
  <si>
    <t>VASHI</t>
  </si>
  <si>
    <t>39700286597</t>
  </si>
  <si>
    <t>400002169</t>
  </si>
  <si>
    <t>SBIN0010330</t>
  </si>
  <si>
    <t>AMN241</t>
  </si>
  <si>
    <t>Ahmednagar</t>
  </si>
  <si>
    <t>1050187421</t>
  </si>
  <si>
    <t>Debasish Sen</t>
  </si>
  <si>
    <t>1208870002382826</t>
  </si>
  <si>
    <t>GJKPS9550Q</t>
  </si>
  <si>
    <t>MUJAFAR</t>
  </si>
  <si>
    <t>COLONY,-,BETHUADAHARI,BETHUADAHARI,NAD</t>
  </si>
  <si>
    <t>IA,WEST BENGAL,741126</t>
  </si>
  <si>
    <t>741126</t>
  </si>
  <si>
    <t>debasishsen0@gmail.com</t>
  </si>
  <si>
    <t>+919563698112</t>
  </si>
  <si>
    <t>BURDWAN</t>
  </si>
  <si>
    <t>BARDDHAMAN</t>
  </si>
  <si>
    <t>110119163446</t>
  </si>
  <si>
    <t>CNRB0000187</t>
  </si>
  <si>
    <t>1050192054</t>
  </si>
  <si>
    <t>Jitendra Kumar Mishra</t>
  </si>
  <si>
    <t>BMCPM2232F</t>
  </si>
  <si>
    <t>S O JITENDRA MISHRA NARIAYNV</t>
  </si>
  <si>
    <t>NARIYAD DEORIA</t>
  </si>
  <si>
    <t>NEAR SCHOOL</t>
  </si>
  <si>
    <t>DEORIA</t>
  </si>
  <si>
    <t>274602</t>
  </si>
  <si>
    <t>up.jkmishra001@gmail.com</t>
  </si>
  <si>
    <t>+919555387035</t>
  </si>
  <si>
    <t>50100377436731</t>
  </si>
  <si>
    <t>HDFC0000947</t>
  </si>
  <si>
    <t>1050195336</t>
  </si>
  <si>
    <t>Krishnappa Shwetha</t>
  </si>
  <si>
    <t>MMEPS4185A</t>
  </si>
  <si>
    <t>157 RAMDEV GARDEN HENNUR MAIN ROAD KACHARAKANAHALLI</t>
  </si>
  <si>
    <t>560084</t>
  </si>
  <si>
    <t>bhajarangi675@gmail.com</t>
  </si>
  <si>
    <t>+917892409255</t>
  </si>
  <si>
    <t>KALYAN NAGARKAR</t>
  </si>
  <si>
    <t>42930100015231</t>
  </si>
  <si>
    <t>BARB0KALBAN</t>
  </si>
  <si>
    <t>1050200118</t>
  </si>
  <si>
    <t>Mangal Namadev Kamble</t>
  </si>
  <si>
    <t>MSPPK7558A</t>
  </si>
  <si>
    <t>69Y</t>
  </si>
  <si>
    <t>Aditya Birla Sun Life Nifty Smallcap 50 Index Fund Direct Growth</t>
  </si>
  <si>
    <t>D/O NAMADEV,136,AMBEDAKAR GALLI,BIJAGARNI,INDIRA</t>
  </si>
  <si>
    <t>NAGAR,BIJAGARNI,HUKERI,B IJAGARNI,BELGAUM,KARNATA</t>
  </si>
  <si>
    <t>KA INDIA</t>
  </si>
  <si>
    <t>BELGAUM</t>
  </si>
  <si>
    <t>591108</t>
  </si>
  <si>
    <t>kamblemangal699@gmail.com</t>
  </si>
  <si>
    <t>+919606468415</t>
  </si>
  <si>
    <t>DIGITAL BANKING SERVISES WING</t>
  </si>
  <si>
    <t>05272210048936</t>
  </si>
  <si>
    <t>CNRB0000033</t>
  </si>
  <si>
    <t>1050201562</t>
  </si>
  <si>
    <t>Arvindan Balasubramanian</t>
  </si>
  <si>
    <t>AIJPB7130R</t>
  </si>
  <si>
    <t>S/O BALASUBRAMANIAN FLAT NO 406 4TH FLR</t>
  </si>
  <si>
    <t>I WING RUSTOMJEE AZZIANO NEAR BHIWANDI</t>
  </si>
  <si>
    <t>NASHIK HIGHWAY BYPASS NASHIK BHIWANDI HI</t>
  </si>
  <si>
    <t>400601</t>
  </si>
  <si>
    <t>ab.21@hotmail.com</t>
  </si>
  <si>
    <t>+919820020507</t>
  </si>
  <si>
    <t>WEALTH</t>
  </si>
  <si>
    <t>Wealth India Financial Services Pvt Ltd</t>
  </si>
  <si>
    <t>AAACW8245Q</t>
  </si>
  <si>
    <t>3rd Floor, INDIQUBE Wave</t>
  </si>
  <si>
    <t>438/1, T.R Sundaram Avenue</t>
  </si>
  <si>
    <t>Anna Salai</t>
  </si>
  <si>
    <t>600006</t>
  </si>
  <si>
    <t>9500073470</t>
  </si>
  <si>
    <t>online@fundsindia.com</t>
  </si>
  <si>
    <t>Fmr Building84 A,R.G.Thadani Margworlimu</t>
  </si>
  <si>
    <t>50100116402754</t>
  </si>
  <si>
    <t>400240022</t>
  </si>
  <si>
    <t>HDFC0000080</t>
  </si>
  <si>
    <t>1050202573</t>
  </si>
  <si>
    <t>Manas Kumar Barik</t>
  </si>
  <si>
    <t>EJMPB0273D</t>
  </si>
  <si>
    <t>S/O Sadasib Barik Vtc Po Tentuligaon Sib Distirct Nimapada</t>
  </si>
  <si>
    <t>Puri</t>
  </si>
  <si>
    <t>752113</t>
  </si>
  <si>
    <t>manaskumar437@gmail.com</t>
  </si>
  <si>
    <t>+919040344656</t>
  </si>
  <si>
    <t>AU SMALL FINANCE BANK</t>
  </si>
  <si>
    <t>BHUBANESWAR</t>
  </si>
  <si>
    <t>2501249666911023</t>
  </si>
  <si>
    <t>751765002</t>
  </si>
  <si>
    <t>AUBL0002496</t>
  </si>
  <si>
    <t>INEFT</t>
  </si>
  <si>
    <t>B3</t>
  </si>
  <si>
    <t>Bhubaneswar</t>
  </si>
  <si>
    <t>1050208622</t>
  </si>
  <si>
    <t>Madhavi Kundalik Chavan</t>
  </si>
  <si>
    <t>BMLPP3381H</t>
  </si>
  <si>
    <t>43N</t>
  </si>
  <si>
    <t>Aditya Birla Sun Life Low Duration Fund - Growth-Regular Plan</t>
  </si>
  <si>
    <t>BETA BUILDING 10TH FLOOR FLAT NO 1001 MAVENS VIAAN</t>
  </si>
  <si>
    <t>SOCIETY, AUTADE HANDEWADI ROAD HANDEWADI, AUTADWADI</t>
  </si>
  <si>
    <t>HANDEWADI PUNE, MAHARASHTRA</t>
  </si>
  <si>
    <t>AUTADWADI HANDEWADI</t>
  </si>
  <si>
    <t>412308</t>
  </si>
  <si>
    <t>madhavi.chavan529@gmail.com</t>
  </si>
  <si>
    <t>+919623163040</t>
  </si>
  <si>
    <t>ARN-135009</t>
  </si>
  <si>
    <t>ANIL GAJANAN KAPURE</t>
  </si>
  <si>
    <t>AXLPK1434A</t>
  </si>
  <si>
    <t>FlatNoB607LittleHeartsSociety</t>
  </si>
  <si>
    <t>BricksCollegeRoad UndriPisoli,PuneCity</t>
  </si>
  <si>
    <t>Undri</t>
  </si>
  <si>
    <t>Pune</t>
  </si>
  <si>
    <t>411060</t>
  </si>
  <si>
    <t>+919921744883</t>
  </si>
  <si>
    <t>kiviaanadvisor@gmail.com</t>
  </si>
  <si>
    <t>MYSORE  INFOSYS?</t>
  </si>
  <si>
    <t>MYSORE</t>
  </si>
  <si>
    <t>055801638969</t>
  </si>
  <si>
    <t>ICIC0000558</t>
  </si>
  <si>
    <t>1050209768</t>
  </si>
  <si>
    <t>Pallavi Shaunak Kasat</t>
  </si>
  <si>
    <t>DETPK7817F</t>
  </si>
  <si>
    <t>RUNWAL PRATISHTHA FL 6 OFF APTE ROAD</t>
  </si>
  <si>
    <t>1202/27 SHIVAJINAGAR HAVELI PUNE</t>
  </si>
  <si>
    <t>411005</t>
  </si>
  <si>
    <t>shaunak.kasat@gmail.com</t>
  </si>
  <si>
    <t>+917020855779</t>
  </si>
  <si>
    <t>ARN-249439</t>
  </si>
  <si>
    <t>BHARAT KISHOR LADHE</t>
  </si>
  <si>
    <t>ACSPL7663E</t>
  </si>
  <si>
    <t>OFF NO 9, GANGADHAR CHAMBERS</t>
  </si>
  <si>
    <t>314, Narayan Peth</t>
  </si>
  <si>
    <t>411030</t>
  </si>
  <si>
    <t>9421513101</t>
  </si>
  <si>
    <t>bharatkladhe@gmail.com</t>
  </si>
  <si>
    <t>NARSINH CENTRE</t>
  </si>
  <si>
    <t>50100262101932</t>
  </si>
  <si>
    <t>411240027</t>
  </si>
  <si>
    <t>HDFC0001445</t>
  </si>
  <si>
    <t>1050214261</t>
  </si>
  <si>
    <t>Anilkumar</t>
  </si>
  <si>
    <t>CQHPA1518E</t>
  </si>
  <si>
    <t>S/O KALYANI PATTAN ALAND ROAD PATTAN NEAR</t>
  </si>
  <si>
    <t>CHOWDESHWARI TEMPLE PATTAN PATTAN AFZALPUR</t>
  </si>
  <si>
    <t>PATTAN KALABURAGI</t>
  </si>
  <si>
    <t>KALABURAGI</t>
  </si>
  <si>
    <t>585311</t>
  </si>
  <si>
    <t>kanil703182@gmail.com</t>
  </si>
  <si>
    <t>+918147252321</t>
  </si>
  <si>
    <t>GULBARGA</t>
  </si>
  <si>
    <t>0347350530</t>
  </si>
  <si>
    <t>KKBK0008249</t>
  </si>
  <si>
    <t>1050244988</t>
  </si>
  <si>
    <t>Hondappanavar Ramesh Bhuvaneshwari</t>
  </si>
  <si>
    <t>1208870376976079</t>
  </si>
  <si>
    <t>BJXPH7001M</t>
  </si>
  <si>
    <t>D/O RAMESH HONDAPPANAVAR,NEKAR ONI</t>
  </si>
  <si>
    <t>NAVALUR,DHARWAD,DHARWAD,KARNATAKA,5800</t>
  </si>
  <si>
    <t>09</t>
  </si>
  <si>
    <t>DHARWAD</t>
  </si>
  <si>
    <t>580009</t>
  </si>
  <si>
    <t>bhuvanarhnvl@gmail.com</t>
  </si>
  <si>
    <t>+917022851742</t>
  </si>
  <si>
    <t>GANDINAGAR DHARWAD</t>
  </si>
  <si>
    <t>00000032760465351</t>
  </si>
  <si>
    <t>SBIN0005166</t>
  </si>
  <si>
    <t>1050246189</t>
  </si>
  <si>
    <t>Richaben Bhadreshkumar Patel</t>
  </si>
  <si>
    <t>DJCPP6342A</t>
  </si>
  <si>
    <t>HARI OM PARK UNJHA</t>
  </si>
  <si>
    <t>B/H G L PATEL HIGH SCHOOL</t>
  </si>
  <si>
    <t>UNJHA MEHSANA</t>
  </si>
  <si>
    <t>MEHSANA</t>
  </si>
  <si>
    <t>384170</t>
  </si>
  <si>
    <t>richapatel2307@gmail.com</t>
  </si>
  <si>
    <t>+919081156781</t>
  </si>
  <si>
    <t>RADHANPUR ROAD</t>
  </si>
  <si>
    <t>50100763302581</t>
  </si>
  <si>
    <t>HDFC0005289</t>
  </si>
  <si>
    <t>1050230200</t>
  </si>
  <si>
    <t>Aparup Nath</t>
  </si>
  <si>
    <t>1208870099665088</t>
  </si>
  <si>
    <t>ATVPN2206M</t>
  </si>
  <si>
    <t>TUNGI,TUNGI,TUNGI,MURSHIDABAD,WEST</t>
  </si>
  <si>
    <t>BENGAL,741156</t>
  </si>
  <si>
    <t>MURSHIDABAD</t>
  </si>
  <si>
    <t>741156</t>
  </si>
  <si>
    <t>aparupnath22@gmail.com</t>
  </si>
  <si>
    <t>+919734870909</t>
  </si>
  <si>
    <t>HYDERABAD  RTC X ROADS</t>
  </si>
  <si>
    <t>50100177978298</t>
  </si>
  <si>
    <t>HDFC0000472</t>
  </si>
  <si>
    <t>1050232161</t>
  </si>
  <si>
    <t>Ashaben Dharmeshkumar Patel</t>
  </si>
  <si>
    <t>IN30115127494114</t>
  </si>
  <si>
    <t>ABPPP6644M</t>
  </si>
  <si>
    <t>25 26 PRUBHNAGAR MAHESANA 62</t>
  </si>
  <si>
    <t>MAHESANA</t>
  </si>
  <si>
    <t>384001</t>
  </si>
  <si>
    <t>mspatel50@gmail.com</t>
  </si>
  <si>
    <t>+919825085515</t>
  </si>
  <si>
    <t>02381930000431</t>
  </si>
  <si>
    <t>HDFC0000238</t>
  </si>
  <si>
    <t>1050234811</t>
  </si>
  <si>
    <t>Syama Sundara Rao Karanam</t>
  </si>
  <si>
    <t>1208870055039547</t>
  </si>
  <si>
    <t>ERSPK1499A</t>
  </si>
  <si>
    <t>129Y</t>
  </si>
  <si>
    <t>Aditya Birla Sun Life Nifty India Defence Index Fund- Direct Growth</t>
  </si>
  <si>
    <t>S/O: PAKEERU RAMI NAIDU,0-00,ARTHAM</t>
  </si>
  <si>
    <t>(VILLAGE),KOMARADA</t>
  </si>
  <si>
    <t>(MANDALAM),VIKRAMPURAM</t>
  </si>
  <si>
    <t>VIZIANAGARAM</t>
  </si>
  <si>
    <t>535501</t>
  </si>
  <si>
    <t>ksyamsundarrao1996@gmail.com</t>
  </si>
  <si>
    <t>+918374922120</t>
  </si>
  <si>
    <t>ADB PARVATHIPURAM</t>
  </si>
  <si>
    <t>PARVATHIPURAM</t>
  </si>
  <si>
    <t>20376477088</t>
  </si>
  <si>
    <t>SBIN0001848</t>
  </si>
  <si>
    <t>1050235387</t>
  </si>
  <si>
    <t>Nitin Kumar Kaushik</t>
  </si>
  <si>
    <t>1208870212798584</t>
  </si>
  <si>
    <t>CQDPK8182N</t>
  </si>
  <si>
    <t>S/O HARICHARAN SINGH,PACHOSIA</t>
  </si>
  <si>
    <t>PANNA,KAIR,SOUTH WEST</t>
  </si>
  <si>
    <t>DELHI,DELHI,110043</t>
  </si>
  <si>
    <t>SOUTH WEST DELHI</t>
  </si>
  <si>
    <t>110043</t>
  </si>
  <si>
    <t>kingkaushik28@gmail.com</t>
  </si>
  <si>
    <t>+919880591635</t>
  </si>
  <si>
    <t>GURGAON  SUSHANT LOK?</t>
  </si>
  <si>
    <t>031401573203</t>
  </si>
  <si>
    <t>ICIC0000314</t>
  </si>
  <si>
    <t>1050234629</t>
  </si>
  <si>
    <t>Kannan Pichaipillai</t>
  </si>
  <si>
    <t>8</t>
  </si>
  <si>
    <t>BNJPK6644M</t>
  </si>
  <si>
    <t>146</t>
  </si>
  <si>
    <t>MIDDLE STREET SENDANKADU</t>
  </si>
  <si>
    <t>614901</t>
  </si>
  <si>
    <t>919698555125</t>
  </si>
  <si>
    <t>kannanpachaipillai@gmail.com</t>
  </si>
  <si>
    <t>+919698555125</t>
  </si>
  <si>
    <t>AXISBANK</t>
  </si>
  <si>
    <t>Axis Bank Limited</t>
  </si>
  <si>
    <t>AAACU2414K</t>
  </si>
  <si>
    <t>AXIS Bank Ltd, AXIS House</t>
  </si>
  <si>
    <t>Wadia International Centre</t>
  </si>
  <si>
    <t>P.B. Marg Worli</t>
  </si>
  <si>
    <t>400025</t>
  </si>
  <si>
    <t>7021225289</t>
  </si>
  <si>
    <t>mutualfunds@axisbank.com</t>
  </si>
  <si>
    <t>Axis Bank Ltd</t>
  </si>
  <si>
    <t>PATTUKKOTTAI [TN]</t>
  </si>
  <si>
    <t>PATTUKOTTAI</t>
  </si>
  <si>
    <t>920010048204837</t>
  </si>
  <si>
    <t>614211102</t>
  </si>
  <si>
    <t>UTIB0001124</t>
  </si>
  <si>
    <t>1050237572</t>
  </si>
  <si>
    <t>Jobins George</t>
  </si>
  <si>
    <t>AIXPG5956C</t>
  </si>
  <si>
    <t>THURUTHEL  HOUSE</t>
  </si>
  <si>
    <t>NIRAPPAMALA,AIKKARANAD NORTH</t>
  </si>
  <si>
    <t>KOLENCHERY</t>
  </si>
  <si>
    <t>ERNAKULAM</t>
  </si>
  <si>
    <t>682311</t>
  </si>
  <si>
    <t>04842764841</t>
  </si>
  <si>
    <t>04842763732</t>
  </si>
  <si>
    <t>jobinskolenchery@gmail.com</t>
  </si>
  <si>
    <t>+919496350976</t>
  </si>
  <si>
    <t>KOCHI KAKKANAD</t>
  </si>
  <si>
    <t>3547999615</t>
  </si>
  <si>
    <t>KKBK0000593</t>
  </si>
  <si>
    <t>1050240097</t>
  </si>
  <si>
    <t>Patel Darshankumar</t>
  </si>
  <si>
    <t>2</t>
  </si>
  <si>
    <t>EHIPP3428N</t>
  </si>
  <si>
    <t>154 BINKHETI FALIYUA MUNPUR RANGPUR</t>
  </si>
  <si>
    <t>MUNPUR RANGPUR HIMATNAGAR KADOLI</t>
  </si>
  <si>
    <t>SABARKANTHA GUJARAT 383220</t>
  </si>
  <si>
    <t>SABARKANTHA</t>
  </si>
  <si>
    <t>383220</t>
  </si>
  <si>
    <t>dnpatel5544@gmail.com</t>
  </si>
  <si>
    <t>+918200877323</t>
  </si>
  <si>
    <t>MASAR ROAD</t>
  </si>
  <si>
    <t>42977188375</t>
  </si>
  <si>
    <t>391002530</t>
  </si>
  <si>
    <t>SBIN0018862</t>
  </si>
  <si>
    <t>PAP2742</t>
  </si>
  <si>
    <t>Palanpur</t>
  </si>
  <si>
    <t>1050239606</t>
  </si>
  <si>
    <t>Swapnil Bharat Mahabare</t>
  </si>
  <si>
    <t>BOOPM8133H</t>
  </si>
  <si>
    <t>FLAT NO B 804 PLOT NO 5 6 HILL VIEW RECIDENCY</t>
  </si>
  <si>
    <t>AGROLI TALAV NEAR PARSIK HILL SECTOR 30 31</t>
  </si>
  <si>
    <t>CBD BELAPUR KOKAN BHAVAN</t>
  </si>
  <si>
    <t>NAVIMUMBAI</t>
  </si>
  <si>
    <t>400614</t>
  </si>
  <si>
    <t>mahabswapnil77@gmail.com</t>
  </si>
  <si>
    <t>+919167647299</t>
  </si>
  <si>
    <t>ARN-137319</t>
  </si>
  <si>
    <t>SAGAR DATTATRAY MAHABARE</t>
  </si>
  <si>
    <t>ANZPM1514B</t>
  </si>
  <si>
    <t>C-1801 Green World</t>
  </si>
  <si>
    <t>Thane-Belapur Road</t>
  </si>
  <si>
    <t>Dighe Airoli</t>
  </si>
  <si>
    <t>400708</t>
  </si>
  <si>
    <t>+919970840912</t>
  </si>
  <si>
    <t>sagar.mahabare87@gmail.com</t>
  </si>
  <si>
    <t>SARASWAT BANK</t>
  </si>
  <si>
    <t>CBD BELAPUR</t>
  </si>
  <si>
    <t>397200100001059</t>
  </si>
  <si>
    <t>SRCB0000397</t>
  </si>
  <si>
    <t>1050233805</t>
  </si>
  <si>
    <t>Dev Kalpesh Joshi</t>
  </si>
  <si>
    <t>DGOPJ7747G</t>
  </si>
  <si>
    <t>S O Kalpesh Joshi C 8 LINK APT HIRA</t>
  </si>
  <si>
    <t>NAGAR NAHUR VILLAGE ROAD Mulund West</t>
  </si>
  <si>
    <t>S O Maharashtra</t>
  </si>
  <si>
    <t>400080</t>
  </si>
  <si>
    <t>devjoshi3108@gmail.com</t>
  </si>
  <si>
    <t>+918928309233</t>
  </si>
  <si>
    <t>MULUND WEST- SHANKARDHAN PLAZA</t>
  </si>
  <si>
    <t>50100824443242</t>
  </si>
  <si>
    <t>HDFC0000015</t>
  </si>
  <si>
    <t>1050249103</t>
  </si>
  <si>
    <t>Madhav Das Vaishnav</t>
  </si>
  <si>
    <t>AANPV5483H</t>
  </si>
  <si>
    <t>67B</t>
  </si>
  <si>
    <t>Aditya Birla Sun Life Special Opportunities Fund Regular Growth</t>
  </si>
  <si>
    <t>S O NARAYAN DAS VAISHNAV E 161 HUDCO QUATER KAMLA</t>
  </si>
  <si>
    <t>NEHRU NAGAR JODHPUR JODHPUR RAJASTHAN 342001</t>
  </si>
  <si>
    <t>Jodhpur</t>
  </si>
  <si>
    <t>342001</t>
  </si>
  <si>
    <t>madhavvaishnav62@gmail.com</t>
  </si>
  <si>
    <t>+919784010847</t>
  </si>
  <si>
    <t>ARN-111091</t>
  </si>
  <si>
    <t>Ramesh Kumar Agarwal</t>
  </si>
  <si>
    <t>ACMPA0188R</t>
  </si>
  <si>
    <t>109 Marudhar Keshri Nagar</t>
  </si>
  <si>
    <t>Near F C 9 Godawan Shobhawaton</t>
  </si>
  <si>
    <t>KI Dhani Pal Road</t>
  </si>
  <si>
    <t>+919950911115</t>
  </si>
  <si>
    <t>rkagarwalvic@gmail.com</t>
  </si>
  <si>
    <t>PRATAP NAGAR</t>
  </si>
  <si>
    <t>661410110010078</t>
  </si>
  <si>
    <t>342013004</t>
  </si>
  <si>
    <t>BKID0006614</t>
  </si>
  <si>
    <t>291</t>
  </si>
  <si>
    <t>1050253649</t>
  </si>
  <si>
    <t>Tanmay Avinash Apte</t>
  </si>
  <si>
    <t>DUAPA6173B</t>
  </si>
  <si>
    <t>S/O AVINASH APATE, HOUSE NO. 754, AT/POST- PHONDAGHAT</t>
  </si>
  <si>
    <t>,BAZARPETH , TALUKA- KANKAVLI, PHONDAGHAT, 416601,</t>
  </si>
  <si>
    <t>SINDHUDURG, MAHARASHTRA, INDIA</t>
  </si>
  <si>
    <t>PHONDAGHAT</t>
  </si>
  <si>
    <t>416601</t>
  </si>
  <si>
    <t>tanmayapte824@gmail.com</t>
  </si>
  <si>
    <t>+919021085200</t>
  </si>
  <si>
    <t>639902010006130</t>
  </si>
  <si>
    <t>UBIN0563994</t>
  </si>
  <si>
    <t>1050252819</t>
  </si>
  <si>
    <t>Palak Arora</t>
  </si>
  <si>
    <t>1206420017137903</t>
  </si>
  <si>
    <t>CWJPA8890F</t>
  </si>
  <si>
    <t>H. NO. 5A-41 NEAR JANTA BAND N</t>
  </si>
  <si>
    <t>IT FARIDABAD FARIDABAD FARIDAB</t>
  </si>
  <si>
    <t>AD HARYANA 121001 INDIA</t>
  </si>
  <si>
    <t>FARIDABAD</t>
  </si>
  <si>
    <t>121001</t>
  </si>
  <si>
    <t>palakarora4868@gmail.com</t>
  </si>
  <si>
    <t>+919873121177</t>
  </si>
  <si>
    <t>FARIDABAD  NIT</t>
  </si>
  <si>
    <t>50100485521247</t>
  </si>
  <si>
    <t>HDFC0000093</t>
  </si>
  <si>
    <t>1050256360</t>
  </si>
  <si>
    <t>Gulshan Singh</t>
  </si>
  <si>
    <t>1203320457515112</t>
  </si>
  <si>
    <t>OGAPS2930F</t>
  </si>
  <si>
    <t>HEMATPUR MAINPURA ARRAH</t>
  </si>
  <si>
    <t>ARRAH</t>
  </si>
  <si>
    <t>802156</t>
  </si>
  <si>
    <t>9693803480</t>
  </si>
  <si>
    <t>gulshansingh56039@gmail.com</t>
  </si>
  <si>
    <t>+919693803480</t>
  </si>
  <si>
    <t>BELWANIA</t>
  </si>
  <si>
    <t>BALWANIA</t>
  </si>
  <si>
    <t>00000039666188522</t>
  </si>
  <si>
    <t>SBIN0006286</t>
  </si>
  <si>
    <t>1050253439</t>
  </si>
  <si>
    <t>RAVIANDSON (HUF)</t>
  </si>
  <si>
    <t>AAZHR3151A</t>
  </si>
  <si>
    <t>HUF</t>
  </si>
  <si>
    <t>Gujuratipeta Street</t>
  </si>
  <si>
    <t>Main Road Parlakhemundi</t>
  </si>
  <si>
    <t>Gajapati</t>
  </si>
  <si>
    <t>gajapati</t>
  </si>
  <si>
    <t>761200</t>
  </si>
  <si>
    <t>drrrravi@gmail.com</t>
  </si>
  <si>
    <t>+919861331609</t>
  </si>
  <si>
    <t>ARN-345388</t>
  </si>
  <si>
    <t>BODANA SIBA KUMAR</t>
  </si>
  <si>
    <t>BOZPK3820G</t>
  </si>
  <si>
    <t>RAMAKRUSNA PADHI MARGA, PARALAKHEMUNDI</t>
  </si>
  <si>
    <t>House no-143, Parlakhemundi</t>
  </si>
  <si>
    <t>Near SKCG Hostel</t>
  </si>
  <si>
    <t>9778717473</t>
  </si>
  <si>
    <t>kumar.siva878@gmail.com</t>
  </si>
  <si>
    <t>ICICI Bank Ltd</t>
  </si>
  <si>
    <t>BISSAM CUTTACK</t>
  </si>
  <si>
    <t>bishama katak</t>
  </si>
  <si>
    <t>394001000544</t>
  </si>
  <si>
    <t>765229503</t>
  </si>
  <si>
    <t>ICIC0003940</t>
  </si>
  <si>
    <t>IPAYDC</t>
  </si>
  <si>
    <t>BRP680</t>
  </si>
  <si>
    <t>Berhampur</t>
  </si>
  <si>
    <t>1050174560</t>
  </si>
  <si>
    <t>Savita Prabhakar Sankhe</t>
  </si>
  <si>
    <t>GWHPS6665A</t>
  </si>
  <si>
    <t>132,vanjar vada,Dandi,Palghar,Boisar,Thane</t>
  </si>
  <si>
    <t>Maharashtra,401501</t>
  </si>
  <si>
    <t>401501</t>
  </si>
  <si>
    <t>shricha05@gmail.com</t>
  </si>
  <si>
    <t>+917262868801</t>
  </si>
  <si>
    <t>ARN-78416</t>
  </si>
  <si>
    <t>JACKIE DHARMENDRA KAPADIA</t>
  </si>
  <si>
    <t>ASTPK2877Q</t>
  </si>
  <si>
    <t>302, Vastu Appt Irani Road</t>
  </si>
  <si>
    <t>Behind Jalaram Temple</t>
  </si>
  <si>
    <t>Dist.Thane</t>
  </si>
  <si>
    <t>401602</t>
  </si>
  <si>
    <t>+919260693493</t>
  </si>
  <si>
    <t>consultants.shakti@gmail.com</t>
  </si>
  <si>
    <t>BOISAR</t>
  </si>
  <si>
    <t>009210100003345</t>
  </si>
  <si>
    <t>BKID0000092</t>
  </si>
  <si>
    <t>1050149452</t>
  </si>
  <si>
    <t>Anju Jose</t>
  </si>
  <si>
    <t>1208870308962659</t>
  </si>
  <si>
    <t>AIYPJ3782E</t>
  </si>
  <si>
    <t>153Z</t>
  </si>
  <si>
    <t>Aditya Birla Sun Life Liquid Fund - IDCW-Direct Plan</t>
  </si>
  <si>
    <t>W/O: SIJO JOSE,CHACKIETH,AREECKAL</t>
  </si>
  <si>
    <t>ROAD,KARUKUTTY P</t>
  </si>
  <si>
    <t>O,KARUKUTTY,ERNAKULAM,KERALA,683576</t>
  </si>
  <si>
    <t>683576</t>
  </si>
  <si>
    <t>jose.anju@gmail.com</t>
  </si>
  <si>
    <t>+919895199966</t>
  </si>
  <si>
    <t>ANGAMALY</t>
  </si>
  <si>
    <t>922010003299683</t>
  </si>
  <si>
    <t>UTIB0001646</t>
  </si>
  <si>
    <t>1050248584</t>
  </si>
  <si>
    <t>Gajula Alaraju</t>
  </si>
  <si>
    <t>DROPA2580M</t>
  </si>
  <si>
    <t>S O Gajula Keshavaulu 1-40 kodonipalli Padra</t>
  </si>
  <si>
    <t>Telangana</t>
  </si>
  <si>
    <t>TELANGANA Mahabubnagar</t>
  </si>
  <si>
    <t>Padra</t>
  </si>
  <si>
    <t>509201</t>
  </si>
  <si>
    <t>alarajugajula@gmail.com</t>
  </si>
  <si>
    <t>+917075461819</t>
  </si>
  <si>
    <t>IDFCCP</t>
  </si>
  <si>
    <t>IDFC FIRST BANK LIMITED</t>
  </si>
  <si>
    <t>AADCI6523Q</t>
  </si>
  <si>
    <t>VIBGYOR TOWERS,UNIT NO 1,GR FLOOR, C-62</t>
  </si>
  <si>
    <t>G BLOCK, BANDRA (E) BANDRA</t>
  </si>
  <si>
    <t>KURLA COMPLEX MUMBAI</t>
  </si>
  <si>
    <t>400051</t>
  </si>
  <si>
    <t>8291901767</t>
  </si>
  <si>
    <t>wealthreports@idfcfirstbank.com</t>
  </si>
  <si>
    <t>HYDERABAD - KOKAPET BRANCH</t>
  </si>
  <si>
    <t>Hyderabad</t>
  </si>
  <si>
    <t>10261062534</t>
  </si>
  <si>
    <t>IDFB0040101</t>
  </si>
  <si>
    <t>1050158063</t>
  </si>
  <si>
    <t>Preethi Chinto</t>
  </si>
  <si>
    <t>BDUPC7372R</t>
  </si>
  <si>
    <t>W O CHINTO BRUNO PHILIPS BF1</t>
  </si>
  <si>
    <t>IDYLLIK HOMES RESIDENCY NO 6 POONTHOTTAM</t>
  </si>
  <si>
    <t>FIRST STREET PAZHAVANTHANGAL KANCH</t>
  </si>
  <si>
    <t>KANCHEEPURAM</t>
  </si>
  <si>
    <t>600114</t>
  </si>
  <si>
    <t>cb.accounts@yahoo.com</t>
  </si>
  <si>
    <t>+919884098744</t>
  </si>
  <si>
    <t>CHENNAI - ITC CENTRE - ANNA SALAI</t>
  </si>
  <si>
    <t>00041000208026</t>
  </si>
  <si>
    <t>HDFC0000004</t>
  </si>
  <si>
    <t>1050177718</t>
  </si>
  <si>
    <t>Bharathi Elango</t>
  </si>
  <si>
    <t>ADFPE7433F</t>
  </si>
  <si>
    <t>4179 OMKALIYAMMAN KOVIL STREET Pachal</t>
  </si>
  <si>
    <t>Namakkal Tamil Nadu India-637018</t>
  </si>
  <si>
    <t>Pachal</t>
  </si>
  <si>
    <t>637018</t>
  </si>
  <si>
    <t>bharathiela95@gmail.com</t>
  </si>
  <si>
    <t>+919944050872</t>
  </si>
  <si>
    <t>NAMMAKAL</t>
  </si>
  <si>
    <t>NAMAKKAL</t>
  </si>
  <si>
    <t>4350702829</t>
  </si>
  <si>
    <t>KKBK0000525</t>
  </si>
  <si>
    <t>1050151870</t>
  </si>
  <si>
    <t>Brijesh Patil</t>
  </si>
  <si>
    <t>EQVPP2492E</t>
  </si>
  <si>
    <t>S O Channagouda Bommanahal Raichur Karnataka</t>
  </si>
  <si>
    <t>Raichur</t>
  </si>
  <si>
    <t>584118</t>
  </si>
  <si>
    <t>brijeshpatil0@gmail.com</t>
  </si>
  <si>
    <t>+918105254298</t>
  </si>
  <si>
    <t>AECS LAYOUT</t>
  </si>
  <si>
    <t>843416510000243</t>
  </si>
  <si>
    <t>BKID0008434</t>
  </si>
  <si>
    <t>1050178604</t>
  </si>
  <si>
    <t>Amitabh Prabhakar</t>
  </si>
  <si>
    <t>42</t>
  </si>
  <si>
    <t>Public Sector / Government Service</t>
  </si>
  <si>
    <t>AHQPP9315G</t>
  </si>
  <si>
    <t>S/O  Krishna Madhav Prasad, sushila regency, flat no</t>
  </si>
  <si>
    <t>302, machli gali, raza bazar, sai mandir, B.v.,</t>
  </si>
  <si>
    <t>College, Phulwari, Phulwari, Patna, Bihar, 800014, Indi</t>
  </si>
  <si>
    <t>Patna</t>
  </si>
  <si>
    <t>800014</t>
  </si>
  <si>
    <t>amitabh99cwc@gmail.com</t>
  </si>
  <si>
    <t>+919973049058</t>
  </si>
  <si>
    <t>IBLON</t>
  </si>
  <si>
    <t>Indusind Bank Ltd</t>
  </si>
  <si>
    <t>AAACI1314G</t>
  </si>
  <si>
    <t>IndusInd Bank Ltd</t>
  </si>
  <si>
    <t>Old No 115 &amp; 116, New No 34</t>
  </si>
  <si>
    <t>G N Chetty Road, T.Nagar</t>
  </si>
  <si>
    <t>600017</t>
  </si>
  <si>
    <t>7710075476</t>
  </si>
  <si>
    <t>ramesh.marella@indusind.com</t>
  </si>
  <si>
    <t>Indusind Bank</t>
  </si>
  <si>
    <t>Rukanpura</t>
  </si>
  <si>
    <t>UQZY</t>
  </si>
  <si>
    <t>189973049058</t>
  </si>
  <si>
    <t>INDB0000326</t>
  </si>
  <si>
    <t>1050157426</t>
  </si>
  <si>
    <t>Rupanshu Tyagi</t>
  </si>
  <si>
    <t>CUXPT1508F</t>
  </si>
  <si>
    <t>HOUSE NO 760 VILL DUNDAHERA GHAZIABAD</t>
  </si>
  <si>
    <t>GHAZIABAD UTTAR PRADESH INDIA-201009</t>
  </si>
  <si>
    <t>201009</t>
  </si>
  <si>
    <t>tyagirupanshu10@gmail.com</t>
  </si>
  <si>
    <t>+917503409136</t>
  </si>
  <si>
    <t>GHAZIABAD GT ROAD</t>
  </si>
  <si>
    <t>5550389490</t>
  </si>
  <si>
    <t>KKBK0005340</t>
  </si>
  <si>
    <t>1050156754</t>
  </si>
  <si>
    <t>Jayesh Rajput</t>
  </si>
  <si>
    <t>1203320047581336</t>
  </si>
  <si>
    <t>DOLPR0254B</t>
  </si>
  <si>
    <t>WARD NO. 11 POST - CHOUKDI TEH</t>
  </si>
  <si>
    <t>KHIRKIYA MUKAM - PAHANPAT</t>
  </si>
  <si>
    <t>PAHANPAT</t>
  </si>
  <si>
    <t>RAHATGARH</t>
  </si>
  <si>
    <t>461441</t>
  </si>
  <si>
    <t>7970076413</t>
  </si>
  <si>
    <t>12jayeshrajput@gmail.com</t>
  </si>
  <si>
    <t>KHIRKIYA</t>
  </si>
  <si>
    <t>5982101001551</t>
  </si>
  <si>
    <t>CNRB0005982</t>
  </si>
  <si>
    <t>1050217650</t>
  </si>
  <si>
    <t>Abhishek Singh</t>
  </si>
  <si>
    <t>1203320404034031</t>
  </si>
  <si>
    <t>BVWPS3474G</t>
  </si>
  <si>
    <t>C 303 SIGNATURE VIEW APARTMENT</t>
  </si>
  <si>
    <t>DR MUHKERJEE NAGAR NORTH WEST</t>
  </si>
  <si>
    <t>DELHI DELHI</t>
  </si>
  <si>
    <t>9953886698</t>
  </si>
  <si>
    <t>asingh318@gmail.com</t>
  </si>
  <si>
    <t>+919953886698</t>
  </si>
  <si>
    <t>CHENNAI  VELACHERY?</t>
  </si>
  <si>
    <t>038501519658</t>
  </si>
  <si>
    <t>ICIC0000385</t>
  </si>
  <si>
    <t>1050218051</t>
  </si>
  <si>
    <t>Sreelakshmi Pk</t>
  </si>
  <si>
    <t>IFEPP5244A</t>
  </si>
  <si>
    <t>SREELAYAM</t>
  </si>
  <si>
    <t>Pookkottur</t>
  </si>
  <si>
    <t>Malappuram, Kerala</t>
  </si>
  <si>
    <t>POOKKOTTUR</t>
  </si>
  <si>
    <t>676517</t>
  </si>
  <si>
    <t>sreelakshmipk133@gmail.com</t>
  </si>
  <si>
    <t>+919544205708</t>
  </si>
  <si>
    <t>ARN-71876</t>
  </si>
  <si>
    <t>ARJUN BABU P K</t>
  </si>
  <si>
    <t>AKUPP0690B</t>
  </si>
  <si>
    <t>Puthan Kudiyan (H)</t>
  </si>
  <si>
    <t>Pookkottur Po</t>
  </si>
  <si>
    <t>Malappuram</t>
  </si>
  <si>
    <t>+919946205708</t>
  </si>
  <si>
    <t>arjunbb152@gmail.com</t>
  </si>
  <si>
    <t>MALAPPURAM</t>
  </si>
  <si>
    <t>MALAPPURAM (KE)</t>
  </si>
  <si>
    <t>850610110009650</t>
  </si>
  <si>
    <t>676013152</t>
  </si>
  <si>
    <t>BKID0008506</t>
  </si>
  <si>
    <t>ADHE22</t>
  </si>
  <si>
    <t>Andheri</t>
  </si>
  <si>
    <t>1050186307</t>
  </si>
  <si>
    <t>Jyoti</t>
  </si>
  <si>
    <t>CDUPJ9557Q</t>
  </si>
  <si>
    <t>C/O: LAKHAN BIR E-3/73 SULTANPURI SULTANPURI C</t>
  </si>
  <si>
    <t>BLOCK SARASWATI VIHAR SULTANPURI C BLOCK NORTH</t>
  </si>
  <si>
    <t>WEST DELHI DELHI 110086</t>
  </si>
  <si>
    <t>110086</t>
  </si>
  <si>
    <t>91</t>
  </si>
  <si>
    <t>919625200393</t>
  </si>
  <si>
    <t>lakhanbir200@gmail.com</t>
  </si>
  <si>
    <t>+919625200393</t>
  </si>
  <si>
    <t>AMLOH ROAD GOBI CGODI PB</t>
  </si>
  <si>
    <t>GODINDGARH</t>
  </si>
  <si>
    <t>925010046886058</t>
  </si>
  <si>
    <t>147211104</t>
  </si>
  <si>
    <t>UTIB0005214</t>
  </si>
  <si>
    <t>1050188394</t>
  </si>
  <si>
    <t>Rinku Devi</t>
  </si>
  <si>
    <t>BQSPD5885P</t>
  </si>
  <si>
    <t>135Y</t>
  </si>
  <si>
    <t>ADITYA BIRLA SUN LIFE BSE INDIA INFRASTRUCTURE INDEX FUND-Direct Growth</t>
  </si>
  <si>
    <t>MEHNDI GANJ,PATNA CITY,PATNA,BIHAR</t>
  </si>
  <si>
    <t>PATNA</t>
  </si>
  <si>
    <t>800008</t>
  </si>
  <si>
    <t>devirinku1987@gmail.com</t>
  </si>
  <si>
    <t>+917979094349</t>
  </si>
  <si>
    <t>JAGDEO PATH</t>
  </si>
  <si>
    <t>38503578570</t>
  </si>
  <si>
    <t>SBIN0015997</t>
  </si>
  <si>
    <t>1050241523</t>
  </si>
  <si>
    <t>Mandeep Kumar Gupta</t>
  </si>
  <si>
    <t>EZTPG5308B</t>
  </si>
  <si>
    <t>U 13, 1ST FLOOR,UPADHYAY BLOCK,NEAR TYAGI DAIRY,SHAKARP</t>
  </si>
  <si>
    <t>UR,GANDHI NAGAR</t>
  </si>
  <si>
    <t>110092</t>
  </si>
  <si>
    <t>mandeepgupta851@gmail.com</t>
  </si>
  <si>
    <t>+917428222319</t>
  </si>
  <si>
    <t>110276842775</t>
  </si>
  <si>
    <t>1050191126</t>
  </si>
  <si>
    <t>Gulshan Gulshan</t>
  </si>
  <si>
    <t>1203320452637592</t>
  </si>
  <si>
    <t>CFEPG0168Q</t>
  </si>
  <si>
    <t>KAKORIA</t>
  </si>
  <si>
    <t>122502</t>
  </si>
  <si>
    <t>8059012265</t>
  </si>
  <si>
    <t>gulshanrohiwal8059@gmail.com</t>
  </si>
  <si>
    <t>+918059012265</t>
  </si>
  <si>
    <t>CHILLLAR   DISTT REWARI</t>
  </si>
  <si>
    <t>CHILLAR (DISTT-REWARI)</t>
  </si>
  <si>
    <t>3329001500110513</t>
  </si>
  <si>
    <t>PUNB0332900</t>
  </si>
  <si>
    <t>1050196113</t>
  </si>
  <si>
    <t>Vikram Nivrutti Palkar</t>
  </si>
  <si>
    <t>1203320297042851</t>
  </si>
  <si>
    <t>CTMPP1905J</t>
  </si>
  <si>
    <t>266 BUGATE ALUR JADHAV GALLI</t>
  </si>
  <si>
    <t>BUGATE ALUR BUGATEALUR BELGAUM</t>
  </si>
  <si>
    <t>591313</t>
  </si>
  <si>
    <t>9158696047</t>
  </si>
  <si>
    <t>vikrampalkar50@gmail.com</t>
  </si>
  <si>
    <t>+919158696047</t>
  </si>
  <si>
    <t>BUGATE ALUR</t>
  </si>
  <si>
    <t>BUGATE ALUR (DIST. BELGAUM)</t>
  </si>
  <si>
    <t>841511610000030</t>
  </si>
  <si>
    <t>BKID0008415</t>
  </si>
  <si>
    <t>1050197481</t>
  </si>
  <si>
    <t>Ranjith Kumar Pentyala</t>
  </si>
  <si>
    <t>1203320051639852</t>
  </si>
  <si>
    <t>DECPP7991L</t>
  </si>
  <si>
    <t>5 70 KAKANI PALEM KAKANI PALEM</t>
  </si>
  <si>
    <t>ADDANKI PRAKASAM ADDANKI</t>
  </si>
  <si>
    <t>PRAKASAM</t>
  </si>
  <si>
    <t>523201</t>
  </si>
  <si>
    <t>9959988621</t>
  </si>
  <si>
    <t>caranjith.kumar64@gmail.com</t>
  </si>
  <si>
    <t>+919959988621</t>
  </si>
  <si>
    <t>VIJAYAWADA?</t>
  </si>
  <si>
    <t>VIJAYAWADA</t>
  </si>
  <si>
    <t>630601568234</t>
  </si>
  <si>
    <t>ICIC0006306</t>
  </si>
  <si>
    <t>1050199078</t>
  </si>
  <si>
    <t>Viki Ganesh Jondhale</t>
  </si>
  <si>
    <t>BVDPJ1451M</t>
  </si>
  <si>
    <t>MU POST MANWATH BOUDHA NAGAR MANWAT</t>
  </si>
  <si>
    <t>MANWAT ROAD MANWATH KOLHA PARBHANI</t>
  </si>
  <si>
    <t>MAHARASHTRA 431505</t>
  </si>
  <si>
    <t>PARBHANI</t>
  </si>
  <si>
    <t>431505</t>
  </si>
  <si>
    <t>vickyjondhale72@gmail.com</t>
  </si>
  <si>
    <t>+917219333587</t>
  </si>
  <si>
    <t>PAUD ROAD</t>
  </si>
  <si>
    <t>00000034250934464</t>
  </si>
  <si>
    <t>SBIN0009061</t>
  </si>
  <si>
    <t>1050198218</t>
  </si>
  <si>
    <t>Ajay Kumar</t>
  </si>
  <si>
    <t>1208870257514640</t>
  </si>
  <si>
    <t>HDKPK1453D</t>
  </si>
  <si>
    <t>241GZ</t>
  </si>
  <si>
    <t>Aditya Birla Sun Life Nifty 50 Index Fund - Growth-Direct Plan</t>
  </si>
  <si>
    <t>S/O RAJBIR,H N.280 GALI N.11,SAMALKA</t>
  </si>
  <si>
    <t>VILLAGE,SOUTH WEST DELHI,DELHI,110037</t>
  </si>
  <si>
    <t>110037</t>
  </si>
  <si>
    <t>ajay82875702@gmail.com</t>
  </si>
  <si>
    <t>+919560611485</t>
  </si>
  <si>
    <t>KAPASHERANEW DELHI</t>
  </si>
  <si>
    <t>006698900000035</t>
  </si>
  <si>
    <t>YESB0000066</t>
  </si>
  <si>
    <t>1050198910</t>
  </si>
  <si>
    <t>Nawaz Shabir</t>
  </si>
  <si>
    <t>MBZPS9328D</t>
  </si>
  <si>
    <t>S O SHABIR AHMED SAIM SAMAT NAROJAL RAJOURI</t>
  </si>
  <si>
    <t>JAMMU AND KASHMIR</t>
  </si>
  <si>
    <t>RAJOURI</t>
  </si>
  <si>
    <t>185212</t>
  </si>
  <si>
    <t>nawazshabir287@gmail.com</t>
  </si>
  <si>
    <t>+916006528143</t>
  </si>
  <si>
    <t>JAWAHAR NAGAR RAJOURI</t>
  </si>
  <si>
    <t>00000042318168112</t>
  </si>
  <si>
    <t>SBIN0016420</t>
  </si>
  <si>
    <t>1050197884</t>
  </si>
  <si>
    <t>Sukhendu Patra</t>
  </si>
  <si>
    <t>1208870164684093</t>
  </si>
  <si>
    <t>EPVPP8120J</t>
  </si>
  <si>
    <t>.,.,KHARIKA MATHANI,PASCHIM</t>
  </si>
  <si>
    <t>MEDINIPUR,WEST BENGAL,721159</t>
  </si>
  <si>
    <t>PASCHIM MEDINIPUR</t>
  </si>
  <si>
    <t>721159</t>
  </si>
  <si>
    <t>sukhendupatra569@gmail.com</t>
  </si>
  <si>
    <t>+918159969257</t>
  </si>
  <si>
    <t>FEDERAL BANK</t>
  </si>
  <si>
    <t>EPIFI FEDERAL NEO BANKING</t>
  </si>
  <si>
    <t>55550111036354</t>
  </si>
  <si>
    <t>FDRL0005555</t>
  </si>
  <si>
    <t>1050218845</t>
  </si>
  <si>
    <t>Muralidhara H S</t>
  </si>
  <si>
    <t>AMRPM0673L</t>
  </si>
  <si>
    <t>279/28 3RD MAIN OLD MADIVALA</t>
  </si>
  <si>
    <t>BTM LAYOUT 1ST STAGE MADIVALA</t>
  </si>
  <si>
    <t>560068</t>
  </si>
  <si>
    <t>918147788294</t>
  </si>
  <si>
    <t>hullurmurali@gmail.com</t>
  </si>
  <si>
    <t>+918147788294</t>
  </si>
  <si>
    <t>JAYANAGAR, BANGALORE [KT]</t>
  </si>
  <si>
    <t>921010040055487</t>
  </si>
  <si>
    <t>560211003</t>
  </si>
  <si>
    <t>UTIB0000052</t>
  </si>
  <si>
    <t>1050244072</t>
  </si>
  <si>
    <t>Pentakota Hemalatha</t>
  </si>
  <si>
    <t>1203320091254192</t>
  </si>
  <si>
    <t>BLFPH9611H</t>
  </si>
  <si>
    <t>H NO 12 16 18 RANI GARI STREET</t>
  </si>
  <si>
    <t>ANAKAPALLI GAVARAPALEM</t>
  </si>
  <si>
    <t>ANAKAPALLE</t>
  </si>
  <si>
    <t>VISAKHAPATNAM</t>
  </si>
  <si>
    <t>531002</t>
  </si>
  <si>
    <t>8125001549</t>
  </si>
  <si>
    <t>hemapentakota27@gmail.com</t>
  </si>
  <si>
    <t>+918125001549</t>
  </si>
  <si>
    <t>GAVARAPALEM</t>
  </si>
  <si>
    <t>00000020192897985</t>
  </si>
  <si>
    <t>SBIN0011112</t>
  </si>
  <si>
    <t>1050224433</t>
  </si>
  <si>
    <t>Pavithra S</t>
  </si>
  <si>
    <t>1208160195227979</t>
  </si>
  <si>
    <t>FATCA not available for Investor/Guardian-TKBPS3511N</t>
  </si>
  <si>
    <t>TKBPS3511N</t>
  </si>
  <si>
    <t>221GZ</t>
  </si>
  <si>
    <t>Aditya Birla Sun Life MNC Fund - Growth-Direct Plan</t>
  </si>
  <si>
    <t>D/O SAKTHIVEL NO380 AMMAN KOVIL STREET N</t>
  </si>
  <si>
    <t>AKKAMPADI POST NOOKAMBADI MADALAMBADI</t>
  </si>
  <si>
    <t>MADALAMBADI</t>
  </si>
  <si>
    <t>606752</t>
  </si>
  <si>
    <t>pavithra81202@gmail.com</t>
  </si>
  <si>
    <t>+919342544658</t>
  </si>
  <si>
    <t>CHENNAI T NAGAR</t>
  </si>
  <si>
    <t>0357053000015992</t>
  </si>
  <si>
    <t>SIBL0000357</t>
  </si>
  <si>
    <t>1050250140</t>
  </si>
  <si>
    <t>Disha Naranbhai Katpara</t>
  </si>
  <si>
    <t>31</t>
  </si>
  <si>
    <t>Below 1 Lakh</t>
  </si>
  <si>
    <t>PATPK1727E</t>
  </si>
  <si>
    <t>D/O Naranbhai 9 Meghavadso Kasak</t>
  </si>
  <si>
    <t>Fuvara Bharuch</t>
  </si>
  <si>
    <t>Bharuch</t>
  </si>
  <si>
    <t>Kasak</t>
  </si>
  <si>
    <t>392001</t>
  </si>
  <si>
    <t>katparadisha2005@gmail.com</t>
  </si>
  <si>
    <t>+919081082042</t>
  </si>
  <si>
    <t>ARN-113501</t>
  </si>
  <si>
    <t>RAMESHBHAI THAKORBHAIRAVAL</t>
  </si>
  <si>
    <t>AEVPR8967E</t>
  </si>
  <si>
    <t>A50 Shri Rangkrupa Bunglows</t>
  </si>
  <si>
    <t>Tulshidham Zadeshwar Road</t>
  </si>
  <si>
    <t>+919824327603</t>
  </si>
  <si>
    <t>rameshraval2002@yahoo.co.in</t>
  </si>
  <si>
    <t>BHARUCH</t>
  </si>
  <si>
    <t>BARUCH</t>
  </si>
  <si>
    <t>300010110005241</t>
  </si>
  <si>
    <t>392013001</t>
  </si>
  <si>
    <t>BKID0003000</t>
  </si>
  <si>
    <t>BAR2642</t>
  </si>
  <si>
    <t>1050251514</t>
  </si>
  <si>
    <t>Pawandeep Kaur Dhawan</t>
  </si>
  <si>
    <t>1208870020724461</t>
  </si>
  <si>
    <t>AOKPK3099K</t>
  </si>
  <si>
    <t>W/O: KULDEEP DHAWAN, B4A M.I.G, DDA</t>
  </si>
  <si>
    <t>FLAT, VATIKA APARTMENT,, MAYAPURI,</t>
  </si>
  <si>
    <t>MAYA PURI, SOUTH WEST, DELHI, , DELHI,</t>
  </si>
  <si>
    <t>WEST DELHI</t>
  </si>
  <si>
    <t>110064</t>
  </si>
  <si>
    <t>pawandeep2477@gmail.com</t>
  </si>
  <si>
    <t>+919910081109</t>
  </si>
  <si>
    <t>NEW DELHI MAYAPURI PHASE  I</t>
  </si>
  <si>
    <t>181801001523</t>
  </si>
  <si>
    <t>ICIC0001818</t>
  </si>
  <si>
    <t>1050253196</t>
  </si>
  <si>
    <t>Simpu Kumar</t>
  </si>
  <si>
    <t>FTPPK6997D</t>
  </si>
  <si>
    <t>CHHOTI PAHARI PAHARI SAMPATCHAK</t>
  </si>
  <si>
    <t>800007</t>
  </si>
  <si>
    <t>simpukumarpatna@gmail.com</t>
  </si>
  <si>
    <t>+918507606273</t>
  </si>
  <si>
    <t>ARN-327481</t>
  </si>
  <si>
    <t>Chanda Kumari</t>
  </si>
  <si>
    <t>BCAPK7403C</t>
  </si>
  <si>
    <t>w/o Ranjit Kumar ,Musallahpur Hat</t>
  </si>
  <si>
    <t>Lohar Lane Mahendru,Sampatchak</t>
  </si>
  <si>
    <t>sultanganj</t>
  </si>
  <si>
    <t>800006</t>
  </si>
  <si>
    <t>8406951781</t>
  </si>
  <si>
    <t>ck11353739@gmail.com</t>
  </si>
  <si>
    <t>TRANSPORT NAGAR PATNA</t>
  </si>
  <si>
    <t>4057001500002978</t>
  </si>
  <si>
    <t>800024016</t>
  </si>
  <si>
    <t>PUNB0405700</t>
  </si>
  <si>
    <t>P10</t>
  </si>
  <si>
    <t>1050253972</t>
  </si>
  <si>
    <t>Saloni Sharma</t>
  </si>
  <si>
    <t>1208870068358650</t>
  </si>
  <si>
    <t>JBJPS6210R</t>
  </si>
  <si>
    <t>R2930 BAJRANG COLONY JHOTWARA KHATI,</t>
  </si>
  <si>
    <t>PURA ROAD JAIPUR</t>
  </si>
  <si>
    <t>302012</t>
  </si>
  <si>
    <t>salonisharma01995@gmail.com</t>
  </si>
  <si>
    <t>+919057053748</t>
  </si>
  <si>
    <t>INFOSYS CAMPUS MYSORE</t>
  </si>
  <si>
    <t>917010031195148</t>
  </si>
  <si>
    <t>UTIB0002788</t>
  </si>
  <si>
    <t>1050255319</t>
  </si>
  <si>
    <t>Mandeep Singh</t>
  </si>
  <si>
    <t>1208180080878069</t>
  </si>
  <si>
    <t>CLKPS9276D</t>
  </si>
  <si>
    <t>197 2 AJIT NAGARS W ROAD AMRIT</t>
  </si>
  <si>
    <t>AMRITSAR</t>
  </si>
  <si>
    <t>143001</t>
  </si>
  <si>
    <t>9814444471</t>
  </si>
  <si>
    <t>mandeeparoraasr@gmail.com</t>
  </si>
  <si>
    <t>+919814444471</t>
  </si>
  <si>
    <t>INZ000315837</t>
  </si>
  <si>
    <t>UPSTOX SECURITIES PVT LTD</t>
  </si>
  <si>
    <t>riaops@rksv.in</t>
  </si>
  <si>
    <t>AMRITSAR  HALL BAZAR?</t>
  </si>
  <si>
    <t>023801525136</t>
  </si>
  <si>
    <t>ICIC0000238</t>
  </si>
  <si>
    <t>1050255412</t>
  </si>
  <si>
    <t>Bhagirath Gope</t>
  </si>
  <si>
    <t>1208870203186090</t>
  </si>
  <si>
    <t>BIFPG6885B</t>
  </si>
  <si>
    <t>S/O: GOUR GOPE,KESHAR GARIA,PASCHIM</t>
  </si>
  <si>
    <t>MEDINIPUR,WEST BENGAL,721505</t>
  </si>
  <si>
    <t>721505</t>
  </si>
  <si>
    <t>bgope34@gmail.com</t>
  </si>
  <si>
    <t>+919732690406</t>
  </si>
  <si>
    <t>CHICHIRA</t>
  </si>
  <si>
    <t>CHICHRA</t>
  </si>
  <si>
    <t>37780932768</t>
  </si>
  <si>
    <t>SBIN0007003</t>
  </si>
  <si>
    <t>1050254330</t>
  </si>
  <si>
    <t>Rajwinder Kaur</t>
  </si>
  <si>
    <t>JMCPK0118L</t>
  </si>
  <si>
    <t>CO Atinderdeep Singh Tur Khadoor</t>
  </si>
  <si>
    <t>Sahib Tarn Taran Punjab India</t>
  </si>
  <si>
    <t>Tur</t>
  </si>
  <si>
    <t>143411</t>
  </si>
  <si>
    <t>rajwindertur@gmail.com</t>
  </si>
  <si>
    <t>+916283587433</t>
  </si>
  <si>
    <t>TARNTARAN</t>
  </si>
  <si>
    <t>110227061375</t>
  </si>
  <si>
    <t>CNRB0002852</t>
  </si>
  <si>
    <t>183</t>
  </si>
  <si>
    <t>Amritsar</t>
  </si>
  <si>
    <t>1050144681</t>
  </si>
  <si>
    <t>Monika Sahu</t>
  </si>
  <si>
    <t>1208870434773408</t>
  </si>
  <si>
    <t>RWKPS0451N</t>
  </si>
  <si>
    <t>C O UGRASEN SAHU 44 WARD NO 13 SHITLA</t>
  </si>
  <si>
    <t>PARA BIRETARA BIRETRA BALOD</t>
  </si>
  <si>
    <t>CHHATTISGARH 491227</t>
  </si>
  <si>
    <t>BIRETRA</t>
  </si>
  <si>
    <t>491227</t>
  </si>
  <si>
    <t>monisahu0612@gmail.com</t>
  </si>
  <si>
    <t>+916265593176</t>
  </si>
  <si>
    <t>DBU BALOD</t>
  </si>
  <si>
    <t>00000041393636509</t>
  </si>
  <si>
    <t>SBIN0064049</t>
  </si>
  <si>
    <t>1050146215</t>
  </si>
  <si>
    <t>Prarup Pathak</t>
  </si>
  <si>
    <t>FGCPP2893B</t>
  </si>
  <si>
    <t>SO Rajesh Kumar Pathak,2F47 Nehru Nagar 2nd</t>
  </si>
  <si>
    <t>Block F,Ghaziabad,Ghaziabad,Gh</t>
  </si>
  <si>
    <t>aziabad,Ghaziabad,Uttar Pradesh</t>
  </si>
  <si>
    <t>Ghaziabad</t>
  </si>
  <si>
    <t>201001</t>
  </si>
  <si>
    <t>prarup31@gmail.com</t>
  </si>
  <si>
    <t>+919899931620</t>
  </si>
  <si>
    <t>4849399189</t>
  </si>
  <si>
    <t>KKBK0005295</t>
  </si>
  <si>
    <t>1050171482</t>
  </si>
  <si>
    <t>Nainani Vishal Tarachand</t>
  </si>
  <si>
    <t>BORPN4612P</t>
  </si>
  <si>
    <t>A/303,ashutosh Flat,sardarnagar,B/H hotel Taj Umed</t>
  </si>
  <si>
    <t>Ahmedabad City,Ahmedabad,Gujarat,382475</t>
  </si>
  <si>
    <t>382475</t>
  </si>
  <si>
    <t>vishunainani13@gmail.com</t>
  </si>
  <si>
    <t>NAVRANGPURA BRANCH</t>
  </si>
  <si>
    <t>AHMADABAD</t>
  </si>
  <si>
    <t>7567348959</t>
  </si>
  <si>
    <t>KKBK0002588</t>
  </si>
  <si>
    <t>1050172295</t>
  </si>
  <si>
    <t>Virendra</t>
  </si>
  <si>
    <t>BBQPV0554A</t>
  </si>
  <si>
    <t>S O SHIV PRASAD H NO 847 ROSHANPURA RAJBHAWAN HUZUR</t>
  </si>
  <si>
    <t>C T T NAGAR BHOPAL MADHYA PRADESH 462003</t>
  </si>
  <si>
    <t>462003</t>
  </si>
  <si>
    <t>tiwarivirendra187@gmail.com</t>
  </si>
  <si>
    <t>+917987973019</t>
  </si>
  <si>
    <t>AIRTEL PAYMENTS BANK LIMITED</t>
  </si>
  <si>
    <t>AIRTEL PAYMENTS BRANCH</t>
  </si>
  <si>
    <t>GURGOAN</t>
  </si>
  <si>
    <t>7987973019</t>
  </si>
  <si>
    <t>AIRP0000001</t>
  </si>
  <si>
    <t>1050165444</t>
  </si>
  <si>
    <t>Anupama Nhavalore</t>
  </si>
  <si>
    <t>CBBPN4064M</t>
  </si>
  <si>
    <t>C/O: VINOD CHANGARAMKANDAM, 3923, PRESTIGE KEW GARDENS,</t>
  </si>
  <si>
    <t>NEXT TO ROHAN JHAROKA, YEMALUR, KARIYAMNA AGARAHARA</t>
  </si>
  <si>
    <t>ROAD, MARATHAHALLI, 560037, BENGALURU</t>
  </si>
  <si>
    <t>MARATHAHALLI</t>
  </si>
  <si>
    <t>anupama.n.nair16@gmail.com</t>
  </si>
  <si>
    <t>+919901704823</t>
  </si>
  <si>
    <t>CAT-1-EOP-0002</t>
  </si>
  <si>
    <t>Express Building 9-10</t>
  </si>
  <si>
    <t>Bahadur shah Zafar marg</t>
  </si>
  <si>
    <t>New Delhi</t>
  </si>
  <si>
    <t>+919811992085</t>
  </si>
  <si>
    <t>yogendra.kaphalia@etmoney.com</t>
  </si>
  <si>
    <t>DIVYASHREE TECHNOPOLIS</t>
  </si>
  <si>
    <t>BANGALORE URBAN</t>
  </si>
  <si>
    <t>50100674044422</t>
  </si>
  <si>
    <t>HDFC0009489</t>
  </si>
  <si>
    <t>1050143086</t>
  </si>
  <si>
    <t>Amitesh Singh Sengar</t>
  </si>
  <si>
    <t>MDDPS6099D</t>
  </si>
  <si>
    <t>85NIG</t>
  </si>
  <si>
    <t>Aditya Birla Sun Life Banking &amp; PSU Debt Fund - Growth-Regular Plan</t>
  </si>
  <si>
    <t>S O POKHAN SINGH SENGAR HOUSE NUMBER</t>
  </si>
  <si>
    <t>76 DHORLEE DHARMGHAD POST DHORLI</t>
  </si>
  <si>
    <t>KAWARDHA KAWARDHA KAWARDHA</t>
  </si>
  <si>
    <t>Kawardha</t>
  </si>
  <si>
    <t>491995</t>
  </si>
  <si>
    <t>917869993230</t>
  </si>
  <si>
    <t>amiteshsinghsengar67@gmail.com</t>
  </si>
  <si>
    <t>+917869993230</t>
  </si>
  <si>
    <t>RANVEERPUR C6966 CT</t>
  </si>
  <si>
    <t>KABEERDHAM</t>
  </si>
  <si>
    <t>925010038127350</t>
  </si>
  <si>
    <t>491211006</t>
  </si>
  <si>
    <t>UTIB0005553</t>
  </si>
  <si>
    <t>1050153942</t>
  </si>
  <si>
    <t>Aditi Mahendra Raut</t>
  </si>
  <si>
    <t>1208870374559531</t>
  </si>
  <si>
    <t>GVUPR6786R</t>
  </si>
  <si>
    <t>C/O MAHENDRA BHASKAR RAUT,FLAT 9264,</t>
  </si>
  <si>
    <t>TOWER 9, RUSSEL, PRESTIGE HIGH</t>
  </si>
  <si>
    <t>FIELDS,NANAKRAMGUDA, FINANCIAL</t>
  </si>
  <si>
    <t>500032</t>
  </si>
  <si>
    <t>aditiraut853@gmail.com</t>
  </si>
  <si>
    <t>+918921433746</t>
  </si>
  <si>
    <t>031401584264</t>
  </si>
  <si>
    <t>1050154598</t>
  </si>
  <si>
    <t>Kawal Puri</t>
  </si>
  <si>
    <t>BVZPP0548M</t>
  </si>
  <si>
    <t>140B</t>
  </si>
  <si>
    <t>Aditya Birla Sun Life BSE 500 MOMENTUM 50 INDEX FUND- Regular Growth</t>
  </si>
  <si>
    <t>S/O RAM LUBHAYA PURI 379/5 DR. KARTAR SINGH WALI GALI</t>
  </si>
  <si>
    <t>WARD NUMBER 5</t>
  </si>
  <si>
    <t>TARN TARAN</t>
  </si>
  <si>
    <t>143416</t>
  </si>
  <si>
    <t>918194966772</t>
  </si>
  <si>
    <t>kawalpuri12@gmail.com</t>
  </si>
  <si>
    <t>+918194966772</t>
  </si>
  <si>
    <t>PATTI [PB]</t>
  </si>
  <si>
    <t>PATTI</t>
  </si>
  <si>
    <t>416010100074360</t>
  </si>
  <si>
    <t>143211402</t>
  </si>
  <si>
    <t>UTIB0000416</t>
  </si>
  <si>
    <t>1050155065</t>
  </si>
  <si>
    <t>Abhay Rana</t>
  </si>
  <si>
    <t>1203320220111187</t>
  </si>
  <si>
    <t>GANPR5918D</t>
  </si>
  <si>
    <t>NAGALA UDHAM SINGH NAGAR</t>
  </si>
  <si>
    <t>UTTARAKHAND</t>
  </si>
  <si>
    <t>KHATIMA</t>
  </si>
  <si>
    <t>UC</t>
  </si>
  <si>
    <t>262311</t>
  </si>
  <si>
    <t>7818099509</t>
  </si>
  <si>
    <t>abhayrana8998@gmail.com</t>
  </si>
  <si>
    <t>+917818099509</t>
  </si>
  <si>
    <t>NANAKMATTA</t>
  </si>
  <si>
    <t>NANAK</t>
  </si>
  <si>
    <t>00000041776507079</t>
  </si>
  <si>
    <t>SBIN0002585</t>
  </si>
  <si>
    <t>1050165113</t>
  </si>
  <si>
    <t>Deepika Sharma</t>
  </si>
  <si>
    <t>IZFPS0239K</t>
  </si>
  <si>
    <t>D O Ajay Kumar Sharma Krishna</t>
  </si>
  <si>
    <t>Enclave West Model Town Ghaziabad</t>
  </si>
  <si>
    <t>Ghaziabad Uttar Pradesh 201001 India</t>
  </si>
  <si>
    <t>deepikash235@gmail.com</t>
  </si>
  <si>
    <t>+919828891332</t>
  </si>
  <si>
    <t>ICICI BANK  RETAIL NET BANKING</t>
  </si>
  <si>
    <t>CHANDER NAGAR</t>
  </si>
  <si>
    <t>721701500483</t>
  </si>
  <si>
    <t>ICIC0007217</t>
  </si>
  <si>
    <t>1050157824</t>
  </si>
  <si>
    <t>Rosario Francis Pacheco</t>
  </si>
  <si>
    <t>ABSPP2631F</t>
  </si>
  <si>
    <t>Rosy Rosario Pacheco</t>
  </si>
  <si>
    <t>ABDPP6905D</t>
  </si>
  <si>
    <t>GODS GIFT A WING FLAT NO.402</t>
  </si>
  <si>
    <t>4TH FLOOR N M JOSHI MARG NEXT TO</t>
  </si>
  <si>
    <t>MATHURADAS MILL COMPOUNDLOWER PAREL DELISLE ROAD</t>
  </si>
  <si>
    <t>pacheco.rosario2409@gmail.com</t>
  </si>
  <si>
    <t>+919820334533</t>
  </si>
  <si>
    <t>ARN-322495</t>
  </si>
  <si>
    <t>VASA FINSERV LLP</t>
  </si>
  <si>
    <t>AAZFV6356R</t>
  </si>
  <si>
    <t>204, PAREKH MARKET, 2ND FLOOR</t>
  </si>
  <si>
    <t>NEAR KENNEDY BRIDGE, OPERA HOUSE</t>
  </si>
  <si>
    <t>J.S.S ROAD</t>
  </si>
  <si>
    <t>400004</t>
  </si>
  <si>
    <t>9892709919</t>
  </si>
  <si>
    <t>vasafinservllp@gmail.com</t>
  </si>
  <si>
    <t>BANDRA HILL ROAD - MUMBAI</t>
  </si>
  <si>
    <t>315602011000426</t>
  </si>
  <si>
    <t>400026012</t>
  </si>
  <si>
    <t>UBIN0531561</t>
  </si>
  <si>
    <t>1050165340</t>
  </si>
  <si>
    <t>Kandala Padmanabha Swamy</t>
  </si>
  <si>
    <t>1206420011424461</t>
  </si>
  <si>
    <t>ACVPK3336J</t>
  </si>
  <si>
    <t>6-1-2 BHAGYA LAXMI COLONYMANIK</t>
  </si>
  <si>
    <t>ONDA RAJENDRA NAGAR K.V.RANGA</t>
  </si>
  <si>
    <t>R EDDY PUPPALAGUDA PUPPALG</t>
  </si>
  <si>
    <t>HYDERABAD.</t>
  </si>
  <si>
    <t>500089</t>
  </si>
  <si>
    <t>kpswamy04@gmail.com</t>
  </si>
  <si>
    <t>+919959688859</t>
  </si>
  <si>
    <t>RAIDURG</t>
  </si>
  <si>
    <t>RANGA REDDY</t>
  </si>
  <si>
    <t>52088431938</t>
  </si>
  <si>
    <t>SBIN0020540</t>
  </si>
  <si>
    <t>1050248403</t>
  </si>
  <si>
    <t>Nayna Rajesh Kulkarni</t>
  </si>
  <si>
    <t>AIPPK8598N</t>
  </si>
  <si>
    <t>C 9 Harmony Estate Kathe Galli</t>
  </si>
  <si>
    <t>Bankar Chowk Dwarka Corner</t>
  </si>
  <si>
    <t>Nashik</t>
  </si>
  <si>
    <t>422011</t>
  </si>
  <si>
    <t>rajesh_kulkarni007@rediffmail.com</t>
  </si>
  <si>
    <t>+918975752935</t>
  </si>
  <si>
    <t>ARN-23137</t>
  </si>
  <si>
    <t>DEEPLAXMI N GANGAKHEDKAR</t>
  </si>
  <si>
    <t>AGHPG5425E</t>
  </si>
  <si>
    <t>B-301 Nayantara Hills</t>
  </si>
  <si>
    <t>Mico Circle</t>
  </si>
  <si>
    <t>Next To Sanchar Bhawan</t>
  </si>
  <si>
    <t>422002</t>
  </si>
  <si>
    <t>+919823078733</t>
  </si>
  <si>
    <t>cfp.deeplaxmi@gmail.com</t>
  </si>
  <si>
    <t>THE COSMOS CO OPERATIVE BANK LIMITE</t>
  </si>
  <si>
    <t>BANKAR CHOWK</t>
  </si>
  <si>
    <t>NASHIK</t>
  </si>
  <si>
    <t>9100501015367</t>
  </si>
  <si>
    <t>422164004</t>
  </si>
  <si>
    <t>COSB0000910</t>
  </si>
  <si>
    <t>1050186043</t>
  </si>
  <si>
    <t>Bharathi Guntupalli</t>
  </si>
  <si>
    <t>ABTPG2657H</t>
  </si>
  <si>
    <t>D NO 32-2-13 LOTUS TOWERS FLAT NO 225</t>
  </si>
  <si>
    <t>CURRENT BAVI STREET JAMMI CHETTU CENTRE</t>
  </si>
  <si>
    <t>MOGALRAJPURAM</t>
  </si>
  <si>
    <t>Vijayawada</t>
  </si>
  <si>
    <t>520010</t>
  </si>
  <si>
    <t>anrao1935@gmail.com</t>
  </si>
  <si>
    <t>+919440876315</t>
  </si>
  <si>
    <t>ARN-125805</t>
  </si>
  <si>
    <t>MONEYSTREAM FINANCIAL SERVICES IMF PVT TLD</t>
  </si>
  <si>
    <t>AALCM1148H</t>
  </si>
  <si>
    <t>Door No 74-1-22/1</t>
  </si>
  <si>
    <t>Opp To Jd Towers Main Gate</t>
  </si>
  <si>
    <t>Jd Nagar Bus Stop Near Auto Nagar Gate</t>
  </si>
  <si>
    <t>+919121012530</t>
  </si>
  <si>
    <t>moneystreamimf@gmail.com</t>
  </si>
  <si>
    <t>LABBIPET VIJAYAWAD</t>
  </si>
  <si>
    <t>034310011014144</t>
  </si>
  <si>
    <t>520026036</t>
  </si>
  <si>
    <t>UBIN0803430</t>
  </si>
  <si>
    <t>V3</t>
  </si>
  <si>
    <t>1050191183</t>
  </si>
  <si>
    <t>Saba Mahtab</t>
  </si>
  <si>
    <t>1203320187317554</t>
  </si>
  <si>
    <t>AUOPM1874A</t>
  </si>
  <si>
    <t>B2 76 SEWAK PARK UTTAM NAGAR</t>
  </si>
  <si>
    <t>WEST DELHI DELHI</t>
  </si>
  <si>
    <t>110059</t>
  </si>
  <si>
    <t>9821803078</t>
  </si>
  <si>
    <t>mahtabuzzaman@gmail.com</t>
  </si>
  <si>
    <t>+919821803078</t>
  </si>
  <si>
    <t>FRIENDS COLONY</t>
  </si>
  <si>
    <t>20010018097</t>
  </si>
  <si>
    <t>SBIN0001711</t>
  </si>
  <si>
    <t>1050191557</t>
  </si>
  <si>
    <t>Pappi Kumari</t>
  </si>
  <si>
    <t>1203320436904217</t>
  </si>
  <si>
    <t>PRXPK9702G</t>
  </si>
  <si>
    <t>WARD 23 SIKHARI CHAK PATNA</t>
  </si>
  <si>
    <t>BARH</t>
  </si>
  <si>
    <t>803303</t>
  </si>
  <si>
    <t>9504584112</t>
  </si>
  <si>
    <t>shankarritik832@gmail.com</t>
  </si>
  <si>
    <t>+919504584112</t>
  </si>
  <si>
    <t>LANGARPUR</t>
  </si>
  <si>
    <t>625710110003202</t>
  </si>
  <si>
    <t>BKID0006257</t>
  </si>
  <si>
    <t>1050193119</t>
  </si>
  <si>
    <t>Aatiksh Bhateja</t>
  </si>
  <si>
    <t>SUNIL KUMAR</t>
  </si>
  <si>
    <t>ALLPB7643J</t>
  </si>
  <si>
    <t>S O OM PARKASH HOUSE NO 745 DUGRI PHASE 2 LUDHIANA</t>
  </si>
  <si>
    <t>BASANT AVENUE LUDHIANA PUNJAB 141013</t>
  </si>
  <si>
    <t>141013</t>
  </si>
  <si>
    <t>sunil.bhateja@gmail.com</t>
  </si>
  <si>
    <t>+919888888834</t>
  </si>
  <si>
    <t>ARN-317069</t>
  </si>
  <si>
    <t>Virender Singh</t>
  </si>
  <si>
    <t>AIVPA6419L</t>
  </si>
  <si>
    <t>House No. 1538, First Floor</t>
  </si>
  <si>
    <t>Basant City</t>
  </si>
  <si>
    <t>Near Le Palm Flats</t>
  </si>
  <si>
    <t>Ludhiana</t>
  </si>
  <si>
    <t>6239445657</t>
  </si>
  <si>
    <t>uttaminvestments10@gmail.com</t>
  </si>
  <si>
    <t>PHASE TWO DUGRI</t>
  </si>
  <si>
    <t>922010064618342</t>
  </si>
  <si>
    <t>UTIB0004696</t>
  </si>
  <si>
    <t>1050177896</t>
  </si>
  <si>
    <t>Kaushik Bhowmick</t>
  </si>
  <si>
    <t>1208870362815406</t>
  </si>
  <si>
    <t>GVEPB6313J</t>
  </si>
  <si>
    <t>S/O. HIMANGSHU</t>
  </si>
  <si>
    <t>BHOWMICK,KAMINA,SUMDA,HOWRAH,WEST</t>
  </si>
  <si>
    <t>BENGAL,711303</t>
  </si>
  <si>
    <t>HOWRAH</t>
  </si>
  <si>
    <t>711303</t>
  </si>
  <si>
    <t>kausushikbhowmick@gmail.com</t>
  </si>
  <si>
    <t>+918017452821</t>
  </si>
  <si>
    <t>NORTH EAST SMALL FINANCE BANK LIMITED</t>
  </si>
  <si>
    <t>KORAMANGALA BRANCH</t>
  </si>
  <si>
    <t>033325221600976</t>
  </si>
  <si>
    <t>NESF0000333</t>
  </si>
  <si>
    <t>1050195582</t>
  </si>
  <si>
    <t>D Siva Sankar</t>
  </si>
  <si>
    <t>BDFPS0125M</t>
  </si>
  <si>
    <t>3 18 VISALAKSHI NAGAR NEAR SFR COLLE</t>
  </si>
  <si>
    <t>GE BACK GATE PALLAPATTI ROAD</t>
  </si>
  <si>
    <t>SIVAKASI</t>
  </si>
  <si>
    <t>626189</t>
  </si>
  <si>
    <t>919894394593</t>
  </si>
  <si>
    <t>d.sivasankar82@gmail.com</t>
  </si>
  <si>
    <t>+919894394593</t>
  </si>
  <si>
    <t>SIVAKASI [TN]</t>
  </si>
  <si>
    <t>089010100065955</t>
  </si>
  <si>
    <t>626211002</t>
  </si>
  <si>
    <t>UTIB0000089</t>
  </si>
  <si>
    <t>1050196787</t>
  </si>
  <si>
    <t>Patelkinjalbenvikramkumar</t>
  </si>
  <si>
    <t>1208870434775253</t>
  </si>
  <si>
    <t>DCOPP2354F</t>
  </si>
  <si>
    <t>67Y</t>
  </si>
  <si>
    <t>Aditya Birla Sun Life Special Opportunities Fund Direct Growth</t>
  </si>
  <si>
    <t>5 2 54 GANESHPARU UNJHA UNJHA</t>
  </si>
  <si>
    <t>UNJHA</t>
  </si>
  <si>
    <t>patelvikram7016@gmail.com</t>
  </si>
  <si>
    <t>+916351896583</t>
  </si>
  <si>
    <t>44918100001146</t>
  </si>
  <si>
    <t>BARB0UNJHAX</t>
  </si>
  <si>
    <t>1050198581</t>
  </si>
  <si>
    <t>Modi Pratik Atulkumar</t>
  </si>
  <si>
    <t>1203320191249273</t>
  </si>
  <si>
    <t>GWEPM5164D</t>
  </si>
  <si>
    <t>MIRA NO KHANCHO FATEH DARWAJA</t>
  </si>
  <si>
    <t>VISNAGAR MAHESANA GUJARAT</t>
  </si>
  <si>
    <t>VISNAGAR</t>
  </si>
  <si>
    <t>384315</t>
  </si>
  <si>
    <t>8200826005</t>
  </si>
  <si>
    <t>pratikmodi805@gmail.com</t>
  </si>
  <si>
    <t>+918200826005</t>
  </si>
  <si>
    <t>VISNAGAR  GUJARAT</t>
  </si>
  <si>
    <t>50100540637467</t>
  </si>
  <si>
    <t>HDFC0000532</t>
  </si>
  <si>
    <t>1050200446</t>
  </si>
  <si>
    <t>Sunny Kumar</t>
  </si>
  <si>
    <t>PGCPK4140N</t>
  </si>
  <si>
    <t>S O SUNIL KUMAR JAYSWAL MAIN BAJAR PACHIYARI TOLA</t>
  </si>
  <si>
    <t>NEAR OF SBI MAHAGAMA MAHAGAMA MAHGAMA GODDA JHARKHAND</t>
  </si>
  <si>
    <t>814154</t>
  </si>
  <si>
    <t>GODDA</t>
  </si>
  <si>
    <t>sj6939311@gmail.com</t>
  </si>
  <si>
    <t>+919264469515</t>
  </si>
  <si>
    <t>110197459490</t>
  </si>
  <si>
    <t>1050202849</t>
  </si>
  <si>
    <t>PAWAN SUNDER SIPAHIMALANI</t>
  </si>
  <si>
    <t>34</t>
  </si>
  <si>
    <t>10-25 Lacs</t>
  </si>
  <si>
    <t>AFZPS3121G</t>
  </si>
  <si>
    <t>KARISHMA SIPAHIMALANI</t>
  </si>
  <si>
    <t>AFUPK4148Q</t>
  </si>
  <si>
    <t>501 RITLAND 197 ST PAUL ROAD</t>
  </si>
  <si>
    <t>NEAR DMONTE PARK</t>
  </si>
  <si>
    <t>BANDRA WEST</t>
  </si>
  <si>
    <t>400050</t>
  </si>
  <si>
    <t>psipahimalani@gmail.com</t>
  </si>
  <si>
    <t>+919820038498</t>
  </si>
  <si>
    <t>ARN-101658</t>
  </si>
  <si>
    <t>AMITA SATPATHY</t>
  </si>
  <si>
    <t>FFBPS5414F</t>
  </si>
  <si>
    <t>E-603 Green Ville Sanghvi</t>
  </si>
  <si>
    <t>Garden Sagaon Manpada Road</t>
  </si>
  <si>
    <t>Dombivli East</t>
  </si>
  <si>
    <t>DIST.THANE</t>
  </si>
  <si>
    <t>421204</t>
  </si>
  <si>
    <t>+919930367435</t>
  </si>
  <si>
    <t>biswa.sat@gmail.com</t>
  </si>
  <si>
    <t>MUMBAI - BANDRA</t>
  </si>
  <si>
    <t>003801512678</t>
  </si>
  <si>
    <t>ICIC0000038</t>
  </si>
  <si>
    <t>1050206417</t>
  </si>
  <si>
    <t>Abhijeet Avinash Maydev</t>
  </si>
  <si>
    <t>AVAPM3812D</t>
  </si>
  <si>
    <t>S/O: AVINASH MAYDEV,178,GANPATI GALLI,AJRA,KOLHAPUR</t>
  </si>
  <si>
    <t>MAHARASHTRA,416505</t>
  </si>
  <si>
    <t>KOLHAPUR</t>
  </si>
  <si>
    <t>416505</t>
  </si>
  <si>
    <t>abhijeetamaydev@gmail.com</t>
  </si>
  <si>
    <t>+918668573532</t>
  </si>
  <si>
    <t>Pune - VimanNagar</t>
  </si>
  <si>
    <t>091501516243</t>
  </si>
  <si>
    <t>411229023</t>
  </si>
  <si>
    <t>ICIC0000915</t>
  </si>
  <si>
    <t>231</t>
  </si>
  <si>
    <t>Kolhapur</t>
  </si>
  <si>
    <t>1050244285</t>
  </si>
  <si>
    <t>Tarun Patel</t>
  </si>
  <si>
    <t>1208160016907069</t>
  </si>
  <si>
    <t>AMBPP6392D</t>
  </si>
  <si>
    <t>A 204 PATEL APPT DWARKA PLOT N</t>
  </si>
  <si>
    <t>SECTOR DELHI</t>
  </si>
  <si>
    <t>110075</t>
  </si>
  <si>
    <t>tarunsom83@gmail.com</t>
  </si>
  <si>
    <t>+919560631322</t>
  </si>
  <si>
    <t>NEW DELHI  SAFARDARJANG MARKET</t>
  </si>
  <si>
    <t>50100024059935</t>
  </si>
  <si>
    <t>HDFC0000032</t>
  </si>
  <si>
    <t>1050215635</t>
  </si>
  <si>
    <t>Maqsood Aas Mohammed Shaikh</t>
  </si>
  <si>
    <t>1203320324324272</t>
  </si>
  <si>
    <t>OMAPS8675B</t>
  </si>
  <si>
    <t>ROOM NO480 OM SAI CHAWL RAJIV</t>
  </si>
  <si>
    <t>GANDHI NAGAR NEAR PIWLA</t>
  </si>
  <si>
    <t>BANGALA SION DHARAVI MUMBAI</t>
  </si>
  <si>
    <t>400017</t>
  </si>
  <si>
    <t>7208573145</t>
  </si>
  <si>
    <t>shaikhmaqsood845@gmail.com</t>
  </si>
  <si>
    <t>+917208573145</t>
  </si>
  <si>
    <t>DHARAVI</t>
  </si>
  <si>
    <t>564002010017199</t>
  </si>
  <si>
    <t>UBIN0556408</t>
  </si>
  <si>
    <t>1050223277</t>
  </si>
  <si>
    <t>Mohsim</t>
  </si>
  <si>
    <t>GOBPM7803E</t>
  </si>
  <si>
    <t>SO Hasam,H No 1168,Nichalla Mohalla VPO</t>
  </si>
  <si>
    <t>Dhauj,Dhoj(17,Dhauj,Faridabad,Haryana</t>
  </si>
  <si>
    <t>Faridabad</t>
  </si>
  <si>
    <t>121004</t>
  </si>
  <si>
    <t>mohsim4900@gmail.com</t>
  </si>
  <si>
    <t>+917011224900</t>
  </si>
  <si>
    <t>BALLABHGARH BRANCH</t>
  </si>
  <si>
    <t>6445854741</t>
  </si>
  <si>
    <t>KKBK0004369</t>
  </si>
  <si>
    <t>1050223918</t>
  </si>
  <si>
    <t>Goutam Sinha</t>
  </si>
  <si>
    <t>CMKPS9580H</t>
  </si>
  <si>
    <t>21</t>
  </si>
  <si>
    <t>NRI - Repatriable (NRE)</t>
  </si>
  <si>
    <t>303G</t>
  </si>
  <si>
    <t>Aditya Birla Sun Life Medium Term Plan - Growth-Regular Plan</t>
  </si>
  <si>
    <t>BLK 491 H TAMPINES ST 45</t>
  </si>
  <si>
    <t>06-242</t>
  </si>
  <si>
    <t>SINGAPORE, SINGAPORE</t>
  </si>
  <si>
    <t>Singapore</t>
  </si>
  <si>
    <t>527491</t>
  </si>
  <si>
    <t>sinhagoutam86@gmail.com</t>
  </si>
  <si>
    <t>353899880513</t>
  </si>
  <si>
    <t>DBSRIB</t>
  </si>
  <si>
    <t>DBS BANK INDIA LIMITED</t>
  </si>
  <si>
    <t>AAGCD5838A</t>
  </si>
  <si>
    <t>1St Floor, Express Towers,</t>
  </si>
  <si>
    <t>Nariman Point</t>
  </si>
  <si>
    <t>400021</t>
  </si>
  <si>
    <t>7738233004</t>
  </si>
  <si>
    <t>wmswosops@dbs.com</t>
  </si>
  <si>
    <t>DBS Bank India Limited</t>
  </si>
  <si>
    <t>NRE</t>
  </si>
  <si>
    <t>828020139465</t>
  </si>
  <si>
    <t>DBSS0IN0811</t>
  </si>
  <si>
    <t>C1</t>
  </si>
  <si>
    <t>1050246353</t>
  </si>
  <si>
    <t>Lovely Maurya</t>
  </si>
  <si>
    <t>EIDPM1875A</t>
  </si>
  <si>
    <t>SURWAN,HARAHUA,HARHUA,PINDRA</t>
  </si>
  <si>
    <t>SURAWAN</t>
  </si>
  <si>
    <t>221105</t>
  </si>
  <si>
    <t>lovelymaurya3625445@gmail.com</t>
  </si>
  <si>
    <t>+918874842403</t>
  </si>
  <si>
    <t>IND ESTATE VARANASI</t>
  </si>
  <si>
    <t>VARANASI</t>
  </si>
  <si>
    <t>00000035102635754</t>
  </si>
  <si>
    <t>SBIN0002552</t>
  </si>
  <si>
    <t>1050235105</t>
  </si>
  <si>
    <t>Manishkumar Dineshbhai Chauhan</t>
  </si>
  <si>
    <t>1208870428525422</t>
  </si>
  <si>
    <t>AOYPC1170K</t>
  </si>
  <si>
    <t>C/O S/O DINESHBHAI CHAUHAN,D / 302,ALOK</t>
  </si>
  <si>
    <t>PARADISE-2,OPP. ALOK PARADISE-1,NEAR</t>
  </si>
  <si>
    <t>BAPA SITARAM</t>
  </si>
  <si>
    <t>382418</t>
  </si>
  <si>
    <t>chauhan.manishdc@gmail.com</t>
  </si>
  <si>
    <t>+919033382330</t>
  </si>
  <si>
    <t>VADODARA  MANJALPUR</t>
  </si>
  <si>
    <t>085301508377</t>
  </si>
  <si>
    <t>ICIC0000853</t>
  </si>
  <si>
    <t>1050238537</t>
  </si>
  <si>
    <t>Utkarsh Kansal</t>
  </si>
  <si>
    <t>GQQPK6162M</t>
  </si>
  <si>
    <t>S O ASHOK KANSAL HOUSE 675 SECTOR 14A VASUNDHRA</t>
  </si>
  <si>
    <t>GHAZIABAD VASUNDHRA GHAZIABAD UTTAR PRADESH 201012</t>
  </si>
  <si>
    <t>201012</t>
  </si>
  <si>
    <t>utkarshkansal18@gmail.com</t>
  </si>
  <si>
    <t>+919560018410</t>
  </si>
  <si>
    <t>VASUNDHRA</t>
  </si>
  <si>
    <t>00000036272360568</t>
  </si>
  <si>
    <t>SBIN0017738</t>
  </si>
  <si>
    <t>1050236738</t>
  </si>
  <si>
    <t>Barapatre Dhruv</t>
  </si>
  <si>
    <t>1203320290633975</t>
  </si>
  <si>
    <t>HYLPB5541M</t>
  </si>
  <si>
    <t>201 ASTIK NAGAR PARVAT CHORASI</t>
  </si>
  <si>
    <t>SURAT GUJARAT</t>
  </si>
  <si>
    <t>SURAT</t>
  </si>
  <si>
    <t>395010</t>
  </si>
  <si>
    <t>8780813308</t>
  </si>
  <si>
    <t>barapatredhruv280126@gmail.com</t>
  </si>
  <si>
    <t>+918780813308</t>
  </si>
  <si>
    <t>DINDOLI</t>
  </si>
  <si>
    <t>00000005599526364</t>
  </si>
  <si>
    <t>CBIN0282246</t>
  </si>
  <si>
    <t>1050167129</t>
  </si>
  <si>
    <t>Dezy Rani</t>
  </si>
  <si>
    <t>DLIPR5926Q</t>
  </si>
  <si>
    <t>W/O SUNIL KUMAR VERMA BANARAS BANK</t>
  </si>
  <si>
    <t>CHAUK NALA ROAD BALUGHAT YEHIAPUR</t>
  </si>
  <si>
    <t>vermakishu11@gmail.com</t>
  </si>
  <si>
    <t>+919835447985</t>
  </si>
  <si>
    <t>ARN-113553</t>
  </si>
  <si>
    <t>LALITA SAHAY</t>
  </si>
  <si>
    <t>BNHPS8637L</t>
  </si>
  <si>
    <t>C/O Late Nagendra Nath Sahay</t>
  </si>
  <si>
    <t>Sahay Niwas Menan Lane</t>
  </si>
  <si>
    <t>Po Ramna Mithanpura Lala</t>
  </si>
  <si>
    <t>842002</t>
  </si>
  <si>
    <t>+919334906080</t>
  </si>
  <si>
    <t>itsme.lalitasahay@gmail.com</t>
  </si>
  <si>
    <t>10876113956</t>
  </si>
  <si>
    <t>842002002</t>
  </si>
  <si>
    <t>SBIN0000138</t>
  </si>
  <si>
    <t>1050257981</t>
  </si>
  <si>
    <t>Prashant Pralhad Shinde</t>
  </si>
  <si>
    <t>1208870022792001</t>
  </si>
  <si>
    <t>KCRPS1481Q</t>
  </si>
  <si>
    <t>AT. POST-SHIRAKHAL, VADBHUVANWADI,</t>
  </si>
  <si>
    <t>TAL-DAPOLI, DIST-RATNAGIRI,</t>
  </si>
  <si>
    <t>MAHARATRA-415716</t>
  </si>
  <si>
    <t>RATNAGIRI</t>
  </si>
  <si>
    <t>415716</t>
  </si>
  <si>
    <t>shindeprashant1399@gmail.com</t>
  </si>
  <si>
    <t>+918976831513</t>
  </si>
  <si>
    <t>GOKHALE ROAD</t>
  </si>
  <si>
    <t>188901504126</t>
  </si>
  <si>
    <t>ICIC0001889</t>
  </si>
  <si>
    <t>1050167251</t>
  </si>
  <si>
    <t>Devaraj K</t>
  </si>
  <si>
    <t>KMFPD4625F</t>
  </si>
  <si>
    <t>HONGERA</t>
  </si>
  <si>
    <t>YADGIR</t>
  </si>
  <si>
    <t>585202</t>
  </si>
  <si>
    <t>asgasagency2@gmail.com</t>
  </si>
  <si>
    <t>+919380809624</t>
  </si>
  <si>
    <t>BTM LAYOUT</t>
  </si>
  <si>
    <t>00000044352755920</t>
  </si>
  <si>
    <t>SBIN0070766</t>
  </si>
  <si>
    <t>1050168396</t>
  </si>
  <si>
    <t>Madineni Sivaprasad</t>
  </si>
  <si>
    <t>FPZPM9792A</t>
  </si>
  <si>
    <t>4-26A CHINNA PALLI CHINNA PALLI</t>
  </si>
  <si>
    <t>PEDDAPOLAMADA</t>
  </si>
  <si>
    <t>ANANTAPUR</t>
  </si>
  <si>
    <t>515411</t>
  </si>
  <si>
    <t>00919347544126</t>
  </si>
  <si>
    <t>sivamadineni75783@gmail.com</t>
  </si>
  <si>
    <t>+919347544126</t>
  </si>
  <si>
    <t>SANJEEVREDDY NAGAR,HYDERABAD[AP</t>
  </si>
  <si>
    <t>922010053249182</t>
  </si>
  <si>
    <t>500211009</t>
  </si>
  <si>
    <t>UTIB0000289</t>
  </si>
  <si>
    <t>1050144800</t>
  </si>
  <si>
    <t>Sandeep Kumar</t>
  </si>
  <si>
    <t>1208870013178725</t>
  </si>
  <si>
    <t>CASPK3551N</t>
  </si>
  <si>
    <t>PADURA TAKHRAU</t>
  </si>
  <si>
    <t>MAINPURI</t>
  </si>
  <si>
    <t>205268</t>
  </si>
  <si>
    <t>sandeep.kumar0203@gmail.com</t>
  </si>
  <si>
    <t>+918802857398</t>
  </si>
  <si>
    <t>INDUSIND BANK</t>
  </si>
  <si>
    <t>100024183500</t>
  </si>
  <si>
    <t>INDB0000036</t>
  </si>
  <si>
    <t>1050178984</t>
  </si>
  <si>
    <t>Renu Devi</t>
  </si>
  <si>
    <t>HBIPD4333K</t>
  </si>
  <si>
    <t>295GZ</t>
  </si>
  <si>
    <t>Aditya Birla Sun Life Small Cap Fund Growth-Direct Plan</t>
  </si>
  <si>
    <t>W/O JANARDAN SINGH, BARIYARPUR, RAHATPUR, BARIARPUR,</t>
  </si>
  <si>
    <t>BALIA, BEGUSARAI, BIHAR, 851211, INDIA</t>
  </si>
  <si>
    <t>BEGUSARAI</t>
  </si>
  <si>
    <t>851211</t>
  </si>
  <si>
    <t>rajan.sanu21@gmail.com</t>
  </si>
  <si>
    <t>+918468959887</t>
  </si>
  <si>
    <t>157903556821</t>
  </si>
  <si>
    <t>INDB0001386</t>
  </si>
  <si>
    <t>1050156525</t>
  </si>
  <si>
    <t>Hrishikesh Vishwas Patil</t>
  </si>
  <si>
    <t>DIVPP2101P</t>
  </si>
  <si>
    <t>S O PATIL VISHWAS SER NO 76 7 PLOT 6 CHINTAMANI</t>
  </si>
  <si>
    <t>COLONY CHINTAMANI CHOWK AHERNAGAR CHINCHWAD PUNE CITY</t>
  </si>
  <si>
    <t>PUNE CITY CHINCHWADGA0N PUNE MAHARASHTRA 411033</t>
  </si>
  <si>
    <t>411033</t>
  </si>
  <si>
    <t>hrishikeshp.1996@gmail.com</t>
  </si>
  <si>
    <t>+918975338293</t>
  </si>
  <si>
    <t>KOTAK MAHINDRA BANK</t>
  </si>
  <si>
    <t>PUNE  PIMPRI CHINCHWAD</t>
  </si>
  <si>
    <t>(020) 66204512</t>
  </si>
  <si>
    <t>3345459304</t>
  </si>
  <si>
    <t>411485006</t>
  </si>
  <si>
    <t>KKBK0000725</t>
  </si>
  <si>
    <t>P1</t>
  </si>
  <si>
    <t>1050178019</t>
  </si>
  <si>
    <t>Mayank Rana</t>
  </si>
  <si>
    <t>CONPR9926M</t>
  </si>
  <si>
    <t>SO RAJKUMAR SINGH C-165 SARASWATI</t>
  </si>
  <si>
    <t>VIHAR KHORA COLONY Ghaziabad</t>
  </si>
  <si>
    <t>Ghaziabad Uttar Pradesh Ghaziabad</t>
  </si>
  <si>
    <t>mayankrana11111999@gmail.com</t>
  </si>
  <si>
    <t>+919315604600</t>
  </si>
  <si>
    <t>SECTOR 62 NOIDA</t>
  </si>
  <si>
    <t>712210110008571</t>
  </si>
  <si>
    <t>BKID0007122</t>
  </si>
  <si>
    <t>1050157296</t>
  </si>
  <si>
    <t>Amit Kumar</t>
  </si>
  <si>
    <t>1208870245173636</t>
  </si>
  <si>
    <t>DTUPS6373E</t>
  </si>
  <si>
    <t>S/O: OM</t>
  </si>
  <si>
    <t>PARKASH,-,RAMNAGAR,-,KALDI,SAGLAR,RAMN</t>
  </si>
  <si>
    <t>AGAR,KALDI,UDHAMPUR,JAMMU AND</t>
  </si>
  <si>
    <t>UDHAMPUR</t>
  </si>
  <si>
    <t>JM</t>
  </si>
  <si>
    <t>182124</t>
  </si>
  <si>
    <t>amitmagotra4445@gmail.com</t>
  </si>
  <si>
    <t>+919796252845</t>
  </si>
  <si>
    <t>NARWAL</t>
  </si>
  <si>
    <t>JAMMU</t>
  </si>
  <si>
    <t>38075797993</t>
  </si>
  <si>
    <t>SBIN0010461</t>
  </si>
  <si>
    <t>1050158752</t>
  </si>
  <si>
    <t>Devkinandan Suresh Virkud</t>
  </si>
  <si>
    <t>1203320044332347</t>
  </si>
  <si>
    <t>BAXPV6508G</t>
  </si>
  <si>
    <t>P 89 SAINATH CHS BHIM NAGAR</t>
  </si>
  <si>
    <t>ROAD NEAR TRANSFORMER</t>
  </si>
  <si>
    <t>VARTAKNAGAR</t>
  </si>
  <si>
    <t>400606</t>
  </si>
  <si>
    <t>9004960039</t>
  </si>
  <si>
    <t>dave.virkud@gmail.com</t>
  </si>
  <si>
    <t>+919004960039</t>
  </si>
  <si>
    <t>EXPRESS TOWERS  NARIMAN PT</t>
  </si>
  <si>
    <t>50100219291376</t>
  </si>
  <si>
    <t>HDFC0000291</t>
  </si>
  <si>
    <t>1050153868</t>
  </si>
  <si>
    <t>VENI RAO</t>
  </si>
  <si>
    <t>ABHPR5896H</t>
  </si>
  <si>
    <t>55/1849, KSHEERA SAGAR,K P VALLON ROAD</t>
  </si>
  <si>
    <t>NEAR HOTEL COCHIN PALACE,KADAVANTHARA</t>
  </si>
  <si>
    <t>682020</t>
  </si>
  <si>
    <t>venirrao@gmail.com</t>
  </si>
  <si>
    <t>+919567862902</t>
  </si>
  <si>
    <t>ARN-335279</t>
  </si>
  <si>
    <t>P N Ravindranath Rao</t>
  </si>
  <si>
    <t>ABDPR7408K</t>
  </si>
  <si>
    <t>55/1849 Ksheera Sagar, K P Vallon Road</t>
  </si>
  <si>
    <t>,Kadavanthara</t>
  </si>
  <si>
    <t>Ernakulam</t>
  </si>
  <si>
    <t>9567862900</t>
  </si>
  <si>
    <t>raopnr@gmail.com</t>
  </si>
  <si>
    <t>KADAVANTRA,ERNAKULAM</t>
  </si>
  <si>
    <t>0713111021721</t>
  </si>
  <si>
    <t>CNRB0001859</t>
  </si>
  <si>
    <t>1050178168</t>
  </si>
  <si>
    <t>Chavan Jyothi Bai</t>
  </si>
  <si>
    <t>ELJPB4378A</t>
  </si>
  <si>
    <t>29 123/1, MELUPATLA</t>
  </si>
  <si>
    <t>PUNGANUR, PUNGANUR</t>
  </si>
  <si>
    <t>CHITTOOR, ANDHRA PRADESH</t>
  </si>
  <si>
    <t>CHITTOOR</t>
  </si>
  <si>
    <t>517247</t>
  </si>
  <si>
    <t>jyothibai.chavan27@gmail.com</t>
  </si>
  <si>
    <t>+918985151732</t>
  </si>
  <si>
    <t>PUNGANUR ADB</t>
  </si>
  <si>
    <t>PUNGANUR</t>
  </si>
  <si>
    <t>00000032210321745</t>
  </si>
  <si>
    <t>SBIN0005406</t>
  </si>
  <si>
    <t>1050182575</t>
  </si>
  <si>
    <t>Vinod Kumar Paswan</t>
  </si>
  <si>
    <t>1203320346337174</t>
  </si>
  <si>
    <t>CIKPP3389P</t>
  </si>
  <si>
    <t>MIRZAPUR PO INAYATPUR WARD 07</t>
  </si>
  <si>
    <t>MIRZAPUR SAMASTIPUR BIHAR</t>
  </si>
  <si>
    <t>848504</t>
  </si>
  <si>
    <t>8789793639</t>
  </si>
  <si>
    <t>vinodkumarpaswan13@gmail.com</t>
  </si>
  <si>
    <t>+918789793639</t>
  </si>
  <si>
    <t>MAHNAR</t>
  </si>
  <si>
    <t>MAHNAR BAZAR</t>
  </si>
  <si>
    <t>00000031811000907</t>
  </si>
  <si>
    <t>SBIN0003615</t>
  </si>
  <si>
    <t>1050181103</t>
  </si>
  <si>
    <t>Karane Sushant Arun</t>
  </si>
  <si>
    <t>IN30426228840279</t>
  </si>
  <si>
    <t>DEEPK2575F</t>
  </si>
  <si>
    <t>936 A NEAR ADARSH SCHOOL</t>
  </si>
  <si>
    <t>SAMBHAJI NAGAR ASANGAON</t>
  </si>
  <si>
    <t>SHAHAPUR THANE THANE</t>
  </si>
  <si>
    <t>421301</t>
  </si>
  <si>
    <t>sushantkarane2693@gmail.com</t>
  </si>
  <si>
    <t>+918097661315</t>
  </si>
  <si>
    <t>MUMBAI  SANDOZ HOUSE</t>
  </si>
  <si>
    <t>50200022815072</t>
  </si>
  <si>
    <t>HDFC0000240</t>
  </si>
  <si>
    <t>1050156134</t>
  </si>
  <si>
    <t>Manjunatha L</t>
  </si>
  <si>
    <t>JIEPM6068K</t>
  </si>
  <si>
    <t>S/O: LAKSHMAN 91 BIDALAPURA BIDALAPURA DEVANAHALLI</t>
  </si>
  <si>
    <t>BANGALORE RURAL KARNATAKA 562129</t>
  </si>
  <si>
    <t>BANGALORE RURAL</t>
  </si>
  <si>
    <t>562129</t>
  </si>
  <si>
    <t>manju.m.l.m246@gmail.com</t>
  </si>
  <si>
    <t>+919620892988</t>
  </si>
  <si>
    <t>BILEKAHALLI</t>
  </si>
  <si>
    <t>9232500100156501</t>
  </si>
  <si>
    <t>KARB0000923</t>
  </si>
  <si>
    <t>1050188634</t>
  </si>
  <si>
    <t>Ujjwal Chakraborty</t>
  </si>
  <si>
    <t>BEUPC2595H</t>
  </si>
  <si>
    <t>H2/127,SATELLITE TOWNSHIP</t>
  </si>
  <si>
    <t>THAKUPUKUR, SOUTH 24 PARGANAS</t>
  </si>
  <si>
    <t>SARSUNA</t>
  </si>
  <si>
    <t>700061</t>
  </si>
  <si>
    <t>ujjwal197714@gmail.com</t>
  </si>
  <si>
    <t>+919831986083</t>
  </si>
  <si>
    <t>KOLKATA BEHALA BRANCH</t>
  </si>
  <si>
    <t>4012317088</t>
  </si>
  <si>
    <t>KKBK0006568</t>
  </si>
  <si>
    <t>1050192853</t>
  </si>
  <si>
    <t>Gurwinderjit Singh</t>
  </si>
  <si>
    <t>KRIPS2059J</t>
  </si>
  <si>
    <t>S/O PRITPAL SINGH,PREMPUR,PHAGWARA,N</t>
  </si>
  <si>
    <t>ARUR,KAPURTHALA,PUNJAB</t>
  </si>
  <si>
    <t>KAPURTHALA</t>
  </si>
  <si>
    <t>144405</t>
  </si>
  <si>
    <t>gurwinderjit7@gmail.com</t>
  </si>
  <si>
    <t>+919814219196</t>
  </si>
  <si>
    <t>PANCHHAT</t>
  </si>
  <si>
    <t>00652722000955</t>
  </si>
  <si>
    <t>PUNB0006510</t>
  </si>
  <si>
    <t>1050169915</t>
  </si>
  <si>
    <t>Shivam Vinodrao Tihile</t>
  </si>
  <si>
    <t>1203320442693562</t>
  </si>
  <si>
    <t>COPPT3097D</t>
  </si>
  <si>
    <t>AT POST PALA TA MORSHI</t>
  </si>
  <si>
    <t>AMRAVATI MAHARASHTRA</t>
  </si>
  <si>
    <t>MORSHI</t>
  </si>
  <si>
    <t>444905</t>
  </si>
  <si>
    <t>8530718391</t>
  </si>
  <si>
    <t>shivamtihilet111@gmail.com</t>
  </si>
  <si>
    <t>+918530718391</t>
  </si>
  <si>
    <t>INDIA POST PAYMENTS BANK LIMITED</t>
  </si>
  <si>
    <t>CORPORATE OFFICE</t>
  </si>
  <si>
    <t>031410214821</t>
  </si>
  <si>
    <t>IPOS0000001</t>
  </si>
  <si>
    <t>1050202136</t>
  </si>
  <si>
    <t>Jitendra Prasad Patnaik</t>
  </si>
  <si>
    <t>AGHPP0811B</t>
  </si>
  <si>
    <t>129B</t>
  </si>
  <si>
    <t>Aditya Birla Sun Life Nifty India Defence Index Fund- Regular Growth</t>
  </si>
  <si>
    <t>203 B RASHMI VIHAR APT BUDHESWARI</t>
  </si>
  <si>
    <t>P O LANE BUDHESWARI BHUBANESWAR M C</t>
  </si>
  <si>
    <t>BUDHESWARI COLONY KHORDA</t>
  </si>
  <si>
    <t>751006</t>
  </si>
  <si>
    <t>drjppatnaik@gmail.com</t>
  </si>
  <si>
    <t>+919437460707</t>
  </si>
  <si>
    <t>ARN-142645</t>
  </si>
  <si>
    <t>RAGHUNATH NATH</t>
  </si>
  <si>
    <t>AHKPN4452A</t>
  </si>
  <si>
    <t>At-Bhingarpur Sasan</t>
  </si>
  <si>
    <t>Po-Bhatapatna</t>
  </si>
  <si>
    <t>Ps-Balianta</t>
  </si>
  <si>
    <t>752115</t>
  </si>
  <si>
    <t>+919776677692</t>
  </si>
  <si>
    <t>RAGHUNATH_NATH2008@YAHOO.CO.IN</t>
  </si>
  <si>
    <t>CUTTACK ROADBHUBANESHWAR, ORISSA</t>
  </si>
  <si>
    <t>006101539154</t>
  </si>
  <si>
    <t>751229006</t>
  </si>
  <si>
    <t>ICIC0001500</t>
  </si>
  <si>
    <t>1050203300</t>
  </si>
  <si>
    <t>Raja Sonar</t>
  </si>
  <si>
    <t>1203320187689177</t>
  </si>
  <si>
    <t>HATPS2019R</t>
  </si>
  <si>
    <t>MILAN NAGAR VILLGE CHAPAKHUWA</t>
  </si>
  <si>
    <t>PO TINSUKIA TINSUKIA ASSAM</t>
  </si>
  <si>
    <t>TINSUKIA</t>
  </si>
  <si>
    <t>AS</t>
  </si>
  <si>
    <t>786125</t>
  </si>
  <si>
    <t>9101174262</t>
  </si>
  <si>
    <t>rajasonar707807@gmail.com</t>
  </si>
  <si>
    <t>+919101174262</t>
  </si>
  <si>
    <t>DOOMDOOMA</t>
  </si>
  <si>
    <t>50100368300998</t>
  </si>
  <si>
    <t>HDFC0002965</t>
  </si>
  <si>
    <t>1050220576</t>
  </si>
  <si>
    <t>Bikkee Prajapati</t>
  </si>
  <si>
    <t>1208870435016293</t>
  </si>
  <si>
    <t>ENTPP9227G</t>
  </si>
  <si>
    <t>S/O SANTOSH PRAJAPATI,45,VILLAGE</t>
  </si>
  <si>
    <t>BHELAUR CHANGERI POST TAKTEUA</t>
  </si>
  <si>
    <t>RAMPUR,,,TAKTEUA RAMPUR,,MAU,UTTAR</t>
  </si>
  <si>
    <t>MAU</t>
  </si>
  <si>
    <t>275301</t>
  </si>
  <si>
    <t>bikki8251@gmail.com</t>
  </si>
  <si>
    <t>+919717814240</t>
  </si>
  <si>
    <t>NADWA KHAS</t>
  </si>
  <si>
    <t>MAUNATHBHANJAN</t>
  </si>
  <si>
    <t>00000040882288176</t>
  </si>
  <si>
    <t>SBIN0013303</t>
  </si>
  <si>
    <t>1050209930</t>
  </si>
  <si>
    <t>Arunava Sarkar</t>
  </si>
  <si>
    <t>AWQPS9236G</t>
  </si>
  <si>
    <t>QUATER NO 40 N D BLOCK SENRALEIGH</t>
  </si>
  <si>
    <t>KALYANPUR ASANSOL M CORP</t>
  </si>
  <si>
    <t>KANYAPUR</t>
  </si>
  <si>
    <t>ASANSOL</t>
  </si>
  <si>
    <t>713341</t>
  </si>
  <si>
    <t>ARN-3362</t>
  </si>
  <si>
    <t>Indrasish Dutta</t>
  </si>
  <si>
    <t>ADLPD5346A</t>
  </si>
  <si>
    <t>Gobindapur New Colony</t>
  </si>
  <si>
    <t>Near Kali Mandir</t>
  </si>
  <si>
    <t>Po - Kanyapur</t>
  </si>
  <si>
    <t>Asansol</t>
  </si>
  <si>
    <t>+919434182190</t>
  </si>
  <si>
    <t>indrasishdutta10@gmail.com</t>
  </si>
  <si>
    <t>Apcar Garden</t>
  </si>
  <si>
    <t>0476010113309</t>
  </si>
  <si>
    <t>713024006</t>
  </si>
  <si>
    <t>PUNB0047620</t>
  </si>
  <si>
    <t>341</t>
  </si>
  <si>
    <t>1050220693</t>
  </si>
  <si>
    <t>Akshylal Khushwaha</t>
  </si>
  <si>
    <t>1203320404268616</t>
  </si>
  <si>
    <t>KKCPK1329A</t>
  </si>
  <si>
    <t>DON BUZURG SIWAN BIHAR</t>
  </si>
  <si>
    <t>MAIRWA</t>
  </si>
  <si>
    <t>841235</t>
  </si>
  <si>
    <t>9546105668</t>
  </si>
  <si>
    <t>akshaylal1186@gmail.com</t>
  </si>
  <si>
    <t>+919546105668</t>
  </si>
  <si>
    <t>ADB MAIRWA</t>
  </si>
  <si>
    <t>00000035273305977</t>
  </si>
  <si>
    <t>SBIN0005970</t>
  </si>
  <si>
    <t>1050211474</t>
  </si>
  <si>
    <t>Vivek Singh</t>
  </si>
  <si>
    <t>1203320433874041</t>
  </si>
  <si>
    <t>GQUPS4328P</t>
  </si>
  <si>
    <t>JAITWARA SATNA MADHYA PRADESH</t>
  </si>
  <si>
    <t>JAITWARA</t>
  </si>
  <si>
    <t>485221</t>
  </si>
  <si>
    <t>7869231013</t>
  </si>
  <si>
    <t>viveksinghhati01@gmail.com</t>
  </si>
  <si>
    <t>+917869231013</t>
  </si>
  <si>
    <t>COLLECTORATE BRANCH SATNA</t>
  </si>
  <si>
    <t>SATNA</t>
  </si>
  <si>
    <t>00000034132306301</t>
  </si>
  <si>
    <t>SBIN0010467</t>
  </si>
  <si>
    <t>1050214490</t>
  </si>
  <si>
    <t>RAM KUMAR GOYAL</t>
  </si>
  <si>
    <t>ACJPG8099A</t>
  </si>
  <si>
    <t>250B</t>
  </si>
  <si>
    <t>Aditya Birla Sun Life Manufacturing Equity Fund-REGULAR Growth</t>
  </si>
  <si>
    <t>105 CLASSIC DREAMS 787/11,MANISHPURI,INDORE</t>
  </si>
  <si>
    <t>P.O.BOX INDORE TILAKNAGAR,INDORE,INDORE</t>
  </si>
  <si>
    <t>MADHYA PRADESH,452018,INDIA</t>
  </si>
  <si>
    <t>452018</t>
  </si>
  <si>
    <t>goyalramkumar17@yahoo.in</t>
  </si>
  <si>
    <t>+919827213194</t>
  </si>
  <si>
    <t>ARN-154042</t>
  </si>
  <si>
    <t>Vinod Kumar Goyal</t>
  </si>
  <si>
    <t>AILPG2353D</t>
  </si>
  <si>
    <t>flatno1saileelaappartment</t>
  </si>
  <si>
    <t>harishankarpuram Gird</t>
  </si>
  <si>
    <t>Gwalior</t>
  </si>
  <si>
    <t>474002</t>
  </si>
  <si>
    <t>+919301101136</t>
  </si>
  <si>
    <t>vinodathena@gmail.com</t>
  </si>
  <si>
    <t>SUKHLIYA</t>
  </si>
  <si>
    <t>50100098885676</t>
  </si>
  <si>
    <t>HDFC0003660</t>
  </si>
  <si>
    <t>1050216876</t>
  </si>
  <si>
    <t>MUNNA QURAISHI</t>
  </si>
  <si>
    <t>ABLPQ1512H</t>
  </si>
  <si>
    <t>WARD NO.02 MAIN ROAD MIRGANJ MIRGANJ</t>
  </si>
  <si>
    <t>UCHKAGAON UCHKAGAON</t>
  </si>
  <si>
    <t>GOPALGANJ</t>
  </si>
  <si>
    <t>841438</t>
  </si>
  <si>
    <t>munnaahmad415@gmail.com</t>
  </si>
  <si>
    <t>+919801923476</t>
  </si>
  <si>
    <t>ARN-294554</t>
  </si>
  <si>
    <t>NEARBY TECHNOLOGIES PRIVATE LIMITED</t>
  </si>
  <si>
    <t>AAFCN2047N</t>
  </si>
  <si>
    <t>1St Floor Plot No 103 Arena</t>
  </si>
  <si>
    <t>House Road No 12 Marol</t>
  </si>
  <si>
    <t>Midc Andheri East</t>
  </si>
  <si>
    <t>+919019060803</t>
  </si>
  <si>
    <t>yashwant@paynearby.in</t>
  </si>
  <si>
    <t>MIRGANJ</t>
  </si>
  <si>
    <t>4566101004913</t>
  </si>
  <si>
    <t>CNRB0004566</t>
  </si>
  <si>
    <t>1050225618</t>
  </si>
  <si>
    <t>Yashvantha Rr</t>
  </si>
  <si>
    <t>GMTPR1284J</t>
  </si>
  <si>
    <t>S/O RAVIKUMAR R, # 07, URABAGILININDA BALABHAGA,</t>
  </si>
  <si>
    <t>HARAKABHAVI, HARAKABHAVI, KUDLIGI, BELLARY, KARNATAKA,</t>
  </si>
  <si>
    <t>583126, INDIA</t>
  </si>
  <si>
    <t>BELLARY</t>
  </si>
  <si>
    <t>583126</t>
  </si>
  <si>
    <t>yashwanthgowda174@gmail.com</t>
  </si>
  <si>
    <t>+919380550967</t>
  </si>
  <si>
    <t>INDIA POST PAYMENT BANK</t>
  </si>
  <si>
    <t>022610158891</t>
  </si>
  <si>
    <t>1050227607</t>
  </si>
  <si>
    <t>Poornachandra Janardhan Devarakonda</t>
  </si>
  <si>
    <t>BHBPD1282J</t>
  </si>
  <si>
    <t>C/O JANARDHAN DEVARAKONDA,H NO-8-7-104/3,MADHU</t>
  </si>
  <si>
    <t>ENCLAVE,OLD BOWENPALLY,MALLIKARJUNA</t>
  </si>
  <si>
    <t>NAGAR,TIRUMALAGIRI,TIRUM ALAGIRI,BOWENPALLY,HYDER</t>
  </si>
  <si>
    <t>500011</t>
  </si>
  <si>
    <t>chanticool007@gmail.com</t>
  </si>
  <si>
    <t>+918329214284</t>
  </si>
  <si>
    <t>RAILTOLY GONDIA</t>
  </si>
  <si>
    <t>GONDIYA</t>
  </si>
  <si>
    <t>00000035137422043</t>
  </si>
  <si>
    <t>SBIN0008723</t>
  </si>
  <si>
    <t>1050247389</t>
  </si>
  <si>
    <t>Ashwini .</t>
  </si>
  <si>
    <t>BEEPA7712J</t>
  </si>
  <si>
    <t>D/O: DEVENDRA PRASAD GUPTA QUARTER NO.- 2265, SECTOR-</t>
  </si>
  <si>
    <t>12/ A SECTOR- 12/ A SECTOR- 12/ A SECTOR- 12/ A</t>
  </si>
  <si>
    <t>ashwini150293@gmail.com</t>
  </si>
  <si>
    <t>+919471154780</t>
  </si>
  <si>
    <t>ARN-105959</t>
  </si>
  <si>
    <t>Sunil Kumar Singh</t>
  </si>
  <si>
    <t>BFTPS7573H</t>
  </si>
  <si>
    <t>Qtr.No-4130 Sector-4G</t>
  </si>
  <si>
    <t>Bokaro Steel City</t>
  </si>
  <si>
    <t>827004</t>
  </si>
  <si>
    <t>+919835772583</t>
  </si>
  <si>
    <t>sunilsingh.bokaro@gmail.com</t>
  </si>
  <si>
    <t>State Bank of India</t>
  </si>
  <si>
    <t>S K MEDICAL &amp; HOSPITAL CAMPUS,</t>
  </si>
  <si>
    <t>32345831378</t>
  </si>
  <si>
    <t>SBIN0010082</t>
  </si>
  <si>
    <t>1050230698</t>
  </si>
  <si>
    <t>Vijay Kumar Pasricha</t>
  </si>
  <si>
    <t>AAHPP1729L</t>
  </si>
  <si>
    <t>128B</t>
  </si>
  <si>
    <t>Aditya Birla Sun Life Quant Fund- Regular Growth</t>
  </si>
  <si>
    <t>HOUSE NO 406 FIRST FLOOR</t>
  </si>
  <si>
    <t>KOHAT ENCLAVE</t>
  </si>
  <si>
    <t>SARASWATI VIHAR</t>
  </si>
  <si>
    <t>110034</t>
  </si>
  <si>
    <t>pasrichavijay@gmail.com</t>
  </si>
  <si>
    <t>+919810057600</t>
  </si>
  <si>
    <t>NEW DELHI  RAJOURI GARDEN</t>
  </si>
  <si>
    <t>02921000002736</t>
  </si>
  <si>
    <t>HDFC0000292</t>
  </si>
  <si>
    <t>1050247505</t>
  </si>
  <si>
    <t>Anurag Chouhan</t>
  </si>
  <si>
    <t>CVWPC7510C</t>
  </si>
  <si>
    <t>S O LAKHAN CHOUHAN GRAM RANIPURA POST GANGHAWAL</t>
  </si>
  <si>
    <t>GANDHAVAL BARWANI GANDHAWAL BARWANI MADHYA PRADESH</t>
  </si>
  <si>
    <t>451551</t>
  </si>
  <si>
    <t>BARWANI</t>
  </si>
  <si>
    <t>chouhananu809@gmail.com</t>
  </si>
  <si>
    <t>+918458919396</t>
  </si>
  <si>
    <t>44558100023935</t>
  </si>
  <si>
    <t>BARB0BARWAN</t>
  </si>
  <si>
    <t>1050232099</t>
  </si>
  <si>
    <t>Irfan Khan</t>
  </si>
  <si>
    <t>JRMPK2307C</t>
  </si>
  <si>
    <t>100A</t>
  </si>
  <si>
    <t>Aditya Birla Sun Life Silver ETF Fund of Fund Regular IDCW Payout</t>
  </si>
  <si>
    <t>new basti Jhansi Samthar(Dehat)</t>
  </si>
  <si>
    <t>Uttar Pradesh 284304 India</t>
  </si>
  <si>
    <t>Jhansi</t>
  </si>
  <si>
    <t>284304</t>
  </si>
  <si>
    <t>irfankhan47677@gmail.com</t>
  </si>
  <si>
    <t>+919076762169</t>
  </si>
  <si>
    <t>SAMTHAR DISTT JHANSI (UP)</t>
  </si>
  <si>
    <t>SAMTHAR, DISTT. JHANSI</t>
  </si>
  <si>
    <t>0862001700156213</t>
  </si>
  <si>
    <t>PUNB0086200</t>
  </si>
  <si>
    <t>BSENONDP</t>
  </si>
  <si>
    <t>1050232142</t>
  </si>
  <si>
    <t>Dharmeshkumar Vitthalbhai Patel</t>
  </si>
  <si>
    <t>IN30115125650708</t>
  </si>
  <si>
    <t>ABHPP6544Q</t>
  </si>
  <si>
    <t>9 DWARKAPURI SOCIETY</t>
  </si>
  <si>
    <t>02381930000399</t>
  </si>
  <si>
    <t>1050225477</t>
  </si>
  <si>
    <t>PRATHAM NANDKUMAR BAIKAR</t>
  </si>
  <si>
    <t>HDXPB3585E</t>
  </si>
  <si>
    <t>FLAT NO-203 PLOT NO-A-6 CITI PARK SOSA SECTOR-13</t>
  </si>
  <si>
    <t>KHANDA COLONY NEW PANVEL PANVEL PANVEL</t>
  </si>
  <si>
    <t>PANVEL</t>
  </si>
  <si>
    <t>410206</t>
  </si>
  <si>
    <t>prathambaikar20@gmail.com</t>
  </si>
  <si>
    <t>+917021365098</t>
  </si>
  <si>
    <t>ARN-244275</t>
  </si>
  <si>
    <t>SUBODH YASHAVANT AMBRE</t>
  </si>
  <si>
    <t>BJTPA6809G</t>
  </si>
  <si>
    <t>222-A, Veshvi,Vadagaon FataPezari</t>
  </si>
  <si>
    <t>,Gondhalpada,Alibag</t>
  </si>
  <si>
    <t>Alibag</t>
  </si>
  <si>
    <t>402108</t>
  </si>
  <si>
    <t>+918007209667</t>
  </si>
  <si>
    <t>subodhyambre@gmail.com</t>
  </si>
  <si>
    <t>KHANDA COLONY</t>
  </si>
  <si>
    <t>RAIGAD</t>
  </si>
  <si>
    <t>124410110010778</t>
  </si>
  <si>
    <t>BKID0001244</t>
  </si>
  <si>
    <t>1050236015</t>
  </si>
  <si>
    <t>Mohammed Ajaz</t>
  </si>
  <si>
    <t>1208160186903678</t>
  </si>
  <si>
    <t>FATCA not available for Investor/Guardian-ADKPA6289J</t>
  </si>
  <si>
    <t>ADKPA6289J</t>
  </si>
  <si>
    <t>S/O MOHAMMED IQBAL 94 1ST D MAIN CHAMUND</t>
  </si>
  <si>
    <t>ESHWARI LAYOUT VIDYARANYAPURA VIDYARANYA</t>
  </si>
  <si>
    <t>PURA BANGALORE NORTH</t>
  </si>
  <si>
    <t>BANGALORE NORTH</t>
  </si>
  <si>
    <t>ajazmohammed786@gmail.com</t>
  </si>
  <si>
    <t>+919845351551</t>
  </si>
  <si>
    <t>ELECTRONIC CITY PHASE II</t>
  </si>
  <si>
    <t>BOMMANAHALLI</t>
  </si>
  <si>
    <t>313201507237</t>
  </si>
  <si>
    <t>ICIC0003132</t>
  </si>
  <si>
    <t>1050238843</t>
  </si>
  <si>
    <t>Sachin Ramesh Gawli</t>
  </si>
  <si>
    <t>BTRPG1565P</t>
  </si>
  <si>
    <t>,</t>
  </si>
  <si>
    <t>AT POST PIMPALGAON RAJA, KHAMGAON</t>
  </si>
  <si>
    <t>BULDANA, MAHARASHTRA</t>
  </si>
  <si>
    <t>KHAMGAON</t>
  </si>
  <si>
    <t>444306</t>
  </si>
  <si>
    <t>sgawli45@gmail.com</t>
  </si>
  <si>
    <t>+919657999938</t>
  </si>
  <si>
    <t>CHAKAN</t>
  </si>
  <si>
    <t>100187563661</t>
  </si>
  <si>
    <t>INDB0000829</t>
  </si>
  <si>
    <t>1050238317</t>
  </si>
  <si>
    <t>Uttam Kumar Chel</t>
  </si>
  <si>
    <t>BNJPC9866R</t>
  </si>
  <si>
    <t>S O ROTHIN CHANDRA CHEL WARD NO 01 BASAWANPATTI BIHAR</t>
  </si>
  <si>
    <t>VILLEGE BASAWANPATTI POST BASAWANPATTI RAGHOPUR</t>
  </si>
  <si>
    <t>SUPAUL</t>
  </si>
  <si>
    <t>KARJAIN BAZAR</t>
  </si>
  <si>
    <t>852215</t>
  </si>
  <si>
    <t>uttamkumarchel8@gmail.com</t>
  </si>
  <si>
    <t>+917667565545</t>
  </si>
  <si>
    <t>00000034999994399</t>
  </si>
  <si>
    <t>SBIN0004927</t>
  </si>
  <si>
    <t>1050239266</t>
  </si>
  <si>
    <t>Vikas Harishchandra Gaikar</t>
  </si>
  <si>
    <t>APSPG7599D</t>
  </si>
  <si>
    <t>Pawarnicha Pada Suresh Gajkar Chawl New</t>
  </si>
  <si>
    <t>Manisha Nagar Kalyan West</t>
  </si>
  <si>
    <t>Kalyan</t>
  </si>
  <si>
    <t>vickygaikar16@gmail.com</t>
  </si>
  <si>
    <t>+918655260994</t>
  </si>
  <si>
    <t>ARN-13831</t>
  </si>
  <si>
    <t>THE SARASWAT CO-OPERATIVE BANK LTD</t>
  </si>
  <si>
    <t>AABAT4497Q</t>
  </si>
  <si>
    <t>Plot No-953, Saraswat Bank Bhavan,</t>
  </si>
  <si>
    <t>Appasaheb Marathe Marg,</t>
  </si>
  <si>
    <t>Prabhadevi</t>
  </si>
  <si>
    <t>+919920063678</t>
  </si>
  <si>
    <t>mutualfunds@saraswatbank.com</t>
  </si>
  <si>
    <t>SARASWAT COOP BANK LTD</t>
  </si>
  <si>
    <t>KHADAKPADA - KALYAN</t>
  </si>
  <si>
    <t>510000000530703</t>
  </si>
  <si>
    <t>400088114</t>
  </si>
  <si>
    <t>SRCB0000379</t>
  </si>
  <si>
    <t>BMUMKYN</t>
  </si>
  <si>
    <t>1050239740</t>
  </si>
  <si>
    <t>Kirti Bhatia</t>
  </si>
  <si>
    <t>2C</t>
  </si>
  <si>
    <t>CCXPB5569C</t>
  </si>
  <si>
    <t>NEAR BIG GURRUDWARA W NO.07 SAFIDON</t>
  </si>
  <si>
    <t>JIND HARYANA 126112</t>
  </si>
  <si>
    <t>JIND</t>
  </si>
  <si>
    <t>126112</t>
  </si>
  <si>
    <t>thekirtibhatia@gmail.com</t>
  </si>
  <si>
    <t>+918053568837</t>
  </si>
  <si>
    <t>SAFIDON</t>
  </si>
  <si>
    <t>00000065099813156</t>
  </si>
  <si>
    <t>SBIN0012198</t>
  </si>
  <si>
    <t>1050240084</t>
  </si>
  <si>
    <t>Ankitkumar Govindbhai Patel</t>
  </si>
  <si>
    <t>04</t>
  </si>
  <si>
    <t>Agriculturist</t>
  </si>
  <si>
    <t>CIGPP3456F</t>
  </si>
  <si>
    <t>Kada Mahesana Gujarat MAHESANA</t>
  </si>
  <si>
    <t>384305</t>
  </si>
  <si>
    <t>patelankit11693@gmail.com</t>
  </si>
  <si>
    <t>+918490037372</t>
  </si>
  <si>
    <t>SONA COMPLEX VISNAGARMEHSANA</t>
  </si>
  <si>
    <t>40840100003632</t>
  </si>
  <si>
    <t>BARB0SONVIS</t>
  </si>
  <si>
    <t>1050254782</t>
  </si>
  <si>
    <t>Ruchirbhai Shivlalbhai Pambhar</t>
  </si>
  <si>
    <t>1208870426946758</t>
  </si>
  <si>
    <t>ANFPP8486K</t>
  </si>
  <si>
    <t>202 PANCHVATI TOWER NEAR BHAKTIDHAM</t>
  </si>
  <si>
    <t>TEMPLE RAJKOT GUJARAT GUJARAT GUJARAT</t>
  </si>
  <si>
    <t>RAJKOT</t>
  </si>
  <si>
    <t>360001</t>
  </si>
  <si>
    <t>ruchirpambhar9375@gmail.com</t>
  </si>
  <si>
    <t>+919375040405</t>
  </si>
  <si>
    <t>RAJKOT KALAVAD ROAD BRANCH</t>
  </si>
  <si>
    <t>08310110024479</t>
  </si>
  <si>
    <t>KKBK0002794</t>
  </si>
  <si>
    <t>1050205547</t>
  </si>
  <si>
    <t>Sejal Jain</t>
  </si>
  <si>
    <t>DGFPJ7689A</t>
  </si>
  <si>
    <t>95B</t>
  </si>
  <si>
    <t>Aditya Birla Sun Life Nifty SDL Apr 2027 Index Fund Regular Growth</t>
  </si>
  <si>
    <t>D O ROHIT JAIN 16 3 DOCTORS LANE GOLE MARKET NEW</t>
  </si>
  <si>
    <t>DELHI G P O NEW DELHI NEW DELHI G P NEW DELHI</t>
  </si>
  <si>
    <t>DELHI 110001</t>
  </si>
  <si>
    <t>110001</t>
  </si>
  <si>
    <t>sejaljain.sj7@gmail.com</t>
  </si>
  <si>
    <t>+919821370778</t>
  </si>
  <si>
    <t>JORBAGH</t>
  </si>
  <si>
    <t>50100823226404</t>
  </si>
  <si>
    <t>HDFC0000617</t>
  </si>
  <si>
    <t>1050247731</t>
  </si>
  <si>
    <t>Himanshu Chaudhary</t>
  </si>
  <si>
    <t>AMKPC5712H</t>
  </si>
  <si>
    <t>132GZ</t>
  </si>
  <si>
    <t>Aditya Birla Sun Life Savings Fund - Growth-Direct Plan</t>
  </si>
  <si>
    <t>PIKAURA BAKSH HAIDIL COLONY</t>
  </si>
  <si>
    <t>GANDHI NAGAR SARAI</t>
  </si>
  <si>
    <t>BASTI</t>
  </si>
  <si>
    <t>272001</t>
  </si>
  <si>
    <t>himanshusaicon@gmail.com</t>
  </si>
  <si>
    <t>+918765768677</t>
  </si>
  <si>
    <t>LUCKNOW</t>
  </si>
  <si>
    <t>8874010000054649</t>
  </si>
  <si>
    <t>1050147490</t>
  </si>
  <si>
    <t>Bhargavi Annamreddy</t>
  </si>
  <si>
    <t>AIJPA2610D</t>
  </si>
  <si>
    <t>125Y</t>
  </si>
  <si>
    <t>ADITYA BIRLA SUN LIFE TRANSPORTATION AND LOGISTICS FUND- Direct Growth</t>
  </si>
  <si>
    <t>1-50,Gandipeta Road,Rampuram,Rampuram</t>
  </si>
  <si>
    <t>Visakhapatnam</t>
  </si>
  <si>
    <t>531173</t>
  </si>
  <si>
    <t>bhargaviannamreddy@gmail.com</t>
  </si>
  <si>
    <t>+919963532674</t>
  </si>
  <si>
    <t>CAT-1 EOP -0009</t>
  </si>
  <si>
    <t>Computer Age Management Services Limited</t>
  </si>
  <si>
    <t>AAACC3035G</t>
  </si>
  <si>
    <t>Rampuram</t>
  </si>
  <si>
    <t>11269195796</t>
  </si>
  <si>
    <t>SBIN0018814</t>
  </si>
  <si>
    <t>1050173640</t>
  </si>
  <si>
    <t>Niranjan Kamalakant Gadkari</t>
  </si>
  <si>
    <t>ABLPG7209B</t>
  </si>
  <si>
    <t>MEGHAMALA N GADKARI</t>
  </si>
  <si>
    <t>ANPPG1757L</t>
  </si>
  <si>
    <t>FLAT NUMBER. S-406 EKA ONE LIFE, S WING,INDIRA NAGAR -</t>
  </si>
  <si>
    <t>PATHARDI ROAD,PATHARDI, NASHIK,NEAR HP PETROL PUMP,NASH</t>
  </si>
  <si>
    <t>IK,NASHIK,MAHARASHTRA,422010,INDIA</t>
  </si>
  <si>
    <t>422010</t>
  </si>
  <si>
    <t>nkgadkari@yahoo.co.in</t>
  </si>
  <si>
    <t>+917798570999</t>
  </si>
  <si>
    <t>ARN-119467</t>
  </si>
  <si>
    <t>PRIYANSHU BHARAT TANNA</t>
  </si>
  <si>
    <t>AIIPT7855L</t>
  </si>
  <si>
    <t>PRITVAN NAV ALIBAG</t>
  </si>
  <si>
    <t>OPP MIDC OFFICE ALIBAG</t>
  </si>
  <si>
    <t>ALIBAG</t>
  </si>
  <si>
    <t>402201</t>
  </si>
  <si>
    <t>+918605033573</t>
  </si>
  <si>
    <t>ifa.ptanna17@gmail.com</t>
  </si>
  <si>
    <t>MAHUL ROAD</t>
  </si>
  <si>
    <t>11037810615</t>
  </si>
  <si>
    <t>400002050</t>
  </si>
  <si>
    <t>SBIN0000564</t>
  </si>
  <si>
    <t>1050165683</t>
  </si>
  <si>
    <t>S P Supraja</t>
  </si>
  <si>
    <t>HFCPS7513L</t>
  </si>
  <si>
    <t>201D</t>
  </si>
  <si>
    <t>Aditya Birla Sun Life Large &amp; Mid Cap Fund - IDCW-Regular Plan (formerly known as Aditya Birla Sun Life Equity Advantage Fund)</t>
  </si>
  <si>
    <t>D/O SUDARSANAN 59 NEASAVALAR COLONY</t>
  </si>
  <si>
    <t>KANJIKONAMPALAYAM VELLALUR VELLALORE</t>
  </si>
  <si>
    <t>COIMBATORE SOUTH NEAR JUNCTION</t>
  </si>
  <si>
    <t>COIMBATORE</t>
  </si>
  <si>
    <t>641111</t>
  </si>
  <si>
    <t>supraja91sp@gmail.com</t>
  </si>
  <si>
    <t>+918870792204</t>
  </si>
  <si>
    <t>NAGERCOIL</t>
  </si>
  <si>
    <t>WYQDQ</t>
  </si>
  <si>
    <t>158870792204</t>
  </si>
  <si>
    <t>INDB0001465</t>
  </si>
  <si>
    <t>1050154825</t>
  </si>
  <si>
    <t>Vishnupriya Ramanathan</t>
  </si>
  <si>
    <t>1208870029716445</t>
  </si>
  <si>
    <t>DOIPR4978M</t>
  </si>
  <si>
    <t>D/O RAMANATHAN, F7 PATTESWARAR,</t>
  </si>
  <si>
    <t>PARADISE, VIVEKANANDA NAGAR,,</t>
  </si>
  <si>
    <t>SINGANALLUR, COIMBATORE SOUTH,,</t>
  </si>
  <si>
    <t>641005</t>
  </si>
  <si>
    <t>rvishnu97@gmail.com</t>
  </si>
  <si>
    <t>+917373741042</t>
  </si>
  <si>
    <t>MGROAD BANGALORE</t>
  </si>
  <si>
    <t>8413417620</t>
  </si>
  <si>
    <t>KKBK0008066</t>
  </si>
  <si>
    <t>1050153476</t>
  </si>
  <si>
    <t>Pradipta Das</t>
  </si>
  <si>
    <t>COEPD5619G</t>
  </si>
  <si>
    <t>PURATAN PANDA PARA KALIBARI</t>
  </si>
  <si>
    <t>KHARIA [P]</t>
  </si>
  <si>
    <t>JALPAIGURI</t>
  </si>
  <si>
    <t>735132</t>
  </si>
  <si>
    <t>daspradipta211@gmail.com</t>
  </si>
  <si>
    <t>+917602318389</t>
  </si>
  <si>
    <t>ARN-21859</t>
  </si>
  <si>
    <t>Biren Pal</t>
  </si>
  <si>
    <t>AGVPP4414A</t>
  </si>
  <si>
    <t>Vlll-Sebagram</t>
  </si>
  <si>
    <t>P.o.Debnagar</t>
  </si>
  <si>
    <t>Dist-jalpaiguri</t>
  </si>
  <si>
    <t>Jalpaiguri</t>
  </si>
  <si>
    <t>735101</t>
  </si>
  <si>
    <t>+919232359947</t>
  </si>
  <si>
    <t>paul_biren@yahoo.in</t>
  </si>
  <si>
    <t>KADAMTALA</t>
  </si>
  <si>
    <t>3634006477</t>
  </si>
  <si>
    <t>735016294</t>
  </si>
  <si>
    <t>CBIN0282569</t>
  </si>
  <si>
    <t>JALP561</t>
  </si>
  <si>
    <t>1050163096</t>
  </si>
  <si>
    <t>Gunakar Chetia</t>
  </si>
  <si>
    <t>IN30611480263803</t>
  </si>
  <si>
    <t>AYLPC3442R</t>
  </si>
  <si>
    <t>C O UMA KANTA CHETIA SADIYA BOJAL GAON T</t>
  </si>
  <si>
    <t>ASSAM</t>
  </si>
  <si>
    <t>786155</t>
  </si>
  <si>
    <t>gunakarchetia@gmail.com</t>
  </si>
  <si>
    <t>+919707613780</t>
  </si>
  <si>
    <t>CHAPAKHOWA</t>
  </si>
  <si>
    <t>CHAPAKHOA</t>
  </si>
  <si>
    <t>30839879856</t>
  </si>
  <si>
    <t>SBIN0011624</t>
  </si>
  <si>
    <t>1050175875</t>
  </si>
  <si>
    <t>Girija Sham Sangoram</t>
  </si>
  <si>
    <t>HOMPS2639J</t>
  </si>
  <si>
    <t>SMITA SHAM SANGORAM</t>
  </si>
  <si>
    <t>AEWPS3751G</t>
  </si>
  <si>
    <t>saaj meher mala vidyanagar</t>
  </si>
  <si>
    <t>Ahmadnagar sangamner Sangamner</t>
  </si>
  <si>
    <t>Maharashtra 422605 India</t>
  </si>
  <si>
    <t>girijasangoram1097@gmail.com</t>
  </si>
  <si>
    <t>+917588296197</t>
  </si>
  <si>
    <t>AURANGABAD AMC</t>
  </si>
  <si>
    <t>AURANGABAD</t>
  </si>
  <si>
    <t>0633104000191142</t>
  </si>
  <si>
    <t>IBKL0000633</t>
  </si>
  <si>
    <t>1050181041</t>
  </si>
  <si>
    <t>Rahul Raj</t>
  </si>
  <si>
    <t>IN30611480196867</t>
  </si>
  <si>
    <t>FATCA not available for Investor/Guardian-DELPR5118L</t>
  </si>
  <si>
    <t>DELPR5118L</t>
  </si>
  <si>
    <t>HOUSE NO 5 SHASHI SADAN ROAD 8 PATNA SAD</t>
  </si>
  <si>
    <t>KESHARI NAGAR NEAR RAILWAY LINE INDRAPUR</t>
  </si>
  <si>
    <t>800024</t>
  </si>
  <si>
    <t>rahul.raj.59@gmail.com</t>
  </si>
  <si>
    <t>+919304293308</t>
  </si>
  <si>
    <t>KURJIPATNA</t>
  </si>
  <si>
    <t>20044045985</t>
  </si>
  <si>
    <t>SBIN0003500</t>
  </si>
  <si>
    <t>1050182824</t>
  </si>
  <si>
    <t>Kartik Sudarsan</t>
  </si>
  <si>
    <t>AKPPS9073E</t>
  </si>
  <si>
    <t>SHIVOHAM, NO. 42, UMA NAGAR 4TH STREET, KOLAZHY, NEAR</t>
  </si>
  <si>
    <t>UMA NAGAR CLUB, KOLAZHI RM, KOLAZHI, THRISSUR, KERALA,</t>
  </si>
  <si>
    <t>680010, INDIA</t>
  </si>
  <si>
    <t>THRISSUR</t>
  </si>
  <si>
    <t>680010</t>
  </si>
  <si>
    <t>kartik.sudarsan@gmail.com</t>
  </si>
  <si>
    <t>+918606256311</t>
  </si>
  <si>
    <t>KAZHAKKOOTA  TRIVANDRUM</t>
  </si>
  <si>
    <t>THIRUVANANTHAPURAM</t>
  </si>
  <si>
    <t>50100199262892</t>
  </si>
  <si>
    <t>HDFC0000683</t>
  </si>
  <si>
    <t>1050172251</t>
  </si>
  <si>
    <t>Anila Jose</t>
  </si>
  <si>
    <t>BFWPJ8278M</t>
  </si>
  <si>
    <t>KAITHARATH VATHAKKAD</t>
  </si>
  <si>
    <t>THURAVOOR P O</t>
  </si>
  <si>
    <t>683572</t>
  </si>
  <si>
    <t>9645548050</t>
  </si>
  <si>
    <t>anilajose91@gmail.com</t>
  </si>
  <si>
    <t>ARN-120781</t>
  </si>
  <si>
    <t>PENTAD SECURITIES PVT LTD</t>
  </si>
  <si>
    <t>AAGCP9256Q</t>
  </si>
  <si>
    <t>33/2361 B4,3rd Floor,Jacob's Building,</t>
  </si>
  <si>
    <t>Geethanjali Junction,</t>
  </si>
  <si>
    <t>Vyttila,</t>
  </si>
  <si>
    <t>682019</t>
  </si>
  <si>
    <t>+918080626415</t>
  </si>
  <si>
    <t>mfpentad@gmail.com</t>
  </si>
  <si>
    <t>10022100550138</t>
  </si>
  <si>
    <t>FDRL0001002</t>
  </si>
  <si>
    <t>1050189420</t>
  </si>
  <si>
    <t>Nilanjan Pahari</t>
  </si>
  <si>
    <t>BAQPP0978R</t>
  </si>
  <si>
    <t>41 M.M MITRA ROAD</t>
  </si>
  <si>
    <t>PANIHATI[M], KAMARHATI</t>
  </si>
  <si>
    <t>NORTH 24 PARGANAS</t>
  </si>
  <si>
    <t>700058</t>
  </si>
  <si>
    <t>nilanjanpahari@gmail.com</t>
  </si>
  <si>
    <t>+919874191569</t>
  </si>
  <si>
    <t>STANDARD CHARTERED BANK</t>
  </si>
  <si>
    <t>CHURCH LANE</t>
  </si>
  <si>
    <t>33610192533</t>
  </si>
  <si>
    <t>700036014</t>
  </si>
  <si>
    <t>SCBL0036013</t>
  </si>
  <si>
    <t>1050183631</t>
  </si>
  <si>
    <t>Anil Kumar Bhurethha</t>
  </si>
  <si>
    <t>AOOPB2070B</t>
  </si>
  <si>
    <t>S/O MOHAN LAL BHURETHHA , C-2 . PATEL NAGAR,</t>
  </si>
  <si>
    <t>DEOLI DIST- TONK</t>
  </si>
  <si>
    <t>TONK</t>
  </si>
  <si>
    <t>304804</t>
  </si>
  <si>
    <t>kumar.tani09@gmail.com</t>
  </si>
  <si>
    <t>+919829074994</t>
  </si>
  <si>
    <t>DEOLI</t>
  </si>
  <si>
    <t>33367049423</t>
  </si>
  <si>
    <t>SBIN0010489</t>
  </si>
  <si>
    <t>1050203278</t>
  </si>
  <si>
    <t>Ankita Jarial</t>
  </si>
  <si>
    <t>BRVPJ2685K</t>
  </si>
  <si>
    <t>FLAT NO 3206 3RD FLOOR,TOWERNO CODG1, SBP CITY OF</t>
  </si>
  <si>
    <t>DREAMS SECTOR 116, KHARAR</t>
  </si>
  <si>
    <t>SAS NAGAR MOHALI</t>
  </si>
  <si>
    <t>140301</t>
  </si>
  <si>
    <t>918626966096</t>
  </si>
  <si>
    <t>jarial.ankita@gmail.com</t>
  </si>
  <si>
    <t>+918626966096</t>
  </si>
  <si>
    <t>MOHALI PHASE 11 MHL PB</t>
  </si>
  <si>
    <t>MOHALI</t>
  </si>
  <si>
    <t>920010071643427</t>
  </si>
  <si>
    <t>160211044</t>
  </si>
  <si>
    <t>UTIB0002806</t>
  </si>
  <si>
    <t>1050191348</t>
  </si>
  <si>
    <t>Ravikiran Edara</t>
  </si>
  <si>
    <t>1208160000198110</t>
  </si>
  <si>
    <t>FATCA not available for Investor/Guardian-AACPE7750P</t>
  </si>
  <si>
    <t>AACPE7750P</t>
  </si>
  <si>
    <t>S/O: EDARA JAGANNADHA RAO H NO</t>
  </si>
  <si>
    <t>TEMPLE ROAD SNEHAPURI COLONY B</t>
  </si>
  <si>
    <t>K.V.RANGAREDDY</t>
  </si>
  <si>
    <t>500018</t>
  </si>
  <si>
    <t>ravikirane29@gmail.com</t>
  </si>
  <si>
    <t>+918074654943</t>
  </si>
  <si>
    <t>MOTINAGAR</t>
  </si>
  <si>
    <t>16261000003789</t>
  </si>
  <si>
    <t>HDFC0001626</t>
  </si>
  <si>
    <t>1050242606</t>
  </si>
  <si>
    <t>Dhananjoy Datta</t>
  </si>
  <si>
    <t>1203320438805721</t>
  </si>
  <si>
    <t>AHGPD1755N</t>
  </si>
  <si>
    <t>PARA SHANTI PALLI WARD NO 7PO</t>
  </si>
  <si>
    <t>CHARIPARA MOUJA CHARIPARA</t>
  </si>
  <si>
    <t>BLOCK DUKLI BELABAR GRAM</t>
  </si>
  <si>
    <t>AGARTALA</t>
  </si>
  <si>
    <t>TR</t>
  </si>
  <si>
    <t>799003</t>
  </si>
  <si>
    <t>9436496658</t>
  </si>
  <si>
    <t>dhananjoy38@gmail.com</t>
  </si>
  <si>
    <t>+919436496658</t>
  </si>
  <si>
    <t>ARUNDHUTI NAGAR</t>
  </si>
  <si>
    <t>TRIPURA  W</t>
  </si>
  <si>
    <t>00000030013221853</t>
  </si>
  <si>
    <t>SBIN0004544</t>
  </si>
  <si>
    <t>1050206270</t>
  </si>
  <si>
    <t>Selim Saikh</t>
  </si>
  <si>
    <t>HDJPS4081Q</t>
  </si>
  <si>
    <t>125B</t>
  </si>
  <si>
    <t>ADITYA BIRLA SUN LIFE TRANSPORTATION AND LOGISTICS FUND- Regular Growth</t>
  </si>
  <si>
    <t>S/O MANIK SAIKH,BHAKTINAGAR,SHANTI</t>
  </si>
  <si>
    <t>PARA,RAJGANJ,RAJGANJ,BHA KTINAGAR,JALPAIGURI,WEST</t>
  </si>
  <si>
    <t>BENGAL</t>
  </si>
  <si>
    <t>734007</t>
  </si>
  <si>
    <t>selim.saikh44@gmail.com</t>
  </si>
  <si>
    <t>+917001399521</t>
  </si>
  <si>
    <t>ARN-131660</t>
  </si>
  <si>
    <t>RITESH KUMAR AGARWAL</t>
  </si>
  <si>
    <t>AFVPA0784R</t>
  </si>
  <si>
    <t>RITESH KUMAR AGARWAL,</t>
  </si>
  <si>
    <t>FLAT NO-B/3, SHREE KRISHNA GARDEN,</t>
  </si>
  <si>
    <t>BLOCK-C,N/R BOTTLE CO.BALKUNTHA PALLY,</t>
  </si>
  <si>
    <t>SILIGURI</t>
  </si>
  <si>
    <t>734001</t>
  </si>
  <si>
    <t>+919832699447</t>
  </si>
  <si>
    <t>re02@rediffmail.com</t>
  </si>
  <si>
    <t>COLLEGE PARA</t>
  </si>
  <si>
    <t>387001501490</t>
  </si>
  <si>
    <t>734229008</t>
  </si>
  <si>
    <t>ICIC0003870</t>
  </si>
  <si>
    <t>353</t>
  </si>
  <si>
    <t>Siliguri</t>
  </si>
  <si>
    <t>1050212104</t>
  </si>
  <si>
    <t>Nirdesh Agrawal</t>
  </si>
  <si>
    <t>1203320067272691</t>
  </si>
  <si>
    <t>DBQPA8245D</t>
  </si>
  <si>
    <t>WARD-10 TAH SEONI MALWA</t>
  </si>
  <si>
    <t>SHIVALAY MARG SEONI-MALWA</t>
  </si>
  <si>
    <t>HOSHANGABAD</t>
  </si>
  <si>
    <t>461223</t>
  </si>
  <si>
    <t>8349507500</t>
  </si>
  <si>
    <t>agrawalnirdesh0@gmail.com</t>
  </si>
  <si>
    <t>SEONI MALWA</t>
  </si>
  <si>
    <t>922010021900581</t>
  </si>
  <si>
    <t>UTIB0003952</t>
  </si>
  <si>
    <t>1050213511</t>
  </si>
  <si>
    <t>Sameer Mansuri</t>
  </si>
  <si>
    <t>FYFPM7723C</t>
  </si>
  <si>
    <t>1057</t>
  </si>
  <si>
    <t>Aditya Birla Sun Life Aggressive Hybrid Omni FOF -Growth (formerly known as Aditya Birla Sun Life Financial Planning Fund Moderate Plan)</t>
  </si>
  <si>
    <t>S O ABDUL SALAM MANSURI F 146 R K COLONY</t>
  </si>
  <si>
    <t>BHILWARA BHILWARA BHILWARA BHILWARA RAJASTHAN</t>
  </si>
  <si>
    <t>.</t>
  </si>
  <si>
    <t>BHILWARA</t>
  </si>
  <si>
    <t>311001</t>
  </si>
  <si>
    <t>919587015402</t>
  </si>
  <si>
    <t>sammymansuri448@gmail.com</t>
  </si>
  <si>
    <t>+919587015402</t>
  </si>
  <si>
    <t>NEHRU PLACE,BHI BHI RJ</t>
  </si>
  <si>
    <t>925010046630635</t>
  </si>
  <si>
    <t>311211003</t>
  </si>
  <si>
    <t>UTIB0002936</t>
  </si>
  <si>
    <t>1050209903</t>
  </si>
  <si>
    <t>Solanki Rekhaben Pintubhai</t>
  </si>
  <si>
    <t>JUHPS8449P</t>
  </si>
  <si>
    <t>133 50 VARIYA RAJPUTAWADA</t>
  </si>
  <si>
    <t>SUBHASHNAGAR</t>
  </si>
  <si>
    <t>364001</t>
  </si>
  <si>
    <t>solankipintu384@gmail.com</t>
  </si>
  <si>
    <t>+919924108731</t>
  </si>
  <si>
    <t>ARN-42506</t>
  </si>
  <si>
    <t>Marwadi Shares And Finance Limited</t>
  </si>
  <si>
    <t>AABCM5192K</t>
  </si>
  <si>
    <t>Marwadi Financial Plaza</t>
  </si>
  <si>
    <t>Nana Mava Road Near Isconmega Mall</t>
  </si>
  <si>
    <t>Off 150 Feet Ring Road</t>
  </si>
  <si>
    <t>360005</t>
  </si>
  <si>
    <t>+919879207310</t>
  </si>
  <si>
    <t>mfdailyfeeds@marwadigroup.in</t>
  </si>
  <si>
    <t>KRISHNA NAGAR</t>
  </si>
  <si>
    <t>Bhavnagar</t>
  </si>
  <si>
    <t>348802010062539</t>
  </si>
  <si>
    <t>364026002</t>
  </si>
  <si>
    <t>UBIN0534889</t>
  </si>
  <si>
    <t>BHA278</t>
  </si>
  <si>
    <t>1050215832</t>
  </si>
  <si>
    <t>Pinku Moni Rajkhowa</t>
  </si>
  <si>
    <t>BZMPR9303P</t>
  </si>
  <si>
    <t>UTTAR CHANG CHAKI DAKHIN CHANG CHAKI KAMPUR NAGAON</t>
  </si>
  <si>
    <t>ASSAM 782426</t>
  </si>
  <si>
    <t>NAGAON</t>
  </si>
  <si>
    <t>782426</t>
  </si>
  <si>
    <t>p9290442@gmail.com</t>
  </si>
  <si>
    <t>+917896882446</t>
  </si>
  <si>
    <t>KAMPUR TOWN</t>
  </si>
  <si>
    <t>KAMRUP</t>
  </si>
  <si>
    <t>00000020234363016</t>
  </si>
  <si>
    <t>SBIN0011608</t>
  </si>
  <si>
    <t>1050245848</t>
  </si>
  <si>
    <t>Suraj Kumar</t>
  </si>
  <si>
    <t>NDCPK6286G</t>
  </si>
  <si>
    <t>Ward No. 24, Near Madho Cinema</t>
  </si>
  <si>
    <t>Janpul Chowk, Banjaria</t>
  </si>
  <si>
    <t>East Champaran, Bihar</t>
  </si>
  <si>
    <t>BANJARIA</t>
  </si>
  <si>
    <t>845401</t>
  </si>
  <si>
    <t>surajkumarmth845401@gmail.com</t>
  </si>
  <si>
    <t>+917061869482</t>
  </si>
  <si>
    <t>KORAMANGALA</t>
  </si>
  <si>
    <t>2347841711</t>
  </si>
  <si>
    <t>KKBK0000424</t>
  </si>
  <si>
    <t>1050226397</t>
  </si>
  <si>
    <t>Vikas Sajwan</t>
  </si>
  <si>
    <t>1208870297884267</t>
  </si>
  <si>
    <t>GNXPS0286L</t>
  </si>
  <si>
    <t>S/O SABAL SINGH SAJWAN,C-79, SANJAY</t>
  </si>
  <si>
    <t>ENCLAVE,UTTAM NAGAR,WEST</t>
  </si>
  <si>
    <t>DELHI,DELHI,110059</t>
  </si>
  <si>
    <t>sajwan.vikas@gmail.com</t>
  </si>
  <si>
    <t>+918790084477</t>
  </si>
  <si>
    <t>055801645616</t>
  </si>
  <si>
    <t>1050230858</t>
  </si>
  <si>
    <t>Zafar Zafar</t>
  </si>
  <si>
    <t>1203320375178784</t>
  </si>
  <si>
    <t>ACKPZ2298P</t>
  </si>
  <si>
    <t>MANIHARAN HUSAINPUR AMROHA</t>
  </si>
  <si>
    <t>UTTAR PRADESH</t>
  </si>
  <si>
    <t>HASANPUR</t>
  </si>
  <si>
    <t>244241</t>
  </si>
  <si>
    <t>8433263390</t>
  </si>
  <si>
    <t>zafarsiddiquee042@gmail.com</t>
  </si>
  <si>
    <t>+918433263390</t>
  </si>
  <si>
    <t>1050237231</t>
  </si>
  <si>
    <t>Dr Nanda Kumar K</t>
  </si>
  <si>
    <t>ALKPK8077G</t>
  </si>
  <si>
    <t>313G</t>
  </si>
  <si>
    <t>Aditya Birla Sun Life Regular Savings Fund - Growth-Regular Plan</t>
  </si>
  <si>
    <t>NO 70</t>
  </si>
  <si>
    <t>KRISHNA SAI NILAYA</t>
  </si>
  <si>
    <t>NANNJAPA CIRCLE VIDYARANYA PURA</t>
  </si>
  <si>
    <t>nanda.spheris@gmail.com</t>
  </si>
  <si>
    <t>+919880093369</t>
  </si>
  <si>
    <t>RAMAMURTHY NAGAR  BANGLORE</t>
  </si>
  <si>
    <t>27791140000694</t>
  </si>
  <si>
    <t>HDFC0002779</t>
  </si>
  <si>
    <t>1050234360</t>
  </si>
  <si>
    <t>CHAKRADHARA RAO POLISETTY</t>
  </si>
  <si>
    <t>ACUPP6220F</t>
  </si>
  <si>
    <t>C O NARYANA RAO B12 MADHUVANAM APTS</t>
  </si>
  <si>
    <t>KANHA SHANTHIVANAM NANDIGAMA CHEGUR</t>
  </si>
  <si>
    <t>RANGAREDDY</t>
  </si>
  <si>
    <t>509325</t>
  </si>
  <si>
    <t>pcrao1945@gmail.com</t>
  </si>
  <si>
    <t>+919848017016</t>
  </si>
  <si>
    <t>SHADNAGAR</t>
  </si>
  <si>
    <t>MAHBUBNAGAR</t>
  </si>
  <si>
    <t>00811000085084</t>
  </si>
  <si>
    <t>HDFC0004330</t>
  </si>
  <si>
    <t>1050255513</t>
  </si>
  <si>
    <t>Nammi Venkatadurgarao</t>
  </si>
  <si>
    <t>AGAPN3388C</t>
  </si>
  <si>
    <t>S O Varahala Rao 3 1 229  TF 302</t>
  </si>
  <si>
    <t>Hill Side Residency Vidyadharapuram</t>
  </si>
  <si>
    <t>Nr Sitara Theater Midhila Nagar Clny</t>
  </si>
  <si>
    <t>Vijayawada  Urban</t>
  </si>
  <si>
    <t>520012</t>
  </si>
  <si>
    <t>nammidurgarao@gamil.com</t>
  </si>
  <si>
    <t>+919290150902</t>
  </si>
  <si>
    <t>PRAJASHAKTI NAGAR VIJAYWADA</t>
  </si>
  <si>
    <t>VIJAYWADA</t>
  </si>
  <si>
    <t>00000030602533613</t>
  </si>
  <si>
    <t>SBIN0007899</t>
  </si>
  <si>
    <t>1050257297</t>
  </si>
  <si>
    <t>Praveen Bhati</t>
  </si>
  <si>
    <t>EVNPB7327F</t>
  </si>
  <si>
    <t>S/O BHEEM BHATI,JHUUGI NO-59,T-HUTS B S S</t>
  </si>
  <si>
    <t>CAMP,RAJOKARI PAHARI,A F RAJOKARI,VASANT</t>
  </si>
  <si>
    <t>VIHAR,SOUTH WEST DELHI,DELHI</t>
  </si>
  <si>
    <t>110038</t>
  </si>
  <si>
    <t>parveenbhati495@gmail.com</t>
  </si>
  <si>
    <t>+919910262112</t>
  </si>
  <si>
    <t>VASANT KUNJ BRANCH</t>
  </si>
  <si>
    <t>3250520922</t>
  </si>
  <si>
    <t>KKBK0000216</t>
  </si>
  <si>
    <t>1050253310</t>
  </si>
  <si>
    <t>Nandlal Deshmukh</t>
  </si>
  <si>
    <t>AHSPD4347E</t>
  </si>
  <si>
    <t>S/O DAYAMAY DESHMUKH</t>
  </si>
  <si>
    <t>GOURI SHANKARNAGAR NORTH OFFICE PARA</t>
  </si>
  <si>
    <t>PO DORANDA</t>
  </si>
  <si>
    <t>RANCHI</t>
  </si>
  <si>
    <t>834002</t>
  </si>
  <si>
    <t>deshmukhbrothers03@gmail.com</t>
  </si>
  <si>
    <t>+919955157928</t>
  </si>
  <si>
    <t>ARN-297194</t>
  </si>
  <si>
    <t>YADUNANDAN PRASAD MISHRA</t>
  </si>
  <si>
    <t>ABEPM7912Q</t>
  </si>
  <si>
    <t>DorandaNorth Office Para Barik Toli</t>
  </si>
  <si>
    <t>Ranchi</t>
  </si>
  <si>
    <t>9546468254</t>
  </si>
  <si>
    <t>yadunandanprasadmishra1945@gmail.com</t>
  </si>
  <si>
    <t>SHYAMLI</t>
  </si>
  <si>
    <t>491010100000039</t>
  </si>
  <si>
    <t>834013009</t>
  </si>
  <si>
    <t>BKID0004910</t>
  </si>
  <si>
    <t>651</t>
  </si>
  <si>
    <t>1050147894</t>
  </si>
  <si>
    <t>Purushuttam Kumar</t>
  </si>
  <si>
    <t>19</t>
  </si>
  <si>
    <t>Private Sector Employee</t>
  </si>
  <si>
    <t>CPBPK6596P</t>
  </si>
  <si>
    <t>VIL SOKHARA</t>
  </si>
  <si>
    <t>PHULWARIA</t>
  </si>
  <si>
    <t>BEGUSARAI BIHAR</t>
  </si>
  <si>
    <t>851112</t>
  </si>
  <si>
    <t>purushuttam.kumar@gmail.com</t>
  </si>
  <si>
    <t>+917709419787</t>
  </si>
  <si>
    <t>ARN-343753</t>
  </si>
  <si>
    <t>ANKIT KUMAR MITTAL</t>
  </si>
  <si>
    <t>BWLPM2729L</t>
  </si>
  <si>
    <t>At Post-Mittal Vatika, Anguha Lane</t>
  </si>
  <si>
    <t>Bahalpara,Sadar</t>
  </si>
  <si>
    <t>8446881434</t>
  </si>
  <si>
    <t>avankitmfd@gmail.com</t>
  </si>
  <si>
    <t>PUNE  INFOSYS  PHASE  II</t>
  </si>
  <si>
    <t>055801596676</t>
  </si>
  <si>
    <t>411229029</t>
  </si>
  <si>
    <t>ICIC0000570</t>
  </si>
  <si>
    <t>1050176248</t>
  </si>
  <si>
    <t>Pranita Milind Shravagi</t>
  </si>
  <si>
    <t>IN30186273020369</t>
  </si>
  <si>
    <t>CNKPS4645A</t>
  </si>
  <si>
    <t>296G</t>
  </si>
  <si>
    <t>Aditya Birla Sun Life Value Fund - Growth-Regular Plan(formerly known as Aditya Birla Sun Life Pure Value Fund)</t>
  </si>
  <si>
    <t>7 NAV AADITYA APARTMENT SAI</t>
  </si>
  <si>
    <t>NAGARNEAR POKH HARKAR NAGAR MANJARLIBADL</t>
  </si>
  <si>
    <t>GULMARG</t>
  </si>
  <si>
    <t>421503</t>
  </si>
  <si>
    <t>pranitashravagi27@gmail.com</t>
  </si>
  <si>
    <t>+917600054619</t>
  </si>
  <si>
    <t>ARN-146822</t>
  </si>
  <si>
    <t>MOTILAL OSWAL FINANCIAL SERVICES LIMITED</t>
  </si>
  <si>
    <t>AAECM2876P</t>
  </si>
  <si>
    <t>Motilal Oswal Tower</t>
  </si>
  <si>
    <t>Rahmtullah Sayani Road</t>
  </si>
  <si>
    <t>Opp Parel St Depot Brabhadevi</t>
  </si>
  <si>
    <t>9594034988</t>
  </si>
  <si>
    <t>transaction@motilaloswal.com</t>
  </si>
  <si>
    <t>BADLAPUR</t>
  </si>
  <si>
    <t>34449213155</t>
  </si>
  <si>
    <t>SBIN0016388</t>
  </si>
  <si>
    <t>1050161871</t>
  </si>
  <si>
    <t>Dharmendra Kumar Singh</t>
  </si>
  <si>
    <t>BCHPS2213R</t>
  </si>
  <si>
    <t>QUARTER NO 3</t>
  </si>
  <si>
    <t>YAMUNA VIHAR COLONY</t>
  </si>
  <si>
    <t>DROPADI GHAT</t>
  </si>
  <si>
    <t>211014</t>
  </si>
  <si>
    <t>dksinghao@gmail.com</t>
  </si>
  <si>
    <t>+919389075910</t>
  </si>
  <si>
    <t>PBB ASHOK NAGAR ALLAHABAD</t>
  </si>
  <si>
    <t>30193582539</t>
  </si>
  <si>
    <t>SBIN0018244</t>
  </si>
  <si>
    <t>1050158481</t>
  </si>
  <si>
    <t>Guruprasad K</t>
  </si>
  <si>
    <t>CSDPG0159H</t>
  </si>
  <si>
    <t>HOUSE NO 360/202 NITTUVALLI MAIN ROAD NEAR ADARSHA</t>
  </si>
  <si>
    <t>SCHOOL NITTUVALLIDAVANAGERE</t>
  </si>
  <si>
    <t>DAVANGERE</t>
  </si>
  <si>
    <t>577004</t>
  </si>
  <si>
    <t>00</t>
  </si>
  <si>
    <t>guruprasadk1972000@gmail.com</t>
  </si>
  <si>
    <t>+919620143712</t>
  </si>
  <si>
    <t>ARN-248725</t>
  </si>
  <si>
    <t>S PAVITHRA</t>
  </si>
  <si>
    <t>FWEPP2196H</t>
  </si>
  <si>
    <t>27 Salai,</t>
  </si>
  <si>
    <t>M M Koil Steet,</t>
  </si>
  <si>
    <t>Muthialpet</t>
  </si>
  <si>
    <t>605003</t>
  </si>
  <si>
    <t>PO</t>
  </si>
  <si>
    <t>8248038768</t>
  </si>
  <si>
    <t>arn248725@gmail.com</t>
  </si>
  <si>
    <t>KB EXTN,DAVANGERE</t>
  </si>
  <si>
    <t>0466108177679</t>
  </si>
  <si>
    <t>577015005</t>
  </si>
  <si>
    <t>CNRB0001590</t>
  </si>
  <si>
    <t>413</t>
  </si>
  <si>
    <t>Pondicherry</t>
  </si>
  <si>
    <t>1050165882</t>
  </si>
  <si>
    <t>Blesson Sebastein</t>
  </si>
  <si>
    <t>FFGPS7565G</t>
  </si>
  <si>
    <t>101Y</t>
  </si>
  <si>
    <t>Aditya Birla Sun Life Nifty Next 50 Index Fund Direct Growth</t>
  </si>
  <si>
    <t>S/O SEBASTEIN K K,1-316,KAIDHAR HOUSE,KADABA TALUK</t>
  </si>
  <si>
    <t>SHIRADY,DAKSHINA KANNADA,KARNATAKA,574229</t>
  </si>
  <si>
    <t>DAKSHINA KANNADA</t>
  </si>
  <si>
    <t>574229</t>
  </si>
  <si>
    <t>sblesson2@gmail.com</t>
  </si>
  <si>
    <t>+919845762874</t>
  </si>
  <si>
    <t>CAT-1-EOP-0005</t>
  </si>
  <si>
    <t>Amica Investment Advisers Private Limited</t>
  </si>
  <si>
    <t>AATCA1202E</t>
  </si>
  <si>
    <t>455&amp;456,17th Cross</t>
  </si>
  <si>
    <t>Sector-4 HSR layout</t>
  </si>
  <si>
    <t>560102</t>
  </si>
  <si>
    <t>+919847627222</t>
  </si>
  <si>
    <t>eopfeeds@gmail.com</t>
  </si>
  <si>
    <t>NEO BANKING - JUPITER</t>
  </si>
  <si>
    <t>77770119336887</t>
  </si>
  <si>
    <t>FDRL0007777</t>
  </si>
  <si>
    <t>1050183275</t>
  </si>
  <si>
    <t>Diwakar</t>
  </si>
  <si>
    <t>AUGPD3871L</t>
  </si>
  <si>
    <t>8, MALLIGAI STREET KURINJI NAGAR</t>
  </si>
  <si>
    <t>PORUR TIRUVALLUR</t>
  </si>
  <si>
    <t>600116</t>
  </si>
  <si>
    <t>adv.sdiwakar@gmail.com</t>
  </si>
  <si>
    <t>+919884670187</t>
  </si>
  <si>
    <t>VIRUGAMBAKKAM</t>
  </si>
  <si>
    <t>028901000039883</t>
  </si>
  <si>
    <t>IOBA0000289</t>
  </si>
  <si>
    <t>1050196954</t>
  </si>
  <si>
    <t>Champa Kumari</t>
  </si>
  <si>
    <t>1203320194829307</t>
  </si>
  <si>
    <t>CAJPK7102A</t>
  </si>
  <si>
    <t>B7 KPL CALONY SAILA KHURD</t>
  </si>
  <si>
    <t>HOSHIARPUR PUNJAB</t>
  </si>
  <si>
    <t>GARHSHANKER</t>
  </si>
  <si>
    <t>144529</t>
  </si>
  <si>
    <t>7888465167</t>
  </si>
  <si>
    <t>champikarana75@gmail.com</t>
  </si>
  <si>
    <t>+917888465167</t>
  </si>
  <si>
    <t>GARHSHANKAR PUNJAB</t>
  </si>
  <si>
    <t>GARHSHANKAR</t>
  </si>
  <si>
    <t>922010040898854</t>
  </si>
  <si>
    <t>UTIB0000610</t>
  </si>
  <si>
    <t>1050199311</t>
  </si>
  <si>
    <t>Vaibhav Kailas Karpe</t>
  </si>
  <si>
    <t>DUAPK9550C</t>
  </si>
  <si>
    <t>AMRUT NIWAS, MAIN ROAD AT</t>
  </si>
  <si>
    <t>POST SANGAMNER SANGAMNER</t>
  </si>
  <si>
    <t>AHMEDNAGAR</t>
  </si>
  <si>
    <t>vaibhavkrp70@gmail.com</t>
  </si>
  <si>
    <t>+919049892970</t>
  </si>
  <si>
    <t>SANGAMNER</t>
  </si>
  <si>
    <t>SANGAMNER (MAHARASHTRA)</t>
  </si>
  <si>
    <t>066510110001599</t>
  </si>
  <si>
    <t>BKID0000665</t>
  </si>
  <si>
    <t>1050204005</t>
  </si>
  <si>
    <t>Sharika Kiran</t>
  </si>
  <si>
    <t>1208870389657645</t>
  </si>
  <si>
    <t>AKVPK6137H</t>
  </si>
  <si>
    <t>C/O KIRAN,7-96C,SHARIKA</t>
  </si>
  <si>
    <t>NILAYA,HEJAMADI,UDUPI,HEJMADIKODI,UDUP</t>
  </si>
  <si>
    <t>I,KARNATAKA,574103</t>
  </si>
  <si>
    <t>574103</t>
  </si>
  <si>
    <t>sharikakiran74@gmail.com</t>
  </si>
  <si>
    <t>+917259136458</t>
  </si>
  <si>
    <t>TREASURY BRANCH UDUPI</t>
  </si>
  <si>
    <t>00000020314147213</t>
  </si>
  <si>
    <t>SBIN0008116</t>
  </si>
  <si>
    <t>1050204492</t>
  </si>
  <si>
    <t>Chidananda Satyappa Byakod</t>
  </si>
  <si>
    <t>1208870357036356</t>
  </si>
  <si>
    <t>ELTPB9828P</t>
  </si>
  <si>
    <t>S/O: SATYAPPA,TALUK</t>
  </si>
  <si>
    <t>MUDHOL,KESRAKOPPA,MUDHOL,KESARGOPPA,BA</t>
  </si>
  <si>
    <t>GALKOT,KARNATAKA,587312</t>
  </si>
  <si>
    <t>BAGALKOT</t>
  </si>
  <si>
    <t>587312</t>
  </si>
  <si>
    <t>chidanandbyakod87@gmail.com</t>
  </si>
  <si>
    <t>+918660208780</t>
  </si>
  <si>
    <t>KESARAGOPPA</t>
  </si>
  <si>
    <t>MUDHOL</t>
  </si>
  <si>
    <t>00000043589813711</t>
  </si>
  <si>
    <t>SBIN0041061</t>
  </si>
  <si>
    <t>1050207668</t>
  </si>
  <si>
    <t>Sukanta Hazra</t>
  </si>
  <si>
    <t>1208870031806384</t>
  </si>
  <si>
    <t>AGSPH3951P</t>
  </si>
  <si>
    <t>32Z</t>
  </si>
  <si>
    <t>Aditya Birla Sun Life Corporate Bond Fund - Growth-Direct Plan</t>
  </si>
  <si>
    <t>JUJARSAHA JUJURSA HAORA</t>
  </si>
  <si>
    <t>711302</t>
  </si>
  <si>
    <t>sukanta18sep@gmail.com</t>
  </si>
  <si>
    <t>+917003011987</t>
  </si>
  <si>
    <t>JUJERSAH KULDANGA</t>
  </si>
  <si>
    <t>405202120001383</t>
  </si>
  <si>
    <t>UBIN0540528</t>
  </si>
  <si>
    <t>1050207943</t>
  </si>
  <si>
    <t>Abhishek Jain</t>
  </si>
  <si>
    <t>1208870008250766</t>
  </si>
  <si>
    <t>BDCPJ3672B</t>
  </si>
  <si>
    <t>129, WARD NO. 7, PATEL BASTI DR. SEVA</t>
  </si>
  <si>
    <t>RAM GOYAL K PASS, GOHANA</t>
  </si>
  <si>
    <t>SONIPAT</t>
  </si>
  <si>
    <t>131301</t>
  </si>
  <si>
    <t>abhijain88180@gmail.com</t>
  </si>
  <si>
    <t>+917206780286</t>
  </si>
  <si>
    <t>GOHANA</t>
  </si>
  <si>
    <t>23200110026113</t>
  </si>
  <si>
    <t>UCBA0002320</t>
  </si>
  <si>
    <t>1050210621</t>
  </si>
  <si>
    <t>Anand Kumar Tiwari</t>
  </si>
  <si>
    <t>BQMPT3875P</t>
  </si>
  <si>
    <t>S O MANOJ KUMAR TIWARI VILL PO BAIDA KALA PS PATAN</t>
  </si>
  <si>
    <t>BAIDA KALAN PATAN BAIDAKALA PALAMU JHARKHAND 822123</t>
  </si>
  <si>
    <t>PALAMU</t>
  </si>
  <si>
    <t>822123</t>
  </si>
  <si>
    <t>a.anand0302@gmail.com</t>
  </si>
  <si>
    <t>+917870487009</t>
  </si>
  <si>
    <t>DALTONGANJ</t>
  </si>
  <si>
    <t>621202010006439</t>
  </si>
  <si>
    <t>UBIN0562122</t>
  </si>
  <si>
    <t>1050211167</t>
  </si>
  <si>
    <t>Pratik Rathore</t>
  </si>
  <si>
    <t>1203320307649421</t>
  </si>
  <si>
    <t>DZPPR5452E</t>
  </si>
  <si>
    <t>MAKAN N 33 SHIVAJI CHOUK WARD</t>
  </si>
  <si>
    <t>N 42 ARY SAMAJ SCHOOL KE PASS</t>
  </si>
  <si>
    <t>HARIGANJ KHANDWA EAST NIMAR</t>
  </si>
  <si>
    <t>KHANDWA</t>
  </si>
  <si>
    <t>450001</t>
  </si>
  <si>
    <t>7400791997</t>
  </si>
  <si>
    <t>pratikrathore897@gmail.com</t>
  </si>
  <si>
    <t>+917400791997</t>
  </si>
  <si>
    <t>KHANDWA BRANCH</t>
  </si>
  <si>
    <t>07880100013645</t>
  </si>
  <si>
    <t>BARB0KHANDW</t>
  </si>
  <si>
    <t>1050214377</t>
  </si>
  <si>
    <t>Somashekar R</t>
  </si>
  <si>
    <t>JUVPS7891P</t>
  </si>
  <si>
    <t># 215 1ST MAIN, A K COLONY KAMAKSHIPALYA</t>
  </si>
  <si>
    <t>560079</t>
  </si>
  <si>
    <t>somashekarr2326@gmail.com</t>
  </si>
  <si>
    <t>+919880382326</t>
  </si>
  <si>
    <t>KAMAKSHIPALY BRANCH</t>
  </si>
  <si>
    <t>19030100028473</t>
  </si>
  <si>
    <t>BARB0KAMBAN</t>
  </si>
  <si>
    <t>1050216435</t>
  </si>
  <si>
    <t>Suman Singha</t>
  </si>
  <si>
    <t>MUXPS0694B</t>
  </si>
  <si>
    <t>S O TARAKANTA SINGHA KENDUGARI KENDUGARI</t>
  </si>
  <si>
    <t>KENDUGERYA GOPIBALLAVPUR I PASCHIM MEDINIPUR</t>
  </si>
  <si>
    <t>WEST BENGAL</t>
  </si>
  <si>
    <t>721506</t>
  </si>
  <si>
    <t>sumankendugari@gmail.com</t>
  </si>
  <si>
    <t>+917679410950</t>
  </si>
  <si>
    <t>GOPIBALLAVPUR</t>
  </si>
  <si>
    <t>MEDINIPUR</t>
  </si>
  <si>
    <t>0846010337502</t>
  </si>
  <si>
    <t>PUNB0084620</t>
  </si>
  <si>
    <t>1050216466</t>
  </si>
  <si>
    <t>Hemant Dnyaneshwar Bhorpe</t>
  </si>
  <si>
    <t>BPKPB2417J</t>
  </si>
  <si>
    <t>204/1238 NEAR SHANI TEMPLE SANT TUKARAM NAGAR PUNE</t>
  </si>
  <si>
    <t>CITY PUNE</t>
  </si>
  <si>
    <t>411018</t>
  </si>
  <si>
    <t>bhorpehemant@gmail.com</t>
  </si>
  <si>
    <t>+919561727792</t>
  </si>
  <si>
    <t>HINJEWADI</t>
  </si>
  <si>
    <t>912010015429532</t>
  </si>
  <si>
    <t>UTIB0001034</t>
  </si>
  <si>
    <t>1050245197</t>
  </si>
  <si>
    <t>Ajay Bhagat</t>
  </si>
  <si>
    <t>1208870211511650</t>
  </si>
  <si>
    <t>GARPB4071B</t>
  </si>
  <si>
    <t>S/O: GOPAL PRASAD</t>
  </si>
  <si>
    <t>BHAGAT,KAIRACHHATTAR,DEBINAGAR,MAHESHP</t>
  </si>
  <si>
    <t>UR,DEBINAGAR,PAKUR,JHARKHAND,816106</t>
  </si>
  <si>
    <t>PAKUR</t>
  </si>
  <si>
    <t>816106</t>
  </si>
  <si>
    <t>ajaykumar776683@gmail.com</t>
  </si>
  <si>
    <t>+917485031690</t>
  </si>
  <si>
    <t>KATAMKULI</t>
  </si>
  <si>
    <t>201021268910</t>
  </si>
  <si>
    <t>INDB0001024</t>
  </si>
  <si>
    <t>1050231044</t>
  </si>
  <si>
    <t>Prem Singh Sharma</t>
  </si>
  <si>
    <t>1208870151128401</t>
  </si>
  <si>
    <t>BWLPS1034C</t>
  </si>
  <si>
    <t>S/O: PITANBAR DAS,THAKUR</t>
  </si>
  <si>
    <t>MOHALLA,BHOPUR,KARAULI,RAJASTHAN,32223</t>
  </si>
  <si>
    <t>KARAULI</t>
  </si>
  <si>
    <t>322230</t>
  </si>
  <si>
    <t>premrajpurohit199@gmail.com</t>
  </si>
  <si>
    <t>+918058666204</t>
  </si>
  <si>
    <t>HINDAUN</t>
  </si>
  <si>
    <t>00000061118713415</t>
  </si>
  <si>
    <t>SBIN0031074</t>
  </si>
  <si>
    <t>1050231551</t>
  </si>
  <si>
    <t>Haridev</t>
  </si>
  <si>
    <t>BHUPH8174E</t>
  </si>
  <si>
    <t>CO PRAKASHKUMAR 3277B OMSHAKTHI NAGAR</t>
  </si>
  <si>
    <t>AYYANKOVILPATTU TAMIL NADU TAMIL NADU</t>
  </si>
  <si>
    <t>TAMIL NADU</t>
  </si>
  <si>
    <t>AYYANKOVILPATTU</t>
  </si>
  <si>
    <t>605601</t>
  </si>
  <si>
    <t>devmudaliar1391@gmail.com</t>
  </si>
  <si>
    <t>+918754369632</t>
  </si>
  <si>
    <t>VILLUPURAM BRANCH</t>
  </si>
  <si>
    <t>VILLUPURAM</t>
  </si>
  <si>
    <t>9447139823</t>
  </si>
  <si>
    <t>KKBK0008762</t>
  </si>
  <si>
    <t>1050232544</t>
  </si>
  <si>
    <t>Sutapa Coomar</t>
  </si>
  <si>
    <t>AOBPC9186L</t>
  </si>
  <si>
    <t>7 Kartick Bose Lane Vtc Beaddm Street S O</t>
  </si>
  <si>
    <t>700006</t>
  </si>
  <si>
    <t>coomarswati611@gmail.com</t>
  </si>
  <si>
    <t>+919163134521</t>
  </si>
  <si>
    <t>ARN-0019</t>
  </si>
  <si>
    <t>AXIS BANK LTD</t>
  </si>
  <si>
    <t>PANIHATI,WEST BENGAL</t>
  </si>
  <si>
    <t>PANIHATI</t>
  </si>
  <si>
    <t>916010074313371</t>
  </si>
  <si>
    <t>700211031</t>
  </si>
  <si>
    <t>UTIB0000437</t>
  </si>
  <si>
    <t>1050235058</t>
  </si>
  <si>
    <t>Palanisamy Karthick</t>
  </si>
  <si>
    <t>1208870108224704</t>
  </si>
  <si>
    <t>IBNPK4520H</t>
  </si>
  <si>
    <t>S O PALANISAMY 10 A 19A THIRU VIKA</t>
  </si>
  <si>
    <t>STREET M G R NAGAR KALAIGNAR</t>
  </si>
  <si>
    <t>KARUNANIDHI NAGAR CHENNAI KALAIGNAR</t>
  </si>
  <si>
    <t>600078</t>
  </si>
  <si>
    <t>karthimass136@gmail.com</t>
  </si>
  <si>
    <t>+918667428514</t>
  </si>
  <si>
    <t>K K NAGAR BRANCH</t>
  </si>
  <si>
    <t>6713751796</t>
  </si>
  <si>
    <t>KKBK0008515</t>
  </si>
  <si>
    <t>1050236118</t>
  </si>
  <si>
    <t>Jabanur Alom Sheikh</t>
  </si>
  <si>
    <t>1203320055530432</t>
  </si>
  <si>
    <t>JFTPS8337K</t>
  </si>
  <si>
    <t>MADHYAPETLA PETLAGAON</t>
  </si>
  <si>
    <t>MADHYAPETLA</t>
  </si>
  <si>
    <t>DHUBRI</t>
  </si>
  <si>
    <t>783332</t>
  </si>
  <si>
    <t>9101644019</t>
  </si>
  <si>
    <t>hoqueenamul581@gmail.com</t>
  </si>
  <si>
    <t>GOSSAIGAON</t>
  </si>
  <si>
    <t>KOKRAJHAR</t>
  </si>
  <si>
    <t>40062414003</t>
  </si>
  <si>
    <t>SBIN0007996</t>
  </si>
  <si>
    <t>1050256418</t>
  </si>
  <si>
    <t>Dabhi Bhaveshbhai</t>
  </si>
  <si>
    <t>ATQPD7135G</t>
  </si>
  <si>
    <t>72 MILPARA STREET NO11 NEAR BUS</t>
  </si>
  <si>
    <t>STESAN RAJKOT GUJARAT</t>
  </si>
  <si>
    <t>360002</t>
  </si>
  <si>
    <t>bhaavesh.dabhi@gmail.com</t>
  </si>
  <si>
    <t>+919023226947</t>
  </si>
  <si>
    <t>BODAKDEV</t>
  </si>
  <si>
    <t>8313799819</t>
  </si>
  <si>
    <t>KKBK0002582</t>
  </si>
  <si>
    <t>1050256646</t>
  </si>
  <si>
    <t>Sahil Yadav</t>
  </si>
  <si>
    <t>BMGPY9452D</t>
  </si>
  <si>
    <t>SATISH KUMAR, 11, RAO APARTMENT, RAJOKARI, AIR FORCE</t>
  </si>
  <si>
    <t>STATION, RAJOKARI, SOUTH, NCT OF DELHI, NEAR, DELHI 38,</t>
  </si>
  <si>
    <t>A F RAJOKARI, A F RAJOKARI, SOUTH WEST DELHI, DELHI,</t>
  </si>
  <si>
    <t>sahil16harsh13@gmail.com</t>
  </si>
  <si>
    <t>+918130784006</t>
  </si>
  <si>
    <t>DLF PHASE II GURGAON</t>
  </si>
  <si>
    <t>00000043490302637</t>
  </si>
  <si>
    <t>SBIN0004463</t>
  </si>
  <si>
    <t>1050257898</t>
  </si>
  <si>
    <t>Dipali Bapu Kamble</t>
  </si>
  <si>
    <t>IJPPK5907J</t>
  </si>
  <si>
    <t>At Po Arjunsond Taluka Arjun Sound</t>
  </si>
  <si>
    <t>Solanki Savaleshwar</t>
  </si>
  <si>
    <t>Solapur</t>
  </si>
  <si>
    <t>413213</t>
  </si>
  <si>
    <t>yashkamble411631@gmail.com</t>
  </si>
  <si>
    <t>+919552842230</t>
  </si>
  <si>
    <t>ARN-339117</t>
  </si>
  <si>
    <t>ANKUSH M JINWAL</t>
  </si>
  <si>
    <t>AVMPJ5254C</t>
  </si>
  <si>
    <t>Ramnagar, Near Valmiki Temple</t>
  </si>
  <si>
    <t>Bopkhel,Pune City</t>
  </si>
  <si>
    <t>411031</t>
  </si>
  <si>
    <t>8788314075</t>
  </si>
  <si>
    <t>ankushmjinwal@gmail.com</t>
  </si>
  <si>
    <t>MOHOL</t>
  </si>
  <si>
    <t>1456104000036014</t>
  </si>
  <si>
    <t>413259506</t>
  </si>
  <si>
    <t>IBKL0001456</t>
  </si>
  <si>
    <t>BPUNMAIN</t>
  </si>
  <si>
    <t>1050143693</t>
  </si>
  <si>
    <t>Anshul Pal</t>
  </si>
  <si>
    <t>1203320217842154</t>
  </si>
  <si>
    <t>GCTPP0756B</t>
  </si>
  <si>
    <t>JHAJHRA JHAJRA DEHRADUN</t>
  </si>
  <si>
    <t>DEHRADUN</t>
  </si>
  <si>
    <t>248007</t>
  </si>
  <si>
    <t>8755447037</t>
  </si>
  <si>
    <t>apal99730@gmail.com</t>
  </si>
  <si>
    <t>+918755447037</t>
  </si>
  <si>
    <t>SELAQUI</t>
  </si>
  <si>
    <t>1279100100010381</t>
  </si>
  <si>
    <t>PUNB0127910</t>
  </si>
  <si>
    <t>1050143887</t>
  </si>
  <si>
    <t>Khushboo Nishad</t>
  </si>
  <si>
    <t>1208870435069688</t>
  </si>
  <si>
    <t>BWEPN8423P</t>
  </si>
  <si>
    <t>C/O CHANDRADEV NISHAD,,,SINGHARIYA WARD</t>
  </si>
  <si>
    <t>N 8,,KHORABAR URF</t>
  </si>
  <si>
    <t>SOOBABAZAR,,GORAKHPUR,UTTAR</t>
  </si>
  <si>
    <t>GORAKHPUR</t>
  </si>
  <si>
    <t>273008</t>
  </si>
  <si>
    <t>khushi01130@gmail.com</t>
  </si>
  <si>
    <t>+917651981739</t>
  </si>
  <si>
    <t>ROORKEE  HARIDWAR</t>
  </si>
  <si>
    <t>ROORKEE</t>
  </si>
  <si>
    <t>50100534273914</t>
  </si>
  <si>
    <t>HDFC0000657</t>
  </si>
  <si>
    <t>1050143933</t>
  </si>
  <si>
    <t>Raimy George</t>
  </si>
  <si>
    <t>1203320449971353</t>
  </si>
  <si>
    <t>BPVPG6615Q</t>
  </si>
  <si>
    <t>NENMELIPARAMBIL HOUSE 3RD</t>
  </si>
  <si>
    <t>STREET PLOT NO 81 KURIACHIRA</t>
  </si>
  <si>
    <t>NEHRU NAGAR KURIACHIRA</t>
  </si>
  <si>
    <t>680006</t>
  </si>
  <si>
    <t>7560808893</t>
  </si>
  <si>
    <t>raimygeorge01@gmail.com</t>
  </si>
  <si>
    <t>+917560808893</t>
  </si>
  <si>
    <t>00000003891150506</t>
  </si>
  <si>
    <t>CBIN0283445</t>
  </si>
  <si>
    <t>1050169737</t>
  </si>
  <si>
    <t>Shruti Sasindrakumar Nair</t>
  </si>
  <si>
    <t>1208870103455839</t>
  </si>
  <si>
    <t>APAPN7666L</t>
  </si>
  <si>
    <t>C/O: SREEJESH NARAYANANKUTTY,5-C CHENAB</t>
  </si>
  <si>
    <t>BLOCK NOFRA,COLABA,NEAR RC</t>
  </si>
  <si>
    <t>CHURCH,MUMBAI,MUMBAI</t>
  </si>
  <si>
    <t>MUMBAI CITY</t>
  </si>
  <si>
    <t>shrutinair2610@gmail.com</t>
  </si>
  <si>
    <t>+919665017788</t>
  </si>
  <si>
    <t>AHURA CENTRE  ANDHERI (EAST)</t>
  </si>
  <si>
    <t>50100056971191</t>
  </si>
  <si>
    <t>HDFC0000543</t>
  </si>
  <si>
    <t>1050145496</t>
  </si>
  <si>
    <t>Prahlad Lodhi</t>
  </si>
  <si>
    <t>AQOPL8072B</t>
  </si>
  <si>
    <t>, BHARAT BIHAAR COLONY WARD NO. 4</t>
  </si>
  <si>
    <t>20</t>
  </si>
  <si>
    <t>BHARAT BIHAAR COLONY WARD NO. 4</t>
  </si>
  <si>
    <t>RAISEN</t>
  </si>
  <si>
    <t>464551</t>
  </si>
  <si>
    <t>prahaladlodhi205@gmail.com</t>
  </si>
  <si>
    <t>+917773092831</t>
  </si>
  <si>
    <t>201009976666</t>
  </si>
  <si>
    <t>INDB0000798</t>
  </si>
  <si>
    <t>1050172117</t>
  </si>
  <si>
    <t>Khushboo Atul Shah</t>
  </si>
  <si>
    <t>FUFPS9258J</t>
  </si>
  <si>
    <t>201 Rajyog Residency</t>
  </si>
  <si>
    <t>Dr R P Road Opp Vardhman Nagar</t>
  </si>
  <si>
    <t>Mulund West</t>
  </si>
  <si>
    <t>02223825156</t>
  </si>
  <si>
    <t>02225649405</t>
  </si>
  <si>
    <t>amee_khushbu@yahoo.co.in</t>
  </si>
  <si>
    <t>+919322226604</t>
  </si>
  <si>
    <t>ARN-177242</t>
  </si>
  <si>
    <t>SYMPHONY FINSERV</t>
  </si>
  <si>
    <t>IRRPS4698E</t>
  </si>
  <si>
    <t>203, Sai Madhuvan Bldg</t>
  </si>
  <si>
    <t>SL Road Junction</t>
  </si>
  <si>
    <t>+917303032785</t>
  </si>
  <si>
    <t>symphonyfinserv@gmail.com</t>
  </si>
  <si>
    <t>MULUNDWEST BRANCH</t>
  </si>
  <si>
    <t>04070100022220</t>
  </si>
  <si>
    <t>BARB0MULUND</t>
  </si>
  <si>
    <t>1050174089</t>
  </si>
  <si>
    <t>Sonam Ojha</t>
  </si>
  <si>
    <t>AAYPO4300R</t>
  </si>
  <si>
    <t>505 SHIVAM APARTMENT SHEETLA ROAD</t>
  </si>
  <si>
    <t>KHANDARI BYPASS DAYAL BAGH</t>
  </si>
  <si>
    <t>282005</t>
  </si>
  <si>
    <t>vipul.vash@gmail.com</t>
  </si>
  <si>
    <t>+919599259907</t>
  </si>
  <si>
    <t>DELHI, MAHARANI BAGH</t>
  </si>
  <si>
    <t>1509000401182009</t>
  </si>
  <si>
    <t>PUNB0150900</t>
  </si>
  <si>
    <t>1050150228</t>
  </si>
  <si>
    <t>Ankita Ankita</t>
  </si>
  <si>
    <t>1203320301149587</t>
  </si>
  <si>
    <t>DPTPA3119H</t>
  </si>
  <si>
    <t>SATISH KIRANA STORE KI GALI</t>
  </si>
  <si>
    <t>KACCHI BASTI SHRI RAM NAGAR</t>
  </si>
  <si>
    <t>COLONY KOTA KOTA RAJASTHAN</t>
  </si>
  <si>
    <t>KOTA</t>
  </si>
  <si>
    <t>324004</t>
  </si>
  <si>
    <t>7300218128</t>
  </si>
  <si>
    <t>ankitapaswan14@gmail.com</t>
  </si>
  <si>
    <t>+917300218128</t>
  </si>
  <si>
    <t>SRIRAM NAGAR KOTA</t>
  </si>
  <si>
    <t>00000042005708709</t>
  </si>
  <si>
    <t>SBIN0031342</t>
  </si>
  <si>
    <t>1050151083</t>
  </si>
  <si>
    <t>S G Rajan</t>
  </si>
  <si>
    <t>ADQPR4245M</t>
  </si>
  <si>
    <t>E-504 CORAL LOK UPVAN PHASE 2</t>
  </si>
  <si>
    <t>GLADYS ALWARES MARG VASANT VIHAR</t>
  </si>
  <si>
    <t>POKHRAN 2</t>
  </si>
  <si>
    <t>THAN</t>
  </si>
  <si>
    <t>400610</t>
  </si>
  <si>
    <t>rajansg1@rediffmail.com</t>
  </si>
  <si>
    <t>+919833129052</t>
  </si>
  <si>
    <t>ARN-106478</t>
  </si>
  <si>
    <t>Lloyd Thomas Rego</t>
  </si>
  <si>
    <t>AACPR4079C</t>
  </si>
  <si>
    <t>C/163 Amar Gian Industrial Estate</t>
  </si>
  <si>
    <t>LBS Marg, Opp S.T Workshop</t>
  </si>
  <si>
    <t>Khopat</t>
  </si>
  <si>
    <t>+919820496756</t>
  </si>
  <si>
    <t>lmnfsmfinputs@gmail.com</t>
  </si>
  <si>
    <t>THANE WEST BRANCH</t>
  </si>
  <si>
    <t>04240100015077</t>
  </si>
  <si>
    <t>BARB0THANAX</t>
  </si>
  <si>
    <t>1050154678</t>
  </si>
  <si>
    <t>Mounesh Tegginamani</t>
  </si>
  <si>
    <t>1204720051962485</t>
  </si>
  <si>
    <t>CHDPK8178F</t>
  </si>
  <si>
    <t>C O SAYABANN NO E 169 YANNI VADAGERA SHO</t>
  </si>
  <si>
    <t>SHORAPUR YENNIWADGERA KARNATAKA</t>
  </si>
  <si>
    <t>585237</t>
  </si>
  <si>
    <t>mounesh.t@gmail.com</t>
  </si>
  <si>
    <t>+919108540960</t>
  </si>
  <si>
    <t>SBIINTOUCH LITE VIJAYANAGAR BANGALORE</t>
  </si>
  <si>
    <t>36439434070</t>
  </si>
  <si>
    <t>SBIN0019072</t>
  </si>
  <si>
    <t>1050155618</t>
  </si>
  <si>
    <t>Soniya Chhotelal Gupta</t>
  </si>
  <si>
    <t>BTRPG7960G</t>
  </si>
  <si>
    <t>DO CHHOTE LAL GUPTA KHARHATTI MOHAL</t>
  </si>
  <si>
    <t>GOPI GANJ UTTAR PRADESH</t>
  </si>
  <si>
    <t>GOPI GANJ</t>
  </si>
  <si>
    <t>221303</t>
  </si>
  <si>
    <t>sona.vora13@gmail.com</t>
  </si>
  <si>
    <t>+919653336790</t>
  </si>
  <si>
    <t>8848297415</t>
  </si>
  <si>
    <t>KKBK0000663</t>
  </si>
  <si>
    <t>1050157712</t>
  </si>
  <si>
    <t>Saurav Mazumdar</t>
  </si>
  <si>
    <t>EWTPM9594Q</t>
  </si>
  <si>
    <t>PRANKRISHNA SARANI SUKANTA NAGAR</t>
  </si>
  <si>
    <t>SILIGURI WARD NO 38</t>
  </si>
  <si>
    <t>JALPAIGURI WEST BENGAL</t>
  </si>
  <si>
    <t>734006</t>
  </si>
  <si>
    <t>sauravmazumdar97@gmail.com</t>
  </si>
  <si>
    <t>+918927321577</t>
  </si>
  <si>
    <t>GHOGOMALI</t>
  </si>
  <si>
    <t>924010074167355</t>
  </si>
  <si>
    <t>734211011</t>
  </si>
  <si>
    <t>UTIB0004909</t>
  </si>
  <si>
    <t>1050201124</t>
  </si>
  <si>
    <t>Mr.Sajid Sajad</t>
  </si>
  <si>
    <t>KEJPS2407Q</t>
  </si>
  <si>
    <t>S O SAJAD AHMAD MISGAR HAZARI BAZAR RAINAWARI</t>
  </si>
  <si>
    <t>SRINAGAR SRINAGAR NORTH RAINAWARI SRINAGAR JAMMU AND</t>
  </si>
  <si>
    <t>KASHMIR 190003</t>
  </si>
  <si>
    <t>SRINAGAR</t>
  </si>
  <si>
    <t>190003</t>
  </si>
  <si>
    <t>misgarsajid18@gmail.com</t>
  </si>
  <si>
    <t>+917006083060</t>
  </si>
  <si>
    <t>ARN-0020</t>
  </si>
  <si>
    <t>ICICI Bank Limited</t>
  </si>
  <si>
    <t>AAACI1195H</t>
  </si>
  <si>
    <t>ICICI Bank Ltd. ICICI Bank Tower</t>
  </si>
  <si>
    <t>Plot No C-23. G Block</t>
  </si>
  <si>
    <t>Bandra Kurla Complex, Bandra East</t>
  </si>
  <si>
    <t>9819000247</t>
  </si>
  <si>
    <t>mfcertification@icicibank.com</t>
  </si>
  <si>
    <t>ICICI Bank LTD.</t>
  </si>
  <si>
    <t>SRINAGAR - LAL BAZAAR</t>
  </si>
  <si>
    <t>724501500776</t>
  </si>
  <si>
    <t>ICIC0007245</t>
  </si>
  <si>
    <t>1050242856</t>
  </si>
  <si>
    <t>Shivkumar Gupta</t>
  </si>
  <si>
    <t>1208160168276632</t>
  </si>
  <si>
    <t>AFDPG5337A</t>
  </si>
  <si>
    <t>S/O SURAJMAL GUPTA 50-A SHUBH LABH AVENU</t>
  </si>
  <si>
    <t>E NEAR SHREE RAM MANDIR INDORE KANADIA R</t>
  </si>
  <si>
    <t>OAD INDORE</t>
  </si>
  <si>
    <t>452016</t>
  </si>
  <si>
    <t>skgupta24071969@yahoo.com</t>
  </si>
  <si>
    <t>+919425758741</t>
  </si>
  <si>
    <t>VAIBHAV NAGAR INDORE</t>
  </si>
  <si>
    <t>30178397318</t>
  </si>
  <si>
    <t>SBIN0017720</t>
  </si>
  <si>
    <t>1050243346</t>
  </si>
  <si>
    <t>Rohidas Rajaram Jadhav</t>
  </si>
  <si>
    <t>1208870238681639</t>
  </si>
  <si>
    <t>AOIPJ8744G</t>
  </si>
  <si>
    <t>S/O RAJARAM JADHAV,7 BHAIRAVNATH CHAWL</t>
  </si>
  <si>
    <t>NO 38,NEAR CHATRAPATI SHIVAJI MAHARAJ</t>
  </si>
  <si>
    <t>MAIDAN,MANKHURD,MAHARASHTRA</t>
  </si>
  <si>
    <t>400088</t>
  </si>
  <si>
    <t>jadhavrohidas3139@gmail.com</t>
  </si>
  <si>
    <t>+919004035502</t>
  </si>
  <si>
    <t>DEONAR COLONY CHEMBUR</t>
  </si>
  <si>
    <t>60205014935</t>
  </si>
  <si>
    <t>MAHB0000470</t>
  </si>
  <si>
    <t>1050221585</t>
  </si>
  <si>
    <t>Patel Jaiminkumar</t>
  </si>
  <si>
    <t>BTVPJ5823M</t>
  </si>
  <si>
    <t>S/O PATEL HARGOVANBHAI 9 PATELVAS VACHALO KHANPUR</t>
  </si>
  <si>
    <t>RAJKUVA MANPUR</t>
  </si>
  <si>
    <t>MANPUR</t>
  </si>
  <si>
    <t>384255</t>
  </si>
  <si>
    <t>jaiminpatelm20@gmail.com</t>
  </si>
  <si>
    <t>+919537633629</t>
  </si>
  <si>
    <t>ARN-296962</t>
  </si>
  <si>
    <t>MEGHABEN JAYESHBHAI THAKKAR</t>
  </si>
  <si>
    <t>APPPT2818H</t>
  </si>
  <si>
    <t>7-B, CHANAKYAPURI SOCIETY</t>
  </si>
  <si>
    <t>NEAR MAHAVIR NAGAR</t>
  </si>
  <si>
    <t>B/H ADARSH HIGH SCHOOL</t>
  </si>
  <si>
    <t>PATAN</t>
  </si>
  <si>
    <t>384265</t>
  </si>
  <si>
    <t>+917621033227</t>
  </si>
  <si>
    <t>horizonmf24@gmail.com</t>
  </si>
  <si>
    <t>KUNGHER</t>
  </si>
  <si>
    <t>34717828949</t>
  </si>
  <si>
    <t>SBIN0003766</t>
  </si>
  <si>
    <t>1050215457</t>
  </si>
  <si>
    <t>Seebel Merlyn Gracias</t>
  </si>
  <si>
    <t>1208180193874171</t>
  </si>
  <si>
    <t>FATCA not available for Investor/Guardian-DKAPG8242K</t>
  </si>
  <si>
    <t>DKAPG8242K</t>
  </si>
  <si>
    <t>H NO 483 1 CURTORIM CANTTEM MACASANA</t>
  </si>
  <si>
    <t>SALCETE</t>
  </si>
  <si>
    <t>SOUTH GOA</t>
  </si>
  <si>
    <t>GO</t>
  </si>
  <si>
    <t>403709</t>
  </si>
  <si>
    <t>9604708867</t>
  </si>
  <si>
    <t>seebelgracias2102@gmail.com</t>
  </si>
  <si>
    <t>+919604708867</t>
  </si>
  <si>
    <t>CHANDOR</t>
  </si>
  <si>
    <t>CHANDOR(GOA)</t>
  </si>
  <si>
    <t>104210110004310</t>
  </si>
  <si>
    <t>BKID0001042</t>
  </si>
  <si>
    <t>1050223981</t>
  </si>
  <si>
    <t>Rajendra Vasant Jarali</t>
  </si>
  <si>
    <t>AJTPJ4930G</t>
  </si>
  <si>
    <t>KHANDAL,KHANDAL,KOLHAPUR,MAHARASHTRA,416551</t>
  </si>
  <si>
    <t>416551</t>
  </si>
  <si>
    <t>jaralirajendra@gmail.com</t>
  </si>
  <si>
    <t>+919717961434</t>
  </si>
  <si>
    <t>GADHINGLAJ</t>
  </si>
  <si>
    <t>30706123111</t>
  </si>
  <si>
    <t>SBIN0000517</t>
  </si>
  <si>
    <t>1050245749</t>
  </si>
  <si>
    <t>Subhajit Padhi</t>
  </si>
  <si>
    <t>1208870285723730</t>
  </si>
  <si>
    <t>HZTPP5306M</t>
  </si>
  <si>
    <t>C/O BAIDYANATH PADHI,1ST-FLOOR,</t>
  </si>
  <si>
    <t>162/A,PRAFULLA</t>
  </si>
  <si>
    <t>NOGOR,BELGHARIA,BYAMSAMITI</t>
  </si>
  <si>
    <t>700056</t>
  </si>
  <si>
    <t>subhapadhi83@gmail.com</t>
  </si>
  <si>
    <t>+917890937256</t>
  </si>
  <si>
    <t>BELGHORIA BRANCH</t>
  </si>
  <si>
    <t>10628100005300</t>
  </si>
  <si>
    <t>BARB0BELGHO</t>
  </si>
  <si>
    <t>1050224764</t>
  </si>
  <si>
    <t>Vijay Mathur</t>
  </si>
  <si>
    <t>ABXPM0718M</t>
  </si>
  <si>
    <t>S O KAILASH NARAIN MATHUR HOUSE NO 47 GOPALPURA BY</t>
  </si>
  <si>
    <t>PASS SHREE GOPAL NAGAR JAIPUR MAHESH NAGAR POLICE THANA</t>
  </si>
  <si>
    <t>JAIPUR JAIPUR RAJASTHAN 302019</t>
  </si>
  <si>
    <t>302019</t>
  </si>
  <si>
    <t>vijaymf4748@gmail.com</t>
  </si>
  <si>
    <t>+919414061239</t>
  </si>
  <si>
    <t>ARN-297594</t>
  </si>
  <si>
    <t>KMG WEALTH LLP</t>
  </si>
  <si>
    <t>ABCFK0087A</t>
  </si>
  <si>
    <t>606 6Th Floor Apex Tower Near</t>
  </si>
  <si>
    <t>Apex Mall Lal Kothi Jaipur</t>
  </si>
  <si>
    <t>Gandhi Nagar Tonk Road</t>
  </si>
  <si>
    <t>Jaipur</t>
  </si>
  <si>
    <t>302015</t>
  </si>
  <si>
    <t>9829065625</t>
  </si>
  <si>
    <t>kmgwealthllp@gmail.com</t>
  </si>
  <si>
    <t>ASHOK MARG C SCHEME</t>
  </si>
  <si>
    <t>00541300001604</t>
  </si>
  <si>
    <t>302240002</t>
  </si>
  <si>
    <t>HDFC0000054</t>
  </si>
  <si>
    <t>J1</t>
  </si>
  <si>
    <t>1050231519</t>
  </si>
  <si>
    <t>Sadashiv Deju Shetty</t>
  </si>
  <si>
    <t>AQYPS3464Q</t>
  </si>
  <si>
    <t>5-63</t>
  </si>
  <si>
    <t>KELAMANE UDUPI</t>
  </si>
  <si>
    <t>BELPU</t>
  </si>
  <si>
    <t>574117</t>
  </si>
  <si>
    <t>sadashivshetty05@gmail.com</t>
  </si>
  <si>
    <t>+917977284724</t>
  </si>
  <si>
    <t>2356101016607</t>
  </si>
  <si>
    <t>1050234012</t>
  </si>
  <si>
    <t>Suvamoy Pal</t>
  </si>
  <si>
    <t>1208870103045231</t>
  </si>
  <si>
    <t>DLZPP0811B</t>
  </si>
  <si>
    <t>SARKAR AND</t>
  </si>
  <si>
    <t>MALIPARA,JAGATBALLAVPUR,SHOSTHITALA,JA</t>
  </si>
  <si>
    <t>GATBALLAVPUR,HOWRAH,WEST BENGAL,711408</t>
  </si>
  <si>
    <t>711408</t>
  </si>
  <si>
    <t>suvamoy1234@gmail.com</t>
  </si>
  <si>
    <t>+919804660020</t>
  </si>
  <si>
    <t>BIKASH BHAVAN GOC</t>
  </si>
  <si>
    <t>40723355807</t>
  </si>
  <si>
    <t>SBIN0007816</t>
  </si>
  <si>
    <t>1050238157</t>
  </si>
  <si>
    <t>Ankita Dixit</t>
  </si>
  <si>
    <t>NPEPS8113A</t>
  </si>
  <si>
    <t>Q No D 6 Sahunagar, Cement Factory</t>
  </si>
  <si>
    <t>Sawai Madhopur</t>
  </si>
  <si>
    <t>Sawai Madhopur, Rajasthan</t>
  </si>
  <si>
    <t>SAWAIMADHOPUR</t>
  </si>
  <si>
    <t>322001</t>
  </si>
  <si>
    <t>ankitadixit2023@gmail.com</t>
  </si>
  <si>
    <t>+918690479550</t>
  </si>
  <si>
    <t>4857101000729</t>
  </si>
  <si>
    <t>1050254296</t>
  </si>
  <si>
    <t>Dilip Mohan Kalambi</t>
  </si>
  <si>
    <t>AABPK1979R</t>
  </si>
  <si>
    <t>16</t>
  </si>
  <si>
    <t>Aditya Birla Sun Life Digital India Fund - Growth-Regular Plan</t>
  </si>
  <si>
    <t>LAXMI NIVAS 2ND FLOOR</t>
  </si>
  <si>
    <t>SARASWATI COLONY</t>
  </si>
  <si>
    <t>SANTACRUZ WEST</t>
  </si>
  <si>
    <t>drdmkal@hotmail.com</t>
  </si>
  <si>
    <t>+919969957369</t>
  </si>
  <si>
    <t>ARN-51479</t>
  </si>
  <si>
    <t>Tata Capital Limited</t>
  </si>
  <si>
    <t>AADCP9147P</t>
  </si>
  <si>
    <t>11Th Floor Tower A</t>
  </si>
  <si>
    <t>Peninsula Business Park Ganpatrao</t>
  </si>
  <si>
    <t>Kadam Marg Lower Parel</t>
  </si>
  <si>
    <t>+919892419186</t>
  </si>
  <si>
    <t>meenakshi.bhatia@tatacapital.com</t>
  </si>
  <si>
    <t>MUMBAISANTACRUZ</t>
  </si>
  <si>
    <t>020901500064</t>
  </si>
  <si>
    <t>400229023</t>
  </si>
  <si>
    <t>ICIC0000209</t>
  </si>
  <si>
    <t>BORI22</t>
  </si>
  <si>
    <t>Borivali</t>
  </si>
  <si>
    <t>1050254332</t>
  </si>
  <si>
    <t>VIDYA MILIND SHINDE</t>
  </si>
  <si>
    <t>BFUPP4010H</t>
  </si>
  <si>
    <t>, A/P- SHINDEWADI, TALUKA- KARAD, DISTRICT- SATARA</t>
  </si>
  <si>
    <t>A/P- SHINDEWADI, TALUKA- KARAD, DISTRICT- SATARA A/P-</t>
  </si>
  <si>
    <t>415122</t>
  </si>
  <si>
    <t>vidu981988@gmail.com</t>
  </si>
  <si>
    <t>+917020832488</t>
  </si>
  <si>
    <t>ARN-329305</t>
  </si>
  <si>
    <t>Shinde Milind Nilkanth</t>
  </si>
  <si>
    <t>CENPS2064H</t>
  </si>
  <si>
    <t>Karad</t>
  </si>
  <si>
    <t>Wing Karad,Karad</t>
  </si>
  <si>
    <t>415110</t>
  </si>
  <si>
    <t>8275921382</t>
  </si>
  <si>
    <t>milindshinde262@gmail.com</t>
  </si>
  <si>
    <t>JAYSINGPUR</t>
  </si>
  <si>
    <t>150510510010285</t>
  </si>
  <si>
    <t>BKID0000919</t>
  </si>
  <si>
    <t>1050171712</t>
  </si>
  <si>
    <t>Anagha Ramdas Vichare</t>
  </si>
  <si>
    <t>BNGPV2943H</t>
  </si>
  <si>
    <t>Room No 18 Dwarka Smruti Building</t>
  </si>
  <si>
    <t>Mahatma Phule Road Near Bhoir Gym</t>
  </si>
  <si>
    <t>Dombivli west Kalyan Thane</t>
  </si>
  <si>
    <t>421202</t>
  </si>
  <si>
    <t>vichareanagha734@gmail.com</t>
  </si>
  <si>
    <t>+919594792648</t>
  </si>
  <si>
    <t>AHMEDABAD ASHRAM RD</t>
  </si>
  <si>
    <t>5345392056</t>
  </si>
  <si>
    <t>KKBK0000811</t>
  </si>
  <si>
    <t>1050147133</t>
  </si>
  <si>
    <t>Pawan Kumar</t>
  </si>
  <si>
    <t>CNTPK7361J</t>
  </si>
  <si>
    <t>WARD NUMBER 05 CHAK 4 DWM 4 DWM GANGANAGAR</t>
  </si>
  <si>
    <t>SRI GANGANAGAR</t>
  </si>
  <si>
    <t>335704</t>
  </si>
  <si>
    <t>pawan7464@gmail.com</t>
  </si>
  <si>
    <t>+919929007419</t>
  </si>
  <si>
    <t>BIRMANA</t>
  </si>
  <si>
    <t>GANGANAGAR</t>
  </si>
  <si>
    <t>05072171000696</t>
  </si>
  <si>
    <t>PUNB0050710</t>
  </si>
  <si>
    <t>1050150323</t>
  </si>
  <si>
    <t>Yogesh Dattatray Bhosle</t>
  </si>
  <si>
    <t>1203320372052821</t>
  </si>
  <si>
    <t>AMQPB4826P</t>
  </si>
  <si>
    <t>AT BHUKUM TAL MULSHI BHUKUM PO</t>
  </si>
  <si>
    <t>BHUKUM</t>
  </si>
  <si>
    <t>412115</t>
  </si>
  <si>
    <t>9561061234</t>
  </si>
  <si>
    <t>bhoshle_yogesh@rediffmail.com</t>
  </si>
  <si>
    <t>+919561061234</t>
  </si>
  <si>
    <t>KOTHRUD (PUNE)</t>
  </si>
  <si>
    <t>924010045589177</t>
  </si>
  <si>
    <t>UTIB0000104</t>
  </si>
  <si>
    <t>1050176202</t>
  </si>
  <si>
    <t>Plaksha Punj Sanjay Pandey</t>
  </si>
  <si>
    <t>1204720041431892</t>
  </si>
  <si>
    <t>FATCA not available for Investor/Guardian-IFKPP0571Q</t>
  </si>
  <si>
    <t>IFKPP0571Q</t>
  </si>
  <si>
    <t>VIJAY PATH NAGAR VIJAY PATH NAGAR AMRAVA</t>
  </si>
  <si>
    <t>AMRAVATI AMRAVATI</t>
  </si>
  <si>
    <t>AMRAVATI</t>
  </si>
  <si>
    <t>444601</t>
  </si>
  <si>
    <t>pandeydrs.plaksha@gmail.com</t>
  </si>
  <si>
    <t>+918149258873</t>
  </si>
  <si>
    <t>BADNERA</t>
  </si>
  <si>
    <t>43167876433</t>
  </si>
  <si>
    <t>SBIN0004884</t>
  </si>
  <si>
    <t>1050176865</t>
  </si>
  <si>
    <t>Apoorv Chandra</t>
  </si>
  <si>
    <t>1203320247566240</t>
  </si>
  <si>
    <t>AWBPC1501B</t>
  </si>
  <si>
    <t>354 SECTOR 9 JANKIPURAM VISTAR</t>
  </si>
  <si>
    <t>LUCKNOW LUCKNOW UTTAR PRADESH</t>
  </si>
  <si>
    <t>226021</t>
  </si>
  <si>
    <t>8004278831</t>
  </si>
  <si>
    <t>adimapoorv@gmail.com</t>
  </si>
  <si>
    <t>+918004278831</t>
  </si>
  <si>
    <t>KALKAJI MAIN MARKET</t>
  </si>
  <si>
    <t>399301501079</t>
  </si>
  <si>
    <t>ICIC0003993</t>
  </si>
  <si>
    <t>1050160568</t>
  </si>
  <si>
    <t>Mukund Dayma</t>
  </si>
  <si>
    <t>BHIPD8389R</t>
  </si>
  <si>
    <t>KAMALA NEHRU HOSPITAL MAGE</t>
  </si>
  <si>
    <t>274,MANGALWAR PETH PUNE 11</t>
  </si>
  <si>
    <t>PUNE CITY</t>
  </si>
  <si>
    <t>411011</t>
  </si>
  <si>
    <t>mukunddayma2@gmail.com</t>
  </si>
  <si>
    <t>+918087513368</t>
  </si>
  <si>
    <t>RASTA PETH</t>
  </si>
  <si>
    <t>3078657873</t>
  </si>
  <si>
    <t>CBIN0280659</t>
  </si>
  <si>
    <t>1050218231</t>
  </si>
  <si>
    <t>Koustubh Kishor Gandhare</t>
  </si>
  <si>
    <t>1208160118222863</t>
  </si>
  <si>
    <t>BRWPG2194M</t>
  </si>
  <si>
    <t>S/O KISHOR GANDHARE PLOT NO317 SWAMI APP</t>
  </si>
  <si>
    <t>ARTMENT JAWAHAR NAGAR MANEWADA ROAD NEAR</t>
  </si>
  <si>
    <t>INDIRA GANDHI HIGHSCHOOL AYODHYA NAGAR</t>
  </si>
  <si>
    <t>NAGPUR</t>
  </si>
  <si>
    <t>440024</t>
  </si>
  <si>
    <t>koustubhg25@gmail.com</t>
  </si>
  <si>
    <t>+918149129235</t>
  </si>
  <si>
    <t>MANEWADA</t>
  </si>
  <si>
    <t>00000032658555038</t>
  </si>
  <si>
    <t>SBIN0011419</t>
  </si>
  <si>
    <t>1050241301</t>
  </si>
  <si>
    <t>Patel Ranjit Bindeshwar</t>
  </si>
  <si>
    <t>1208870416581288</t>
  </si>
  <si>
    <t>IOJPB2496Q</t>
  </si>
  <si>
    <t>,38,MARUTINAGAR,,SURAT</t>
  </si>
  <si>
    <t>CITY,,SURAT,GUJARAT,394221</t>
  </si>
  <si>
    <t>394221</t>
  </si>
  <si>
    <t>ranjitpatel7069@gmail.com</t>
  </si>
  <si>
    <t>+917041859804</t>
  </si>
  <si>
    <t>BANK OF BARODA  CORPORATE BANKING</t>
  </si>
  <si>
    <t>BHESTAN SURAT</t>
  </si>
  <si>
    <t>72140100031557</t>
  </si>
  <si>
    <t>BARB0DBBHES</t>
  </si>
  <si>
    <t>1050194631</t>
  </si>
  <si>
    <t>Jitendra Sangwan</t>
  </si>
  <si>
    <t>IN30302870047673</t>
  </si>
  <si>
    <t>CUTPS9276D</t>
  </si>
  <si>
    <t>FLTNOB803RENAISSANCERESERVA</t>
  </si>
  <si>
    <t>APTMESRDMUTHYALANGRMATHIKEREP</t>
  </si>
  <si>
    <t>OBOXMSRIT</t>
  </si>
  <si>
    <t>560054</t>
  </si>
  <si>
    <t>jitendra.sangwan@gmail.com</t>
  </si>
  <si>
    <t>+917259770923</t>
  </si>
  <si>
    <t>ARN-0845</t>
  </si>
  <si>
    <t>ICICI Securities Limited</t>
  </si>
  <si>
    <t>AAACI0996E</t>
  </si>
  <si>
    <t>Unit No 501 601 701 801 Building No 3</t>
  </si>
  <si>
    <t>MIDC TTC Industrial Area</t>
  </si>
  <si>
    <t>Mindspace Juinagar</t>
  </si>
  <si>
    <t>Navi Mumbai</t>
  </si>
  <si>
    <t>400706</t>
  </si>
  <si>
    <t>+919712959679</t>
  </si>
  <si>
    <t>isecops@icicisecurities.com</t>
  </si>
  <si>
    <t>HYDERABAD  MINDSPACE</t>
  </si>
  <si>
    <t>059801510068</t>
  </si>
  <si>
    <t>ICIC0000598</t>
  </si>
  <si>
    <t>1050196234</t>
  </si>
  <si>
    <t>Nilesh Vishnu Dubala</t>
  </si>
  <si>
    <t>1208870430727741</t>
  </si>
  <si>
    <t>JQVPD9914G</t>
  </si>
  <si>
    <t>C/O: VISHNU SUKAR DUBALA,,ZAI</t>
  </si>
  <si>
    <t>DUBALPADA,TALUKA-TALASARI,,ZAI,,PALGHA</t>
  </si>
  <si>
    <t>R,MAHARASHTRA,401701</t>
  </si>
  <si>
    <t>PALGHAR</t>
  </si>
  <si>
    <t>401701</t>
  </si>
  <si>
    <t>dublanilesh7@gmail.com</t>
  </si>
  <si>
    <t>+917383989769</t>
  </si>
  <si>
    <t>BORDI DIST THANE</t>
  </si>
  <si>
    <t>BORDI</t>
  </si>
  <si>
    <t>04280100021092</t>
  </si>
  <si>
    <t>BARB0BORDIX</t>
  </si>
  <si>
    <t>1050202956</t>
  </si>
  <si>
    <t>Madhu Devaraj</t>
  </si>
  <si>
    <t>ELGPM3932J</t>
  </si>
  <si>
    <t>S/O: DEVARAJ B,4TH WARD,GRANDIGE PILLANNA STREET</t>
  </si>
  <si>
    <t>DEVANAHALLI TOWN,DEVANAHALLI,BANGALORE RURAL,KARNATAKA</t>
  </si>
  <si>
    <t>562110</t>
  </si>
  <si>
    <t>madhu848sudhan@gmail.com</t>
  </si>
  <si>
    <t>+919845256011</t>
  </si>
  <si>
    <t>04872180000988</t>
  </si>
  <si>
    <t>1050203604</t>
  </si>
  <si>
    <t>V Karthick</t>
  </si>
  <si>
    <t>1208870389429501</t>
  </si>
  <si>
    <t>CPCPK0618B</t>
  </si>
  <si>
    <t>7/209-1-B,RATHNAGIRI NAGAR,KAAPIKADAI</t>
  </si>
  <si>
    <t>BUS</t>
  </si>
  <si>
    <t>STOP,KEERANATHAM,KEERANATHAM,COIMBATOR</t>
  </si>
  <si>
    <t>641035</t>
  </si>
  <si>
    <t>venkadeshkarthick@gmail.com</t>
  </si>
  <si>
    <t>+919750575240</t>
  </si>
  <si>
    <t>DELHI (PAHARGANJ)</t>
  </si>
  <si>
    <t>072201506865</t>
  </si>
  <si>
    <t>ICIC0000722</t>
  </si>
  <si>
    <t>1050203384</t>
  </si>
  <si>
    <t>Tejalben Manishbhai Joshi</t>
  </si>
  <si>
    <t>1206420010380290</t>
  </si>
  <si>
    <t>AMDPJ8015F</t>
  </si>
  <si>
    <t>MANISHBHAI VINODCHANDRA JOSHI</t>
  </si>
  <si>
    <t>ACKPJ4905B</t>
  </si>
  <si>
    <t>A/6, KUNTAL APPARTMENTZADESHWA</t>
  </si>
  <si>
    <t>R ROAD</t>
  </si>
  <si>
    <t>392011</t>
  </si>
  <si>
    <t>joshimv1324@gmail.com</t>
  </si>
  <si>
    <t>+918128069096</t>
  </si>
  <si>
    <t>11362011013681</t>
  </si>
  <si>
    <t>PUNB0113610</t>
  </si>
  <si>
    <t>1050205320</t>
  </si>
  <si>
    <t>Shruti Murari Agarwal</t>
  </si>
  <si>
    <t>ANOPA4313R</t>
  </si>
  <si>
    <t>C WING 103 NIRMAL CHS</t>
  </si>
  <si>
    <t>OFF W EXP HIGHWAY OPP GUJRAT GAURAV</t>
  </si>
  <si>
    <t>HOTEL GHARTANPADA 2 DAHISAR EAST</t>
  </si>
  <si>
    <t>shrutimagarwal@gmail.com</t>
  </si>
  <si>
    <t>+919619910106</t>
  </si>
  <si>
    <t>MALAD LINK ROAD</t>
  </si>
  <si>
    <t>195901501023</t>
  </si>
  <si>
    <t>ICIC0001959</t>
  </si>
  <si>
    <t>1050243648</t>
  </si>
  <si>
    <t>Yogen Thapa</t>
  </si>
  <si>
    <t>1208870132010982</t>
  </si>
  <si>
    <t>ALNPT1083C</t>
  </si>
  <si>
    <t>S/O: DAMBER BAHADUR THAPA,T.N ROAD,ALOO</t>
  </si>
  <si>
    <t>BARI,YOLMO GAON,DARJEELING</t>
  </si>
  <si>
    <t>(M),DARJEELING,WEST BENGAL,734101</t>
  </si>
  <si>
    <t>DARJEELING</t>
  </si>
  <si>
    <t>734101</t>
  </si>
  <si>
    <t>yogeneo@gmail.com</t>
  </si>
  <si>
    <t>+919679889318</t>
  </si>
  <si>
    <t>31312606938</t>
  </si>
  <si>
    <t>SBIN0000063</t>
  </si>
  <si>
    <t>1050215029</t>
  </si>
  <si>
    <t>Puneet Chopra</t>
  </si>
  <si>
    <t>AAVPC6851C</t>
  </si>
  <si>
    <t>F NO 302 WHISPERING PALMS WELFARE CHS</t>
  </si>
  <si>
    <t>PLOT NO A33 SEC 12</t>
  </si>
  <si>
    <t>KHARGHAR</t>
  </si>
  <si>
    <t>410210</t>
  </si>
  <si>
    <t>maneesh_cosmetics@yahoo.co.in</t>
  </si>
  <si>
    <t>+919004920382</t>
  </si>
  <si>
    <t>ARN-141922</t>
  </si>
  <si>
    <t>KNOWLEDGE FIRST FINANCIAL SERVICES PVT LTD</t>
  </si>
  <si>
    <t>AAECK0598E</t>
  </si>
  <si>
    <t>418 VARDHAMAN MARKET,</t>
  </si>
  <si>
    <t>PLOT NO. 75, SECTOR 17,</t>
  </si>
  <si>
    <t>VASHI.</t>
  </si>
  <si>
    <t>+919320663737</t>
  </si>
  <si>
    <t>kfirstfin@gmail.com</t>
  </si>
  <si>
    <t>SECTOR 7VASHI  MAHARASHTRA</t>
  </si>
  <si>
    <t>04891000010668</t>
  </si>
  <si>
    <t>HDFC0000489</t>
  </si>
  <si>
    <t>1050223326</t>
  </si>
  <si>
    <t>Sandeep Singh Sudan</t>
  </si>
  <si>
    <t>GNAPS8290F</t>
  </si>
  <si>
    <t>C-11 CIVIL LINES HANUMANGARH JN.</t>
  </si>
  <si>
    <t>HANUMANGARH</t>
  </si>
  <si>
    <t>19 HMH</t>
  </si>
  <si>
    <t>335512</t>
  </si>
  <si>
    <t>sandeepsngh056@gmail.com</t>
  </si>
  <si>
    <t>+919872766799</t>
  </si>
  <si>
    <t>PRESTIAGE SHANTHI NIKETAN</t>
  </si>
  <si>
    <t>50100199392313</t>
  </si>
  <si>
    <t>HDFC0003804</t>
  </si>
  <si>
    <t>1050223262</t>
  </si>
  <si>
    <t>Renu Karwa</t>
  </si>
  <si>
    <t>IUJPK7476P</t>
  </si>
  <si>
    <t>W/O RAJKUMAR,HOUSE NO 57,GALI NO 01,BHAMBHU</t>
  </si>
  <si>
    <t>COLONY,WARD NO 18,GANGANAGAR,GANGANAGAR</t>
  </si>
  <si>
    <t>,SRIGANGANAGAR,GANGANAGA R,RAJASTHAN</t>
  </si>
  <si>
    <t>renubhati813@gmail.com</t>
  </si>
  <si>
    <t>+919549666952</t>
  </si>
  <si>
    <t>UDHAMSINGH SINGH CHOWK SRIGANGANAGAR</t>
  </si>
  <si>
    <t>38816838682</t>
  </si>
  <si>
    <t>SBIN0031986</t>
  </si>
  <si>
    <t>1050224008</t>
  </si>
  <si>
    <t>Sukamaya Ale</t>
  </si>
  <si>
    <t>BKSPA7709M</t>
  </si>
  <si>
    <t>J. K ROPE WAYS COLONY</t>
  </si>
  <si>
    <t>KAJORA KAJORA [CT]</t>
  </si>
  <si>
    <t>713338</t>
  </si>
  <si>
    <t>amarale100@gmail.com</t>
  </si>
  <si>
    <t>+918158017977</t>
  </si>
  <si>
    <t>ARN-0030</t>
  </si>
  <si>
    <t>Eastern Financiers Ltd.</t>
  </si>
  <si>
    <t>AAACE7613A</t>
  </si>
  <si>
    <t>7/1 Lord Sinha Rd</t>
  </si>
  <si>
    <t>Lords Suite No 102 And 104 And 210</t>
  </si>
  <si>
    <t>Rabindra Sadan</t>
  </si>
  <si>
    <t>9830065985</t>
  </si>
  <si>
    <t>efmailback0030@gmail.com</t>
  </si>
  <si>
    <t>ANDALGRAM</t>
  </si>
  <si>
    <t>ANDAL ,BURDWAN</t>
  </si>
  <si>
    <t>7195000100018703</t>
  </si>
  <si>
    <t>PUNB0719500</t>
  </si>
  <si>
    <t>1050225082</t>
  </si>
  <si>
    <t>Aditya Manish Bhatt</t>
  </si>
  <si>
    <t>BJKPB1128G</t>
  </si>
  <si>
    <t>361 SANTOLINA APPLEWOODS VILLA TA SANAND NEAR</t>
  </si>
  <si>
    <t>SURBHI VATIK SANATHAL SANAND SANATHAL AHMEDABAD</t>
  </si>
  <si>
    <t>GUJARAT</t>
  </si>
  <si>
    <t>382210</t>
  </si>
  <si>
    <t>aditya@ambindustriesinc.com</t>
  </si>
  <si>
    <t>+919909018839</t>
  </si>
  <si>
    <t>Ahmedabad C.G. Road Branch</t>
  </si>
  <si>
    <t>10044298546</t>
  </si>
  <si>
    <t>1050217838</t>
  </si>
  <si>
    <t>Bhavnaben Pravin Dabhi</t>
  </si>
  <si>
    <t>BWTPD0863L</t>
  </si>
  <si>
    <t>House/Block/Apt Block No 3 Quarter No 33 Street/Road/Lane</t>
  </si>
  <si>
    <t>Juna Fuvara Police Line Landmark Opp Khavas</t>
  </si>
  <si>
    <t>Vandi Village/Town/City Porbanda</t>
  </si>
  <si>
    <t>Village</t>
  </si>
  <si>
    <t>360575</t>
  </si>
  <si>
    <t>pravindabhipd234@gmail.com</t>
  </si>
  <si>
    <t>+919925493293</t>
  </si>
  <si>
    <t>PORBANDAR II</t>
  </si>
  <si>
    <t>PORBANDAR</t>
  </si>
  <si>
    <t>50100805340048</t>
  </si>
  <si>
    <t>HDFC0002416</t>
  </si>
  <si>
    <t>HDFCC</t>
  </si>
  <si>
    <t>1050233917</t>
  </si>
  <si>
    <t>Sunita Rajendra Saini</t>
  </si>
  <si>
    <t>1208870427943028</t>
  </si>
  <si>
    <t>FQMPS5057Q</t>
  </si>
  <si>
    <t>C/O: RAJENDRA SAINI,,,SNEHAL</t>
  </si>
  <si>
    <t>NAGAR,,WADI,,BULDHANA,MAHARASHTRA,4443</t>
  </si>
  <si>
    <t>12</t>
  </si>
  <si>
    <t>BULDHANA</t>
  </si>
  <si>
    <t>444312</t>
  </si>
  <si>
    <t>sainisunita0239@gmail.com</t>
  </si>
  <si>
    <t>+918080185762</t>
  </si>
  <si>
    <t>00000003668882492</t>
  </si>
  <si>
    <t>CBIN0280702</t>
  </si>
  <si>
    <t>1050234783</t>
  </si>
  <si>
    <t>Sanjay Kumar Srivastava</t>
  </si>
  <si>
    <t>1208870282655964</t>
  </si>
  <si>
    <t>BUUPS0746Q</t>
  </si>
  <si>
    <t>S/O SHEETLA PRASAD SRIVASTAV,59 -</t>
  </si>
  <si>
    <t>A,GALI N0 - 5,EAST LAXMI MARKET,NEAR,</t>
  </si>
  <si>
    <t>SAI BABA MANDIR,LAXMI NAGAR,EAST</t>
  </si>
  <si>
    <t>EAST DELHI</t>
  </si>
  <si>
    <t>srivastavasanjay956@gmail.com</t>
  </si>
  <si>
    <t>+919971720137</t>
  </si>
  <si>
    <t>DWARKA?</t>
  </si>
  <si>
    <t>025001512046</t>
  </si>
  <si>
    <t>ICIC0000250</t>
  </si>
  <si>
    <t>1050237190</t>
  </si>
  <si>
    <t>Anish Kumar Marandi</t>
  </si>
  <si>
    <t>1208870021964669</t>
  </si>
  <si>
    <t>DFFPM5353R</t>
  </si>
  <si>
    <t>S/O: BASU</t>
  </si>
  <si>
    <t>MANJHI,GUNIYATO,PARSABEDA,RAJDERWA,GOM</t>
  </si>
  <si>
    <t>IA,GUNIATO,BOKARO,JHARKHAND,829107</t>
  </si>
  <si>
    <t>829107</t>
  </si>
  <si>
    <t>dffpm5353r@gmail.com</t>
  </si>
  <si>
    <t>+917739256207</t>
  </si>
  <si>
    <t>BOKARO THERMAL</t>
  </si>
  <si>
    <t>38361572114</t>
  </si>
  <si>
    <t>SBIN0000045</t>
  </si>
  <si>
    <t>1050233236</t>
  </si>
  <si>
    <t>UTSAV TANEJA</t>
  </si>
  <si>
    <t>BEWPT4540K</t>
  </si>
  <si>
    <t>WARD NO 19 ASHOKNAGAR SWAMI JI KI BAGIYA -</t>
  </si>
  <si>
    <t>ASHOKNAGAR</t>
  </si>
  <si>
    <t>473331</t>
  </si>
  <si>
    <t>utsavtaneja999@gmail.com</t>
  </si>
  <si>
    <t>+917000643012</t>
  </si>
  <si>
    <t>KRISHI UPAJ MANDI</t>
  </si>
  <si>
    <t>ASHOKANAGAR</t>
  </si>
  <si>
    <t>6337000100005702</t>
  </si>
  <si>
    <t>PUNB0633700</t>
  </si>
  <si>
    <t>1050239561</t>
  </si>
  <si>
    <t>Pallavi Manish Mundada</t>
  </si>
  <si>
    <t>BYHPB0491E</t>
  </si>
  <si>
    <t>804 18 New Nagar Road</t>
  </si>
  <si>
    <t>Abhinav Nagar Sangamner</t>
  </si>
  <si>
    <t>Ahmadnagar</t>
  </si>
  <si>
    <t>advpallavibhutada16989@gmail.com</t>
  </si>
  <si>
    <t>+919970434227</t>
  </si>
  <si>
    <t>IDFC FIRST BANK LTD</t>
  </si>
  <si>
    <t>SANGAMNER BRANCH</t>
  </si>
  <si>
    <t>10123433088</t>
  </si>
  <si>
    <t>IDFB0042964</t>
  </si>
  <si>
    <t>1050249636</t>
  </si>
  <si>
    <t>Jugal Indursingh Shahani</t>
  </si>
  <si>
    <t>BTLPS4028M</t>
  </si>
  <si>
    <t>241G</t>
  </si>
  <si>
    <t>Aditya Birla Sun Life Nifty 50 Index Fund - Growth-Regular Plan</t>
  </si>
  <si>
    <t>B1 SHYAM NIVAS GROUND FLOOR</t>
  </si>
  <si>
    <t>PLOT NO 774 3RD ROAD KHAR WEST</t>
  </si>
  <si>
    <t>400052</t>
  </si>
  <si>
    <t>491753497022</t>
  </si>
  <si>
    <t>jugal_shahani@yahoo.com</t>
  </si>
  <si>
    <t>1753497022</t>
  </si>
  <si>
    <t>KHAR STATION(W),MUMBAI [MH]</t>
  </si>
  <si>
    <t>915010039864587</t>
  </si>
  <si>
    <t>400211108</t>
  </si>
  <si>
    <t>UTIB0001625</t>
  </si>
  <si>
    <t>1050167844</t>
  </si>
  <si>
    <t>Monaki Adhikary</t>
  </si>
  <si>
    <t>CKDPA6048K</t>
  </si>
  <si>
    <t>D/O SATYA GOPAL ADHIKARY,UTTARCHARA SHANKARARA</t>
  </si>
  <si>
    <t>TAMLUK,TAMLUK,TAMLUK [M],PURBA MEDINIPUR,WEST BENGAL</t>
  </si>
  <si>
    <t>721636</t>
  </si>
  <si>
    <t>EAST MIDNAPORE</t>
  </si>
  <si>
    <t>monakiadhikary@gmail.com</t>
  </si>
  <si>
    <t>+917681039201</t>
  </si>
  <si>
    <t>TAMLUK</t>
  </si>
  <si>
    <t>EAST MEDINIPUR</t>
  </si>
  <si>
    <t>0186012255899</t>
  </si>
  <si>
    <t>PUNB0018620</t>
  </si>
  <si>
    <t>1050168655</t>
  </si>
  <si>
    <t>Dolly Gurung</t>
  </si>
  <si>
    <t>1208870436762855</t>
  </si>
  <si>
    <t>CGGPG3335J</t>
  </si>
  <si>
    <t>C/O: DILIP GURUNG,53,SHANKAR</t>
  </si>
  <si>
    <t>NAGAR,DISPUR,KACHARI</t>
  </si>
  <si>
    <t>BASTI,DISPUR,,KAMRUP</t>
  </si>
  <si>
    <t>KAMRUP METRO</t>
  </si>
  <si>
    <t>781005</t>
  </si>
  <si>
    <t>dollygurung86@gmail.com</t>
  </si>
  <si>
    <t>+919101314104</t>
  </si>
  <si>
    <t>DISPUR</t>
  </si>
  <si>
    <t>GUWAHATI</t>
  </si>
  <si>
    <t>00000037659784458</t>
  </si>
  <si>
    <t>SBIN0003030</t>
  </si>
  <si>
    <t>1050253546</t>
  </si>
  <si>
    <t>CHHAYA ASHOKRAO BOLE</t>
  </si>
  <si>
    <t>ESOPB6738L</t>
  </si>
  <si>
    <t>At Post Matgaon Taluka Murti Zapur</t>
  </si>
  <si>
    <t>Akola</t>
  </si>
  <si>
    <t>444107</t>
  </si>
  <si>
    <t>rupeshbole729@gamil.com</t>
  </si>
  <si>
    <t>+919730239941</t>
  </si>
  <si>
    <t>ARN-166103</t>
  </si>
  <si>
    <t>Vinod Sukhadewrao Kathalkar</t>
  </si>
  <si>
    <t>AMYPK7947G</t>
  </si>
  <si>
    <t>NEAR MOHINI HOSPITAL</t>
  </si>
  <si>
    <t>TIDAKE NAGAR</t>
  </si>
  <si>
    <t>MURTIZAPUR DIST AKOLA</t>
  </si>
  <si>
    <t>9822469284</t>
  </si>
  <si>
    <t>kathalkarvinod@gmail.com</t>
  </si>
  <si>
    <t>MURTIZAPUR</t>
  </si>
  <si>
    <t>11576820506</t>
  </si>
  <si>
    <t>SBIN0000528</t>
  </si>
  <si>
    <t>1050170730</t>
  </si>
  <si>
    <t>Komal Surendra Thakur</t>
  </si>
  <si>
    <t>1208870061138199</t>
  </si>
  <si>
    <t>AVSPT9477D</t>
  </si>
  <si>
    <t>D/O SURENDRA THAKUR,D2/5,SHANTI</t>
  </si>
  <si>
    <t>LAXMI,KESHAV NAGAR,KESHAV</t>
  </si>
  <si>
    <t>NAGAR,-,BOISAR,BOISAR,MUMBAI,MAHARASHT</t>
  </si>
  <si>
    <t>thakurkomal103@gmail.com</t>
  </si>
  <si>
    <t>+919145453401</t>
  </si>
  <si>
    <t>MUMBAI  MISTRY BHAVAN EXTN CTR</t>
  </si>
  <si>
    <t>50100273598297</t>
  </si>
  <si>
    <t>HDFC0000501</t>
  </si>
  <si>
    <t>1050173631</t>
  </si>
  <si>
    <t>Aditi Chaturvedi</t>
  </si>
  <si>
    <t>ATEPC8942J</t>
  </si>
  <si>
    <t>C/O DURGESH,SHUKLA IT/3 FLAT NO,1502 JAYPEE IMPERIAL</t>
  </si>
  <si>
    <t>COURT SECTOR,128 NEAR AXIS,HOUSE NOIDA GAUTAM BUDDHA</t>
  </si>
  <si>
    <t>GAUTAM BUDDHA NAGAR</t>
  </si>
  <si>
    <t>201301</t>
  </si>
  <si>
    <t>aditigarg350@gmail.com</t>
  </si>
  <si>
    <t>+918052333333</t>
  </si>
  <si>
    <t>AXIS BANK LIMITEDNAUGARH</t>
  </si>
  <si>
    <t>NAUGARH</t>
  </si>
  <si>
    <t>916010009886682</t>
  </si>
  <si>
    <t>UTIB0003976</t>
  </si>
  <si>
    <t>1050250094</t>
  </si>
  <si>
    <t>RUPESH PRAJAPAT</t>
  </si>
  <si>
    <t>CFQPP5567J</t>
  </si>
  <si>
    <t>GAURAV PALACE OPP RTO OFFICE</t>
  </si>
  <si>
    <t>JAORA ROAD RATLAM</t>
  </si>
  <si>
    <t>RATLAM</t>
  </si>
  <si>
    <t>457001</t>
  </si>
  <si>
    <t>rupeshprajapat92@gmail.com</t>
  </si>
  <si>
    <t>+919770148199</t>
  </si>
  <si>
    <t>ARN-132558</t>
  </si>
  <si>
    <t>REAL PROFIT MART</t>
  </si>
  <si>
    <t>AYBPP7192B</t>
  </si>
  <si>
    <t>57 Free Ganj Road Ratlam</t>
  </si>
  <si>
    <t>Ratlam</t>
  </si>
  <si>
    <t>+919039995166</t>
  </si>
  <si>
    <t>infinadvisory999@gmail.com</t>
  </si>
  <si>
    <t>87960100016661</t>
  </si>
  <si>
    <t>BARB0DBRATL</t>
  </si>
  <si>
    <t>1050161074</t>
  </si>
  <si>
    <t>Mr.Gopikrishna Gopal</t>
  </si>
  <si>
    <t>AKZPG4315K</t>
  </si>
  <si>
    <t>SF 2B NORTH POINT</t>
  </si>
  <si>
    <t>EMERALD RAJIVGANDHI NAGAR 80 FEET ROAD</t>
  </si>
  <si>
    <t>COIMBATORE SOUTH</t>
  </si>
  <si>
    <t>641028</t>
  </si>
  <si>
    <t>gopikrishnagopal@gmail.com</t>
  </si>
  <si>
    <t>+919535530501</t>
  </si>
  <si>
    <t>MICROSOFT CAMPUS,HYDERABAD</t>
  </si>
  <si>
    <t>142001501025</t>
  </si>
  <si>
    <t>ICIC0000409</t>
  </si>
  <si>
    <t>1050161177</t>
  </si>
  <si>
    <t>Bharath Ganiga</t>
  </si>
  <si>
    <t>BVOPB7460H</t>
  </si>
  <si>
    <t>S/O MANJUNATHA GANIGA, 1-90, GONIKALLU MANE,</t>
  </si>
  <si>
    <t>HERANJALU,, KUNDAPURA TALUKU, HERANJAL, UDUPI, ,</t>
  </si>
  <si>
    <t>KARNATAKA, 576219</t>
  </si>
  <si>
    <t>576219</t>
  </si>
  <si>
    <t>bharathbms140@gmail.com</t>
  </si>
  <si>
    <t>+919900891069</t>
  </si>
  <si>
    <t>BYNDOOR</t>
  </si>
  <si>
    <t>KUNDAPURA</t>
  </si>
  <si>
    <t>00000040416832065</t>
  </si>
  <si>
    <t>SBIN0040623</t>
  </si>
  <si>
    <t>1050163757</t>
  </si>
  <si>
    <t>Kumbaraj Poornima</t>
  </si>
  <si>
    <t>1208160045527378</t>
  </si>
  <si>
    <t>FATCA not available for Investor/Guardian-CWYPP4738G</t>
  </si>
  <si>
    <t>CWYPP4738G</t>
  </si>
  <si>
    <t>1D/26 V.M.S NGR MILAVITTAN RD</t>
  </si>
  <si>
    <t>TUTICORIN</t>
  </si>
  <si>
    <t>628002</t>
  </si>
  <si>
    <t>shanupoorni@gmail.com</t>
  </si>
  <si>
    <t>+919894129044</t>
  </si>
  <si>
    <t>MUTHUNAGAR</t>
  </si>
  <si>
    <t>00000032879063768</t>
  </si>
  <si>
    <t>SBIN0014463</t>
  </si>
  <si>
    <t>1050159302</t>
  </si>
  <si>
    <t>Dharmender Prasad</t>
  </si>
  <si>
    <t>1208870046109467</t>
  </si>
  <si>
    <t>CMOPP9789B</t>
  </si>
  <si>
    <t>S/O: RAMSINGAR PRASAD,ALGATPUR,PIPRA</t>
  </si>
  <si>
    <t>BITHAL,DEORIA,UTTAR PRADESH,274705</t>
  </si>
  <si>
    <t>274705</t>
  </si>
  <si>
    <t>prasaddharmendra36196@gmail.com</t>
  </si>
  <si>
    <t>+918303520602</t>
  </si>
  <si>
    <t>BHATNI</t>
  </si>
  <si>
    <t>00000031975211275</t>
  </si>
  <si>
    <t>SBIN0012868</t>
  </si>
  <si>
    <t>1050162760</t>
  </si>
  <si>
    <t>Vindu Kujur</t>
  </si>
  <si>
    <t>LXJPK9349D</t>
  </si>
  <si>
    <t>S/O  Mahadev Kujar  Burhibera Po</t>
  </si>
  <si>
    <t>Tatisilwal Burhibera</t>
  </si>
  <si>
    <t>835103</t>
  </si>
  <si>
    <t>kujurbindu48@gmail.com</t>
  </si>
  <si>
    <t>+919153939145</t>
  </si>
  <si>
    <t>ARN-316562</t>
  </si>
  <si>
    <t>Krishna Kujur</t>
  </si>
  <si>
    <t>DZJPK3981F</t>
  </si>
  <si>
    <t>Angara, Buribera,Silwai</t>
  </si>
  <si>
    <t>6204170926</t>
  </si>
  <si>
    <t>krishnak3110@gmail.com</t>
  </si>
  <si>
    <t>TATISILWAI BRANCH</t>
  </si>
  <si>
    <t>TATISILVAWAI</t>
  </si>
  <si>
    <t>495718210004971</t>
  </si>
  <si>
    <t>BKID0004957</t>
  </si>
  <si>
    <t>1050177991</t>
  </si>
  <si>
    <t>Deepanshu Bhardwaj</t>
  </si>
  <si>
    <t>CMUPD0374G</t>
  </si>
  <si>
    <t>1282 RAMANAND WALI GALI</t>
  </si>
  <si>
    <t>BRHAMPURI MEERUT CITY</t>
  </si>
  <si>
    <t>bhardwajdeepanshu340@gmail.com</t>
  </si>
  <si>
    <t>+918171527646</t>
  </si>
  <si>
    <t>2171248034816840</t>
  </si>
  <si>
    <t>1050180088</t>
  </si>
  <si>
    <t>Mridula Kumari</t>
  </si>
  <si>
    <t>ALNPK1397A</t>
  </si>
  <si>
    <t>W/O MRITUNJAY PRASAD SINGH</t>
  </si>
  <si>
    <t>B-180, P C COLONY</t>
  </si>
  <si>
    <t>KANKARBAGH</t>
  </si>
  <si>
    <t>800020</t>
  </si>
  <si>
    <t>mridulakumari@gmail.com</t>
  </si>
  <si>
    <t>+917992242395</t>
  </si>
  <si>
    <t>ARN-321952</t>
  </si>
  <si>
    <t>Manisha Kumari</t>
  </si>
  <si>
    <t>CCFPK4696B</t>
  </si>
  <si>
    <t>Fatwah</t>
  </si>
  <si>
    <t>chakbihari,Fatuha</t>
  </si>
  <si>
    <t>803201</t>
  </si>
  <si>
    <t>9234603515</t>
  </si>
  <si>
    <t>mukesh19061976@gmail.com</t>
  </si>
  <si>
    <t>1020104000014447</t>
  </si>
  <si>
    <t>800259006</t>
  </si>
  <si>
    <t>IBKL0001020</t>
  </si>
  <si>
    <t>1050177704</t>
  </si>
  <si>
    <t>Dimpalben Divyeshbhai Mahida</t>
  </si>
  <si>
    <t>CRKPM9804K</t>
  </si>
  <si>
    <t>GURUKRUPA ,TAPI MAIN ROAD,NEAR OLD KANYA SHALA,</t>
  </si>
  <si>
    <t>AT-POST MANDVI</t>
  </si>
  <si>
    <t>MANDVI</t>
  </si>
  <si>
    <t>394160</t>
  </si>
  <si>
    <t>divyeshmahida3636@gmail.com</t>
  </si>
  <si>
    <t>+919979393636</t>
  </si>
  <si>
    <t>ARN-17674</t>
  </si>
  <si>
    <t>NAMITA YATINKUMAR HAJARIWALA</t>
  </si>
  <si>
    <t>ABTPH2470B</t>
  </si>
  <si>
    <t>A-70 P.N.Park Society</t>
  </si>
  <si>
    <t>Near Civil Court At.Post Mandvi</t>
  </si>
  <si>
    <t>Taluka.Mandvi Dist.Surat</t>
  </si>
  <si>
    <t>Mandvi</t>
  </si>
  <si>
    <t>+919825557849</t>
  </si>
  <si>
    <t>namitahajariwala@gmail.com</t>
  </si>
  <si>
    <t>MANDVI SURAT</t>
  </si>
  <si>
    <t>93240100038970</t>
  </si>
  <si>
    <t>BARB0DBMANV</t>
  </si>
  <si>
    <t>1050178285</t>
  </si>
  <si>
    <t>Ashish Patnaik Kuppili</t>
  </si>
  <si>
    <t>FILPK0674L</t>
  </si>
  <si>
    <t>S O KUPPILI RAMESH 11 3 102 13 BRAHMIN STREET</t>
  </si>
  <si>
    <t>ICHCHAPURAM ICHCHAPURAM SRIKAKULAM ANDHRA PRADESH</t>
  </si>
  <si>
    <t>532312</t>
  </si>
  <si>
    <t>SRIKAKULAM</t>
  </si>
  <si>
    <t>ashish.kuppili@gmail.com</t>
  </si>
  <si>
    <t>+918985408695</t>
  </si>
  <si>
    <t>ARN-308230</t>
  </si>
  <si>
    <t>FORTY2 ENTERPRISES</t>
  </si>
  <si>
    <t>AAJFF8707E</t>
  </si>
  <si>
    <t>1 E Oceana Apartments</t>
  </si>
  <si>
    <t>Pedda Waltair</t>
  </si>
  <si>
    <t>Vishakhapatnam</t>
  </si>
  <si>
    <t>530017</t>
  </si>
  <si>
    <t>9985570972</t>
  </si>
  <si>
    <t>tech@labh.io</t>
  </si>
  <si>
    <t>35617147661</t>
  </si>
  <si>
    <t>SBIN0000919</t>
  </si>
  <si>
    <t>DCSBI</t>
  </si>
  <si>
    <t>1050156914</t>
  </si>
  <si>
    <t>Naveen Bhadekar</t>
  </si>
  <si>
    <t>1208870294218476</t>
  </si>
  <si>
    <t>IADPB0886G</t>
  </si>
  <si>
    <t>C/O: GOVIND BHADEKAR,1854, NEW</t>
  </si>
  <si>
    <t>DWARKAPURI,BEHIND ANAND</t>
  </si>
  <si>
    <t>SCHOOL,INDORE,INDORE,SUDAMA</t>
  </si>
  <si>
    <t>452009</t>
  </si>
  <si>
    <t>naveenbhadekar43@gmail.com</t>
  </si>
  <si>
    <t>+919356135140</t>
  </si>
  <si>
    <t>FOOTHI KOTHI INDORE</t>
  </si>
  <si>
    <t>00000043345587519</t>
  </si>
  <si>
    <t>SBIN0061094</t>
  </si>
  <si>
    <t>1050174946</t>
  </si>
  <si>
    <t>Aqsa Parveen</t>
  </si>
  <si>
    <t>DUUPP8669H</t>
  </si>
  <si>
    <t>518 4 GURU RAM DAS NAGAR LAXMI NAGAR SHAKAR PUR</t>
  </si>
  <si>
    <t>BARAMAD SHAKARPUR EAST DELHI DELHI</t>
  </si>
  <si>
    <t>aqsaparveen25@gmail.com</t>
  </si>
  <si>
    <t>+919811262490</t>
  </si>
  <si>
    <t>NARIMAN POINT</t>
  </si>
  <si>
    <t>430501501974</t>
  </si>
  <si>
    <t>ICIC0000004</t>
  </si>
  <si>
    <t>1050194346</t>
  </si>
  <si>
    <t>Prashant Hari Suryawanshi</t>
  </si>
  <si>
    <t>IN30051394862055</t>
  </si>
  <si>
    <t>AWQPS0979N</t>
  </si>
  <si>
    <t>202 Priyanka Tower Ninety Feet Road</t>
  </si>
  <si>
    <t>Parsik Nagar Kalwa West</t>
  </si>
  <si>
    <t>400605</t>
  </si>
  <si>
    <t>ravisuryawanshi7700@gmail.com</t>
  </si>
  <si>
    <t>+917738750077</t>
  </si>
  <si>
    <t>ARN-286847</t>
  </si>
  <si>
    <t>SAMARTH WEALTH PRIVATE LIMITED</t>
  </si>
  <si>
    <t>ABMCS3850N</t>
  </si>
  <si>
    <t>2301 23 Rd Flr Cluster</t>
  </si>
  <si>
    <t>I Tower C Piramal Vaikunth</t>
  </si>
  <si>
    <t>Chitalsar Manpada</t>
  </si>
  <si>
    <t>400607</t>
  </si>
  <si>
    <t>+919769099956</t>
  </si>
  <si>
    <t>mfservice@samarthedufin.com</t>
  </si>
  <si>
    <t>ABHYUDAYA COOP BANK LTD</t>
  </si>
  <si>
    <t>GHATKOPAR</t>
  </si>
  <si>
    <t>007011100028819</t>
  </si>
  <si>
    <t>400065007</t>
  </si>
  <si>
    <t>ABHY0065007</t>
  </si>
  <si>
    <t>BMUMTHN</t>
  </si>
  <si>
    <t>1050218044</t>
  </si>
  <si>
    <t>AMIT SINGH AND SONS (HUF)</t>
  </si>
  <si>
    <t>ABAHA5937R</t>
  </si>
  <si>
    <t>H 4065 14th Avenue Gaur City 2 Noida</t>
  </si>
  <si>
    <t>Extn Greater Noida West</t>
  </si>
  <si>
    <t>201302</t>
  </si>
  <si>
    <t>singhamit.gpfs@outlook.com</t>
  </si>
  <si>
    <t>+917303097062</t>
  </si>
  <si>
    <t>ARN-79381</t>
  </si>
  <si>
    <t>GLOBAL PORTFOLIO &amp; FINANCIAL SERVICES</t>
  </si>
  <si>
    <t>AAIFG5827F</t>
  </si>
  <si>
    <t>9s/90 Awas Vikas Complex</t>
  </si>
  <si>
    <t>Sec-09 Near Ram Krishan</t>
  </si>
  <si>
    <t>School, Vasundhara</t>
  </si>
  <si>
    <t>+919899039362</t>
  </si>
  <si>
    <t>globalportfolio2009@gmail.com</t>
  </si>
  <si>
    <t>VASUNDHARA</t>
  </si>
  <si>
    <t>1990104000037022</t>
  </si>
  <si>
    <t>110259086</t>
  </si>
  <si>
    <t>IBKL0001990</t>
  </si>
  <si>
    <t>NOI120</t>
  </si>
  <si>
    <t>Noida</t>
  </si>
  <si>
    <t>NORTH</t>
  </si>
  <si>
    <t>1050196463</t>
  </si>
  <si>
    <t>Akash Kumar Bansal</t>
  </si>
  <si>
    <t>1208160084755413</t>
  </si>
  <si>
    <t>BHQPB8938Q</t>
  </si>
  <si>
    <t>EWS A 109 SHASTRIPURAM AGRA</t>
  </si>
  <si>
    <t>282007</t>
  </si>
  <si>
    <t>akash.ag066@gmail.com</t>
  </si>
  <si>
    <t>+918447124882</t>
  </si>
  <si>
    <t>IDFC BANK LIMITED</t>
  </si>
  <si>
    <t>AGRA FATEHABAD ROAD BRANCH</t>
  </si>
  <si>
    <t>10117027416</t>
  </si>
  <si>
    <t>IDFB0021293</t>
  </si>
  <si>
    <t>1050197228</t>
  </si>
  <si>
    <t>Kamlesh Kumar</t>
  </si>
  <si>
    <t>1208870433239645</t>
  </si>
  <si>
    <t>BAYPK8050K</t>
  </si>
  <si>
    <t>S/O: LALBABOO PASWAN,,,VILL</t>
  </si>
  <si>
    <t>PAHARPUR,,GAJRAUL,,VAISHALI,BIHAR,8441</t>
  </si>
  <si>
    <t>14</t>
  </si>
  <si>
    <t>VAISHALI</t>
  </si>
  <si>
    <t>844114</t>
  </si>
  <si>
    <t>kamleshraj489@gmail.com</t>
  </si>
  <si>
    <t>+919678617263</t>
  </si>
  <si>
    <t>DIBRUGARH</t>
  </si>
  <si>
    <t>083901001867</t>
  </si>
  <si>
    <t>ICIC0000839</t>
  </si>
  <si>
    <t>1050197324</t>
  </si>
  <si>
    <t>Nimish</t>
  </si>
  <si>
    <t>1208870403216792</t>
  </si>
  <si>
    <t>DHTPN8683R</t>
  </si>
  <si>
    <t>C/O: KARAN TANEJA,HOUSE NUMBER</t>
  </si>
  <si>
    <t>209,THAKUR JI GREEN,THAKUR JI</t>
  </si>
  <si>
    <t>ESTATE,AMRITSAR</t>
  </si>
  <si>
    <t>nimishtaneja2015@gmail.com</t>
  </si>
  <si>
    <t>+918146765919</t>
  </si>
  <si>
    <t>NEW GRAIN MKTBHAGTANWALASR</t>
  </si>
  <si>
    <t>7516000100043498</t>
  </si>
  <si>
    <t>PUNB0751600</t>
  </si>
  <si>
    <t>1050212408</t>
  </si>
  <si>
    <t>Sachi Valaykumar Shah</t>
  </si>
  <si>
    <t>BRNPS1709P</t>
  </si>
  <si>
    <t>A-41, GOYAL TOWER,</t>
  </si>
  <si>
    <t>OPP MAITREE SOCIETY,</t>
  </si>
  <si>
    <t>GULBAI TEKRA</t>
  </si>
  <si>
    <t>sachishah10@gmail.com</t>
  </si>
  <si>
    <t>+918238043981</t>
  </si>
  <si>
    <t>ARN-50106</t>
  </si>
  <si>
    <t>MILESTONE FINANCIAL DISTRIBUTION PRIVATE LIMITED</t>
  </si>
  <si>
    <t>AAFCM5713N</t>
  </si>
  <si>
    <t>510 Shitiratna Complex</t>
  </si>
  <si>
    <t>Nr Panchwati Circle</t>
  </si>
  <si>
    <t>Opp Whitehouse Ellisbridge</t>
  </si>
  <si>
    <t>380006</t>
  </si>
  <si>
    <t>+919979911110</t>
  </si>
  <si>
    <t>info@milestonefinancial.in</t>
  </si>
  <si>
    <t>AHMEDABAD  MANINAGAR</t>
  </si>
  <si>
    <t>0811806624</t>
  </si>
  <si>
    <t>KKBK0000159</t>
  </si>
  <si>
    <t>1050199229</t>
  </si>
  <si>
    <t>Avish Jigneshkumar Shah</t>
  </si>
  <si>
    <t>JWUPS4222M</t>
  </si>
  <si>
    <t>37 amrakunj Society kothari tower</t>
  </si>
  <si>
    <t>ramnagar sabarmati Ahmedabad City</t>
  </si>
  <si>
    <t>Ahmedabad Gujarat</t>
  </si>
  <si>
    <t>avishshah123@gmail.com</t>
  </si>
  <si>
    <t>+917041713661</t>
  </si>
  <si>
    <t>SABARMATI</t>
  </si>
  <si>
    <t>50100292047161</t>
  </si>
  <si>
    <t>HDFC0001086</t>
  </si>
  <si>
    <t>1050198823</t>
  </si>
  <si>
    <t>1208870223536656</t>
  </si>
  <si>
    <t>JHKPK4264E</t>
  </si>
  <si>
    <t>S/O KUNWAR SINGH,HOUSE NO. - 1013,P - 4</t>
  </si>
  <si>
    <t>BLOCK,SULTAN PURI,SULTANPURI C</t>
  </si>
  <si>
    <t>BLOCK,NORTH WEST DELHI,DELHI,110086</t>
  </si>
  <si>
    <t>amitkumarshakya201502@gmail.com</t>
  </si>
  <si>
    <t>+919868620537</t>
  </si>
  <si>
    <t>NEW DELHI PASCHIM VIHAR</t>
  </si>
  <si>
    <t>394502130001500</t>
  </si>
  <si>
    <t>UBIN0904767</t>
  </si>
  <si>
    <t>1050219614</t>
  </si>
  <si>
    <t>Dinesh Jayaram</t>
  </si>
  <si>
    <t>1208870093707751</t>
  </si>
  <si>
    <t>BDJPJ6252L</t>
  </si>
  <si>
    <t>SHREE TIRUMALA NILAYA ARSIKERE, LEFT</t>
  </si>
  <si>
    <t>SIDE 4TH CROSS HASSAN</t>
  </si>
  <si>
    <t>HASSAN</t>
  </si>
  <si>
    <t>573103</t>
  </si>
  <si>
    <t>jdineshind@gmail.com</t>
  </si>
  <si>
    <t>+919481543605</t>
  </si>
  <si>
    <t>ARSIKERE</t>
  </si>
  <si>
    <t>0092500101202501</t>
  </si>
  <si>
    <t>KARB0000009</t>
  </si>
  <si>
    <t>1050210167</t>
  </si>
  <si>
    <t>Vijaya Sukumar Khot</t>
  </si>
  <si>
    <t>BZWPK1713N</t>
  </si>
  <si>
    <t>Pujari Plot Mo 10</t>
  </si>
  <si>
    <t>Kore Gold A Flat No 3 Vishrambag</t>
  </si>
  <si>
    <t>Sangli</t>
  </si>
  <si>
    <t>416416</t>
  </si>
  <si>
    <t>archanap.2373@gmail.com</t>
  </si>
  <si>
    <t>+917066677487</t>
  </si>
  <si>
    <t>ARN-244746</t>
  </si>
  <si>
    <t>Dalvi Rupali Vijaykumar</t>
  </si>
  <si>
    <t>ALQPD5562P</t>
  </si>
  <si>
    <t>Vasant Nagar</t>
  </si>
  <si>
    <t>Tung</t>
  </si>
  <si>
    <t>Tal Miraj</t>
  </si>
  <si>
    <t>416301</t>
  </si>
  <si>
    <t>+918275376994</t>
  </si>
  <si>
    <t>vijayadalvi555@gmail.com</t>
  </si>
  <si>
    <t>THE COSMOS CO OPERATIVE BANK LIMITED</t>
  </si>
  <si>
    <t>SANGLI</t>
  </si>
  <si>
    <t>08505010240</t>
  </si>
  <si>
    <t>416164151</t>
  </si>
  <si>
    <t>COSB0000085</t>
  </si>
  <si>
    <t>SGL233</t>
  </si>
  <si>
    <t>1050223692</t>
  </si>
  <si>
    <t>Neena Jose Chirayath</t>
  </si>
  <si>
    <t>CAVPJ8149Q</t>
  </si>
  <si>
    <t>W/O JACOB JOHN UPSCALE GOLDEN LOTUS APARTMENT,</t>
  </si>
  <si>
    <t>FLAT F10 GUNJUR VILLAGE SH 35,</t>
  </si>
  <si>
    <t>560087</t>
  </si>
  <si>
    <t>neenamiriam@gmail.com</t>
  </si>
  <si>
    <t>+919600007349</t>
  </si>
  <si>
    <t>MARATHAHALLI JUNCTION</t>
  </si>
  <si>
    <t>50100316556671</t>
  </si>
  <si>
    <t>HDFC0003636</t>
  </si>
  <si>
    <t>1050227318</t>
  </si>
  <si>
    <t>Manjunatha Eshwarachary</t>
  </si>
  <si>
    <t>AAHPE0963H</t>
  </si>
  <si>
    <t>243 759 7TH MAIN PIPE</t>
  </si>
  <si>
    <t>LINE NARMADA NADI ROAD NEAR</t>
  </si>
  <si>
    <t>MADDURAMMA TEMPLE SRINAGAR BANGALORE SOUTH</t>
  </si>
  <si>
    <t>560050</t>
  </si>
  <si>
    <t>manjunath.eachar@gmail.com</t>
  </si>
  <si>
    <t>+919945723703</t>
  </si>
  <si>
    <t>METRO BRANCH BANGALORE</t>
  </si>
  <si>
    <t>20068678581</t>
  </si>
  <si>
    <t>SBIN0013398</t>
  </si>
  <si>
    <t>1050229568</t>
  </si>
  <si>
    <t>Fardeen Pasha</t>
  </si>
  <si>
    <t>FWUPP1416E</t>
  </si>
  <si>
    <t>SULIBELE HOBALI HOSAKOTE TALUK</t>
  </si>
  <si>
    <t>562114</t>
  </si>
  <si>
    <t>frdnpsh@gmail.com</t>
  </si>
  <si>
    <t>+919591680118</t>
  </si>
  <si>
    <t>110024401129</t>
  </si>
  <si>
    <t>1050229721</t>
  </si>
  <si>
    <t>Naveen Baijal</t>
  </si>
  <si>
    <t>AHKPB8549G</t>
  </si>
  <si>
    <t>4/412, VIVEK KHAND</t>
  </si>
  <si>
    <t>GOMTI NAGAR</t>
  </si>
  <si>
    <t>Lucknow</t>
  </si>
  <si>
    <t>226010</t>
  </si>
  <si>
    <t>naveen.baijal.22@gmail.com</t>
  </si>
  <si>
    <t>+919454710693</t>
  </si>
  <si>
    <t>ARN-5099</t>
  </si>
  <si>
    <t>PREM PYARI RALHAN</t>
  </si>
  <si>
    <t>AGMPR7342G</t>
  </si>
  <si>
    <t>6/61-D</t>
  </si>
  <si>
    <t>Vipul Khand</t>
  </si>
  <si>
    <t>Gomti Nagar</t>
  </si>
  <si>
    <t>+918960178119</t>
  </si>
  <si>
    <t>prem.ralhan27@gmail.com</t>
  </si>
  <si>
    <t>GOMATI NAGAR, LUCKNOW</t>
  </si>
  <si>
    <t>10070337710</t>
  </si>
  <si>
    <t>226002017</t>
  </si>
  <si>
    <t>SBIN0009916</t>
  </si>
  <si>
    <t>L1</t>
  </si>
  <si>
    <t>1050239093</t>
  </si>
  <si>
    <t>Suchita Patel</t>
  </si>
  <si>
    <t>AHMPC5479J</t>
  </si>
  <si>
    <t>380Y</t>
  </si>
  <si>
    <t>Aditya Birla Sun Life Credit Risk Fund - Gr. DIRECT</t>
  </si>
  <si>
    <t>2-D/701 DHEERAJ DREAMS BUILDING</t>
  </si>
  <si>
    <t>L B S MARG BHANDUP MUMBAI</t>
  </si>
  <si>
    <t>SUB URAN</t>
  </si>
  <si>
    <t>400078</t>
  </si>
  <si>
    <t>chandrawanshisuchita@gmail.com</t>
  </si>
  <si>
    <t>+919867243679</t>
  </si>
  <si>
    <t>215,FREE PRESS HOUSE</t>
  </si>
  <si>
    <t>000401663796</t>
  </si>
  <si>
    <t>1050249062</t>
  </si>
  <si>
    <t>Sakshi Sharma</t>
  </si>
  <si>
    <t>KTPPS1142R</t>
  </si>
  <si>
    <t>SATHAWAN</t>
  </si>
  <si>
    <t>221007</t>
  </si>
  <si>
    <t>sakshi070897@gmail.com</t>
  </si>
  <si>
    <t>+917054565675</t>
  </si>
  <si>
    <t>MAQBOOL ALAM ROAD</t>
  </si>
  <si>
    <t>918010061847481</t>
  </si>
  <si>
    <t>UTIB0001691</t>
  </si>
  <si>
    <t>542</t>
  </si>
  <si>
    <t>Varanasi</t>
  </si>
  <si>
    <t>1050251475</t>
  </si>
  <si>
    <t>Revanasidda Manur</t>
  </si>
  <si>
    <t>1203320088123086</t>
  </si>
  <si>
    <t>GIIPM0230E</t>
  </si>
  <si>
    <t>MUTTAGI MUTTAGI</t>
  </si>
  <si>
    <t>BIJAPUR</t>
  </si>
  <si>
    <t>586216</t>
  </si>
  <si>
    <t>9353707315</t>
  </si>
  <si>
    <t>revanasiddamanur@gmail.com</t>
  </si>
  <si>
    <t>+919353707315</t>
  </si>
  <si>
    <t>KARNATAKA VIKAS GRAMEENA BANK</t>
  </si>
  <si>
    <t>MUTTAGI</t>
  </si>
  <si>
    <t>89034549018</t>
  </si>
  <si>
    <t>KVGB0003006</t>
  </si>
  <si>
    <t>1050241654</t>
  </si>
  <si>
    <t>SAURES MANDAL</t>
  </si>
  <si>
    <t>AJIPM8190J</t>
  </si>
  <si>
    <t>1A Tara Prasad Maitra Lane</t>
  </si>
  <si>
    <t>Alambazar Kolkata</t>
  </si>
  <si>
    <t>kolkata</t>
  </si>
  <si>
    <t>700035</t>
  </si>
  <si>
    <t>saures8577@gmail.com</t>
  </si>
  <si>
    <t>+919475349726</t>
  </si>
  <si>
    <t>ARN-337907</t>
  </si>
  <si>
    <t>SAURABH MANDAL</t>
  </si>
  <si>
    <t>ALJPM7666A</t>
  </si>
  <si>
    <t>Champadanga,Laskarpur</t>
  </si>
  <si>
    <t>Hooghly</t>
  </si>
  <si>
    <t>712401</t>
  </si>
  <si>
    <t>9434317342</t>
  </si>
  <si>
    <t>saurabhmandal690@gmail.com</t>
  </si>
  <si>
    <t>MANIKTALA CIVIC CENTRE</t>
  </si>
  <si>
    <t>11070209384</t>
  </si>
  <si>
    <t>SBIN0007468</t>
  </si>
  <si>
    <t>1050255392</t>
  </si>
  <si>
    <t>Varri Naidu</t>
  </si>
  <si>
    <t>1203320443599501</t>
  </si>
  <si>
    <t>BBVPV0659P</t>
  </si>
  <si>
    <t>HN 13 14 SANTHAPETA VEEDHI</t>
  </si>
  <si>
    <t>JAMI JAMI VIZIANAGARAM ANDHRA</t>
  </si>
  <si>
    <t>535250</t>
  </si>
  <si>
    <t>9160465198</t>
  </si>
  <si>
    <t>varrinaidu111@gmail.com</t>
  </si>
  <si>
    <t>+919160465198</t>
  </si>
  <si>
    <t>JAMI</t>
  </si>
  <si>
    <t>00000032654116492</t>
  </si>
  <si>
    <t>SBIN0002732</t>
  </si>
  <si>
    <t>1050255565</t>
  </si>
  <si>
    <t>Madhukumar Pasuparthi</t>
  </si>
  <si>
    <t>1208870214209573</t>
  </si>
  <si>
    <t>BCMPP0043B</t>
  </si>
  <si>
    <t>C/O: P. CHANDRASEKHAR CHETTY,FLAT</t>
  </si>
  <si>
    <t>NO-504, 5TH FLOOR, SRI SAI GRUHA</t>
  </si>
  <si>
    <t>APARTMENT,PARKTOWN COLONY,RAMESHWAR</t>
  </si>
  <si>
    <t>SANGAREDDY</t>
  </si>
  <si>
    <t>502319</t>
  </si>
  <si>
    <t>madhukumarpharmacist@gmail.com</t>
  </si>
  <si>
    <t>+919553926750</t>
  </si>
  <si>
    <t>PATANCHERU</t>
  </si>
  <si>
    <t>916010045331791</t>
  </si>
  <si>
    <t>UTIB0000687</t>
  </si>
  <si>
    <t>1050257251</t>
  </si>
  <si>
    <t>Amit Dharmendra Bodhisagar</t>
  </si>
  <si>
    <t>EAQPB2743M</t>
  </si>
  <si>
    <t>S O DHARMENDRA BODHISAGAR PLOT NO 313 F4 RIDGE ROAD</t>
  </si>
  <si>
    <t>VISHWAKARMA NAGAR NEAR SHRI NIKETAN SCHOOL PARVATI</t>
  </si>
  <si>
    <t>NAGAR NAGPUR PARVATI NAGAR NAGPUR MAHARASHTRA 440027</t>
  </si>
  <si>
    <t>440027</t>
  </si>
  <si>
    <t>amitbodhisagar@gmail.com</t>
  </si>
  <si>
    <t>+917028546498</t>
  </si>
  <si>
    <t>YEOTMAL</t>
  </si>
  <si>
    <t>YAVATMAL</t>
  </si>
  <si>
    <t>343002010028667</t>
  </si>
  <si>
    <t>UBIN0534307</t>
  </si>
  <si>
    <t>1050167060</t>
  </si>
  <si>
    <t>Rahulkumar Bharatbhai Patel</t>
  </si>
  <si>
    <t>GNHPP1087A</t>
  </si>
  <si>
    <t>876 Dozi Faliya, Dhodiyawad</t>
  </si>
  <si>
    <t>, At</t>
  </si>
  <si>
    <t>Navsari, Gujarat</t>
  </si>
  <si>
    <t>NAVSARI</t>
  </si>
  <si>
    <t>396403</t>
  </si>
  <si>
    <t>17patelrahul17@gmail.com</t>
  </si>
  <si>
    <t>+917046807227</t>
  </si>
  <si>
    <t>ARN-121290</t>
  </si>
  <si>
    <t>KETAN SURESHBHAI TAILOR</t>
  </si>
  <si>
    <t>ADVPT7596A</t>
  </si>
  <si>
    <t>2nd Floor Nirman Nagar Soceity</t>
  </si>
  <si>
    <t>Kaliawadi</t>
  </si>
  <si>
    <t>Navsari</t>
  </si>
  <si>
    <t>396427</t>
  </si>
  <si>
    <t>+919913450002</t>
  </si>
  <si>
    <t>ktalpana123@gmail.com</t>
  </si>
  <si>
    <t>NAVSARI.AGRI. UNIVERSITY</t>
  </si>
  <si>
    <t>41613578389</t>
  </si>
  <si>
    <t>396002062</t>
  </si>
  <si>
    <t>SBIN0003889</t>
  </si>
  <si>
    <t>NVS2637</t>
  </si>
  <si>
    <t>1050173099</t>
  </si>
  <si>
    <t>Mithun Chavan Arun Kumar</t>
  </si>
  <si>
    <t>HSBPM0124F</t>
  </si>
  <si>
    <t>S O ARUN KUMAR V 77 5TH CROSS ROAD</t>
  </si>
  <si>
    <t>ANNAPOORNRSHWARI LAYOUT NEAR NAMMA MANE</t>
  </si>
  <si>
    <t>APARTMENTS KENGERI KENGERI BENGALURU KARNATAKA</t>
  </si>
  <si>
    <t>560060</t>
  </si>
  <si>
    <t>mithun.chavan.a24@gmail.com</t>
  </si>
  <si>
    <t>+916380691574</t>
  </si>
  <si>
    <t>KENGERI</t>
  </si>
  <si>
    <t>00000042482345727</t>
  </si>
  <si>
    <t>SBIN0011282</t>
  </si>
  <si>
    <t>1050163374</t>
  </si>
  <si>
    <t>Nikhil Dubey</t>
  </si>
  <si>
    <t>1208870340064427</t>
  </si>
  <si>
    <t>GANPD4901C</t>
  </si>
  <si>
    <t>C/O RATNENDRA DUBEY,GOLDEN ACRES</t>
  </si>
  <si>
    <t>BLOCK-6B, FLAT NO-3C 3RD FLOOR,135</t>
  </si>
  <si>
    <t>C.S. MUKHERJEE STREET,SAKUNTALA KALI</t>
  </si>
  <si>
    <t>HOOGHLY</t>
  </si>
  <si>
    <t>712235</t>
  </si>
  <si>
    <t>nikhildubey948@gmail.com</t>
  </si>
  <si>
    <t>+917980483952</t>
  </si>
  <si>
    <t>LAKE GARDENS</t>
  </si>
  <si>
    <t>50100486591786</t>
  </si>
  <si>
    <t>HDFC0008997</t>
  </si>
  <si>
    <t>1050244208</t>
  </si>
  <si>
    <t>SIXTH SENSE COMMERCIAL PVT LTD</t>
  </si>
  <si>
    <t>AAVCS0211R</t>
  </si>
  <si>
    <t>Company</t>
  </si>
  <si>
    <t>205 MASTERMIND V ROYAL PALMS</t>
  </si>
  <si>
    <t>NEAR PICADELLY III AAREY MILK COLONY</t>
  </si>
  <si>
    <t>GOREGAON-EAST</t>
  </si>
  <si>
    <t>400065</t>
  </si>
  <si>
    <t>sinhacpl@gmail.com,sixthsensemax@gmail.com</t>
  </si>
  <si>
    <t>+919920998893</t>
  </si>
  <si>
    <t>ARN-247488</t>
  </si>
  <si>
    <t>SIXTH SENSE PRIME WEALTH PRIVATE LIMITED</t>
  </si>
  <si>
    <t>ABICS6282J</t>
  </si>
  <si>
    <t>D/002 National Avenue</t>
  </si>
  <si>
    <t>Gr Floor Akurli Road</t>
  </si>
  <si>
    <t>Kandivali Road</t>
  </si>
  <si>
    <t>400101</t>
  </si>
  <si>
    <t>+918591924052</t>
  </si>
  <si>
    <t>sixthsensemoney@gmail.com</t>
  </si>
  <si>
    <t>GOREGAON (W) MUMBAI</t>
  </si>
  <si>
    <t>011783800002239</t>
  </si>
  <si>
    <t>YESB0000117</t>
  </si>
  <si>
    <t>1050152818</t>
  </si>
  <si>
    <t>Manish Sharma</t>
  </si>
  <si>
    <t>BPDPS9400P</t>
  </si>
  <si>
    <t>SO Sudesh Kumar 1786 RANI BAGH</t>
  </si>
  <si>
    <t>Shakur Basti North West Delhi Delhi</t>
  </si>
  <si>
    <t>North West Delhi</t>
  </si>
  <si>
    <t>manishsharmaskype@gmail.com</t>
  </si>
  <si>
    <t>+918383057642</t>
  </si>
  <si>
    <t>Rohini Branch</t>
  </si>
  <si>
    <t>10118470617</t>
  </si>
  <si>
    <t>1050194272</t>
  </si>
  <si>
    <t>Nabin Kumar Kheto</t>
  </si>
  <si>
    <t>CUQPK7597A</t>
  </si>
  <si>
    <t>90B</t>
  </si>
  <si>
    <t>Aditya Birla Sun Life Business Cycle Fund Regular Growth</t>
  </si>
  <si>
    <t>MAKALTALA DURGAPUR</t>
  </si>
  <si>
    <t>MAKHALTALA</t>
  </si>
  <si>
    <t>711205</t>
  </si>
  <si>
    <t>nabinkumarkheto@gmail.com</t>
  </si>
  <si>
    <t>+919748859073</t>
  </si>
  <si>
    <t>UTTARPARA</t>
  </si>
  <si>
    <t>UTTARPARA KOTRUNG</t>
  </si>
  <si>
    <t>924010021325733</t>
  </si>
  <si>
    <t>700211051</t>
  </si>
  <si>
    <t>UTIB0001140</t>
  </si>
  <si>
    <t>SREE712</t>
  </si>
  <si>
    <t>Seerampore</t>
  </si>
  <si>
    <t>EAST</t>
  </si>
  <si>
    <t>1050213994</t>
  </si>
  <si>
    <t>Rohini Ramakant Bhoir</t>
  </si>
  <si>
    <t>BACPB6311C</t>
  </si>
  <si>
    <t>25 HARI DARSHAN GOVIND BABAJI PATIL MARG</t>
  </si>
  <si>
    <t>NEAR HANUMAN MANDIR</t>
  </si>
  <si>
    <t>MIRA VILLAGE</t>
  </si>
  <si>
    <t>401107</t>
  </si>
  <si>
    <t>sheetallbhoir2@gmail.com</t>
  </si>
  <si>
    <t>+919819665626</t>
  </si>
  <si>
    <t>ARN-35783</t>
  </si>
  <si>
    <t>Bank Of Baroda</t>
  </si>
  <si>
    <t>AAACB1534F</t>
  </si>
  <si>
    <t>Bank Of Baroda 6Th Floor</t>
  </si>
  <si>
    <t>Baroda Sun Tower Wms G-Block</t>
  </si>
  <si>
    <t>Plot No C-26 B K C Bandra East</t>
  </si>
  <si>
    <t>7978629288</t>
  </si>
  <si>
    <t>wms.bcc@bankofbaroda.com</t>
  </si>
  <si>
    <t>MIRA ROAD-EAST</t>
  </si>
  <si>
    <t>MIRA-BHAYANDAR</t>
  </si>
  <si>
    <t>76480100008683</t>
  </si>
  <si>
    <t>BARB0VJMIRO</t>
  </si>
  <si>
    <t>BMUMBOR</t>
  </si>
  <si>
    <t>1050186458</t>
  </si>
  <si>
    <t>Nidhi Singhal</t>
  </si>
  <si>
    <t>1203320106867322</t>
  </si>
  <si>
    <t>KHIPS4024R</t>
  </si>
  <si>
    <t>GD-96 PITAMPURA PITAMPURA</t>
  </si>
  <si>
    <t>9711935775</t>
  </si>
  <si>
    <t>nsingal99@gmail.com</t>
  </si>
  <si>
    <t>+919711935775</t>
  </si>
  <si>
    <t>DELHI PITAMPURA DISTT NEW DE</t>
  </si>
  <si>
    <t>1710000101408579</t>
  </si>
  <si>
    <t>PUNB0171000</t>
  </si>
  <si>
    <t>1050200263</t>
  </si>
  <si>
    <t>Jovita Fernandes</t>
  </si>
  <si>
    <t>AHAPF6449D</t>
  </si>
  <si>
    <t>NEAR GOLDEN ROCK SILVER ARROW, B/204, SUNDER NAGAR,</t>
  </si>
  <si>
    <t>KALINA, SANTACRUZ EAST MUMBAI, MAHARASHTRA</t>
  </si>
  <si>
    <t>400098</t>
  </si>
  <si>
    <t>567574428</t>
  </si>
  <si>
    <t>jovita.ferns12@gmail.com</t>
  </si>
  <si>
    <t>917506602850</t>
  </si>
  <si>
    <t>Raja Park-Jaipur Branch</t>
  </si>
  <si>
    <t>10250089896</t>
  </si>
  <si>
    <t>1050242228</t>
  </si>
  <si>
    <t>Jalaluddin Ansari</t>
  </si>
  <si>
    <t>1201090043497104</t>
  </si>
  <si>
    <t>FATCA not available for Investor/Guardian-DTJPA7587M</t>
  </si>
  <si>
    <t>DTJPA7587M</t>
  </si>
  <si>
    <t>125 KASAIYON KA MOHALLA NEAR</t>
  </si>
  <si>
    <t>DEEWAN JI KA KUWA TONK KALI</t>
  </si>
  <si>
    <t>PALTAN TONK TONK RAJASTHAN INDIA 304001</t>
  </si>
  <si>
    <t>304001</t>
  </si>
  <si>
    <t>jalalansari123@gmail.com</t>
  </si>
  <si>
    <t>+919413786871</t>
  </si>
  <si>
    <t>61255017271</t>
  </si>
  <si>
    <t>SBIN0031087</t>
  </si>
  <si>
    <t>1050204606</t>
  </si>
  <si>
    <t>Mandikall Venkatesha Murthy Srikanth</t>
  </si>
  <si>
    <t>1208870429456046</t>
  </si>
  <si>
    <t>ECSPS8992H</t>
  </si>
  <si>
    <t>M S VENKATESHA MURTHY,NO 21/2,5TH MAIN</t>
  </si>
  <si>
    <t>ROAD,NARAYANA RAO LAYOUT</t>
  </si>
  <si>
    <t>HOSAKEREHALLI,,BANASHANKARI 3RD</t>
  </si>
  <si>
    <t>560085</t>
  </si>
  <si>
    <t>srikanthparu.mv@gmail.com</t>
  </si>
  <si>
    <t>+919964255006</t>
  </si>
  <si>
    <t>B LORE BASAVANAGUDI</t>
  </si>
  <si>
    <t>0902500102028601</t>
  </si>
  <si>
    <t>KARB0000090</t>
  </si>
  <si>
    <t>1050220726</t>
  </si>
  <si>
    <t>Puneet Agrawal</t>
  </si>
  <si>
    <t>1208160032494823</t>
  </si>
  <si>
    <t>DELPA3457P</t>
  </si>
  <si>
    <t>931 KEELMATH GALI CHHATTA BAZA</t>
  </si>
  <si>
    <t>GOLPARA</t>
  </si>
  <si>
    <t>HATHRAS</t>
  </si>
  <si>
    <t>281001</t>
  </si>
  <si>
    <t>puneetsinghal313@gmail.com</t>
  </si>
  <si>
    <t>+918979126127</t>
  </si>
  <si>
    <t>MATHURA</t>
  </si>
  <si>
    <t>3063711919</t>
  </si>
  <si>
    <t>CBIN0280241</t>
  </si>
  <si>
    <t>1050225833</t>
  </si>
  <si>
    <t>Uttam Lahu Sasavade</t>
  </si>
  <si>
    <t>BDVPS5853C</t>
  </si>
  <si>
    <t>FLAT 602 SOLITAIRE SPACE</t>
  </si>
  <si>
    <t>PLOT A 10 SECTOR 06</t>
  </si>
  <si>
    <t>KARANJADE PANVEL</t>
  </si>
  <si>
    <t>919920059044</t>
  </si>
  <si>
    <t>uttam.sasavade@gmail.com</t>
  </si>
  <si>
    <t>+919920059044</t>
  </si>
  <si>
    <t>KARANJADE MH</t>
  </si>
  <si>
    <t>913010028189329</t>
  </si>
  <si>
    <t>400211187</t>
  </si>
  <si>
    <t>UTIB0003956</t>
  </si>
  <si>
    <t>1050228014</t>
  </si>
  <si>
    <t>Potharam Sagar</t>
  </si>
  <si>
    <t>CXVPP3973R</t>
  </si>
  <si>
    <t>SO Komuraiah 1-112 Ramchand rapur</t>
  </si>
  <si>
    <t>Saidapur Ramchandr apur Karimnagar</t>
  </si>
  <si>
    <t>Telangan a India</t>
  </si>
  <si>
    <t>Karimnagar</t>
  </si>
  <si>
    <t>505472</t>
  </si>
  <si>
    <t>potharamsagar1919@gmail.com</t>
  </si>
  <si>
    <t>+919000888405</t>
  </si>
  <si>
    <t>HUZURABAD</t>
  </si>
  <si>
    <t>KARIM NAGAR</t>
  </si>
  <si>
    <t>00000031077673444</t>
  </si>
  <si>
    <t>SBIN0020143</t>
  </si>
  <si>
    <t>1050233032</t>
  </si>
  <si>
    <t>Amit Jaikishan Motwani</t>
  </si>
  <si>
    <t>BAQPM2614H</t>
  </si>
  <si>
    <t>90Y</t>
  </si>
  <si>
    <t>Aditya Birla Sun Life Business Cycle Fund Direct Growth</t>
  </si>
  <si>
    <t>Rajaveer,2/11 Gayakwadi Close Street</t>
  </si>
  <si>
    <t>Near Sadhu Vashvani Hospital,Gayakwadi,Kotda Sangani</t>
  </si>
  <si>
    <t>Rajkot,Rajkot</t>
  </si>
  <si>
    <t>Rajkot</t>
  </si>
  <si>
    <t>rajaveerstudio1234@gmail.com</t>
  </si>
  <si>
    <t>+919898619516</t>
  </si>
  <si>
    <t>Junction Plot Rajkot</t>
  </si>
  <si>
    <t>79130100015145</t>
  </si>
  <si>
    <t>BARB0DBJUNC</t>
  </si>
  <si>
    <t>1050247766</t>
  </si>
  <si>
    <t>Rohan Malakar</t>
  </si>
  <si>
    <t>JCIPM7911K</t>
  </si>
  <si>
    <t>MAA BHAWAN, SANTIPARA</t>
  </si>
  <si>
    <t>WARD 2, LUMDING</t>
  </si>
  <si>
    <t>HOJAI, ASSAM</t>
  </si>
  <si>
    <t>LUMDING</t>
  </si>
  <si>
    <t>782447</t>
  </si>
  <si>
    <t>rohanmalakar10000@gmail.com</t>
  </si>
  <si>
    <t>+917896776982</t>
  </si>
  <si>
    <t>LUMDING COLLEGE RD DISTT NAG</t>
  </si>
  <si>
    <t>LUMDING, DISTT NAGAON, ASSAM</t>
  </si>
  <si>
    <t>3212000100166477</t>
  </si>
  <si>
    <t>PUNB0321200</t>
  </si>
  <si>
    <t>1050248041</t>
  </si>
  <si>
    <t>Chekka Rahul Rakesh</t>
  </si>
  <si>
    <t>BYHPC0053P</t>
  </si>
  <si>
    <t>2 2 1136/2/A, NEW NALLAKUNTA</t>
  </si>
  <si>
    <t>NEW NALLAKUNTA, HYDERABAD</t>
  </si>
  <si>
    <t>HYDERABAD, ANDHRA PRADESH</t>
  </si>
  <si>
    <t>500044</t>
  </si>
  <si>
    <t>rahulrksh6@gmail.com</t>
  </si>
  <si>
    <t>+919014084018</t>
  </si>
  <si>
    <t>SECUNDERABAD</t>
  </si>
  <si>
    <t>SECUNDERABAD CANTONMENT</t>
  </si>
  <si>
    <t>923010041561491</t>
  </si>
  <si>
    <t>UTIB0000068</t>
  </si>
  <si>
    <t>1050238372</t>
  </si>
  <si>
    <t>Mukesh Kumar Shukla</t>
  </si>
  <si>
    <t>ADZPS2971G</t>
  </si>
  <si>
    <t>HOUSE NO RB-SECOND 24A,NEAR RAILWAY</t>
  </si>
  <si>
    <t>STATION,FARIDABAD,FARIDABAD,FARIDABAD</t>
  </si>
  <si>
    <t>NIT,FARIDABAD,HARYANA</t>
  </si>
  <si>
    <t>mukeshshukla99906@gmail.com</t>
  </si>
  <si>
    <t>+919990680102</t>
  </si>
  <si>
    <t>SECTOR 5JFA BRANCH</t>
  </si>
  <si>
    <t>07870100016773</t>
  </si>
  <si>
    <t>BARB0SECFAR</t>
  </si>
  <si>
    <t>1050239252</t>
  </si>
  <si>
    <t>Ratan Burman</t>
  </si>
  <si>
    <t>BWFPB2681E</t>
  </si>
  <si>
    <t>C/O Lachman Burman Near Mandlal School Shib Mandir Para Egara</t>
  </si>
  <si>
    <t>Barddhaman</t>
  </si>
  <si>
    <t>713323</t>
  </si>
  <si>
    <t>burmanravi12@gmail.com</t>
  </si>
  <si>
    <t>+919749228008</t>
  </si>
  <si>
    <t>ARN-312331</t>
  </si>
  <si>
    <t>Prasan vats</t>
  </si>
  <si>
    <t>CUZPV7710B</t>
  </si>
  <si>
    <t>239l , kola kushma</t>
  </si>
  <si>
    <t>ps saraidhela</t>
  </si>
  <si>
    <t>dhanbad kg ashram 82</t>
  </si>
  <si>
    <t>828109</t>
  </si>
  <si>
    <t>8210626987</t>
  </si>
  <si>
    <t>prasanvats633@gmail.com</t>
  </si>
  <si>
    <t>UCO BANK LTD</t>
  </si>
  <si>
    <t>RANIGUNJ BURDWAN</t>
  </si>
  <si>
    <t>00470110011713</t>
  </si>
  <si>
    <t>713028302</t>
  </si>
  <si>
    <t>UCBA0000047</t>
  </si>
  <si>
    <t>1050239422</t>
  </si>
  <si>
    <t>Sandeep</t>
  </si>
  <si>
    <t>LDTPS0703B</t>
  </si>
  <si>
    <t>S/O DHARM PAL,HOUSE NO-1829,MOULI JAGRAAN</t>
  </si>
  <si>
    <t>COMPLAX,MANI MAJRA(R,CHANDIGARH,CHANDIGARH</t>
  </si>
  <si>
    <t>CHANDIGARH</t>
  </si>
  <si>
    <t>CH</t>
  </si>
  <si>
    <t>160101</t>
  </si>
  <si>
    <t>sandeepsandy022026@gmail.com</t>
  </si>
  <si>
    <t>+919915926226</t>
  </si>
  <si>
    <t>PUNJAB AND SIND BANK</t>
  </si>
  <si>
    <t>CHANDIGARH SECTOR 34</t>
  </si>
  <si>
    <t>07581000102961</t>
  </si>
  <si>
    <t>PSIB0000242</t>
  </si>
  <si>
    <t>1050251210</t>
  </si>
  <si>
    <t>Pratham Avasthi</t>
  </si>
  <si>
    <t>1208870190483892</t>
  </si>
  <si>
    <t>DZAPA6426C</t>
  </si>
  <si>
    <t>S/O: AJAY AVASTHI,175-A LAST</t>
  </si>
  <si>
    <t>MORH,GANDHI NAGAR,OPP GOVT</t>
  </si>
  <si>
    <t>FLATS,GANDHINAGAR,JAMMU,JAMMU AND</t>
  </si>
  <si>
    <t>180004</t>
  </si>
  <si>
    <t>avasthipratham444@gmail.com</t>
  </si>
  <si>
    <t>+919149818467</t>
  </si>
  <si>
    <t>JAMMUJYOTI PUBLIC HIGH SCHOOL</t>
  </si>
  <si>
    <t>5196100100002814</t>
  </si>
  <si>
    <t>PUNB0519610</t>
  </si>
  <si>
    <t>1050169862</t>
  </si>
  <si>
    <t>Bharat Dhakad</t>
  </si>
  <si>
    <t>1203320446107460</t>
  </si>
  <si>
    <t>HWTPD0235G</t>
  </si>
  <si>
    <t>GRAM GANESH KHEDA POST</t>
  </si>
  <si>
    <t>RANTHKHEDA TEHSIL POHARI</t>
  </si>
  <si>
    <t>GANESH KHEDA SHIVPURI MADHYA</t>
  </si>
  <si>
    <t>SHIVPURI</t>
  </si>
  <si>
    <t>473775</t>
  </si>
  <si>
    <t>8839712082</t>
  </si>
  <si>
    <t>bharatdhakad674@gmail.com</t>
  </si>
  <si>
    <t>+918839712082</t>
  </si>
  <si>
    <t>KOTWALI ROAD SHIVPURI</t>
  </si>
  <si>
    <t>50100760750463</t>
  </si>
  <si>
    <t>HDFC0008082</t>
  </si>
  <si>
    <t>1050256180</t>
  </si>
  <si>
    <t>Yerrampalli Padma</t>
  </si>
  <si>
    <t>GJZPP2411L</t>
  </si>
  <si>
    <t>C/O: YERRAMPALLI ARUN KUMAR 22-77-14/A CHALLAKONDA VARI</t>
  </si>
  <si>
    <t>VEEDHI NEAR SRI KANAKAMAHALAKSHMI TEMPLE READING ROOM,1</t>
  </si>
  <si>
    <t>TOWN AREA VISAKHAPATNAM (URBAN) VISAKHAPATNAM (URBAN)</t>
  </si>
  <si>
    <t>530001</t>
  </si>
  <si>
    <t>arunpadma9297@gmail.com</t>
  </si>
  <si>
    <t>+919030089297</t>
  </si>
  <si>
    <t>VIZAGJAGADAMBA CENTRE</t>
  </si>
  <si>
    <t>50100687377748</t>
  </si>
  <si>
    <t>HDFC0000417</t>
  </si>
  <si>
    <t>1050258102</t>
  </si>
  <si>
    <t>Navneet Omprakash Sharma</t>
  </si>
  <si>
    <t>1208870099954524</t>
  </si>
  <si>
    <t>AZJPS0031R</t>
  </si>
  <si>
    <t>S/O: OM PRAKASH SHARMA,SEEKANAPAN GALI</t>
  </si>
  <si>
    <t>,,-,GHANTA GHAR,HATHRAS,HATHRAS,UTTAR</t>
  </si>
  <si>
    <t>PRADESH,204101</t>
  </si>
  <si>
    <t>204101</t>
  </si>
  <si>
    <t>navneetunnatisharma@gmail.com</t>
  </si>
  <si>
    <t>+919319970635</t>
  </si>
  <si>
    <t>UJJIVAN SMALL FINANCE BANK LIMITED</t>
  </si>
  <si>
    <t>2312110250054211</t>
  </si>
  <si>
    <t>UJVN0002312</t>
  </si>
  <si>
    <t>1050143774</t>
  </si>
  <si>
    <t>Gaurav Kashyap</t>
  </si>
  <si>
    <t>1208870250394757</t>
  </si>
  <si>
    <t>JHSPK6739L</t>
  </si>
  <si>
    <t>S/O: SOHAN SINGH,HOUSE NO-70,WEST PANT</t>
  </si>
  <si>
    <t>VIHAR,SAHARANPUR,NAKUR,SAHARANPUR,SAHA</t>
  </si>
  <si>
    <t>RANPUR,UTTAR PRADESH,247001</t>
  </si>
  <si>
    <t>247001</t>
  </si>
  <si>
    <t>gaurav.work1999@gmail.com</t>
  </si>
  <si>
    <t>+917217222015</t>
  </si>
  <si>
    <t>SHARANPUR MAIN</t>
  </si>
  <si>
    <t>00000035512367899</t>
  </si>
  <si>
    <t>SBIN0000710</t>
  </si>
  <si>
    <t>1050170677</t>
  </si>
  <si>
    <t>Sajeda Behera</t>
  </si>
  <si>
    <t>1208870141963253</t>
  </si>
  <si>
    <t>BXSPB1904L</t>
  </si>
  <si>
    <t>W/O PRAFULLA KUMAR BEHERA,QR NO. 2RF -</t>
  </si>
  <si>
    <t>7/4,UNIT - 9,</t>
  </si>
  <si>
    <t>FLAT,BHUBANESWAR,BACKSIDE OF UNIT - 9,</t>
  </si>
  <si>
    <t>KHORDA</t>
  </si>
  <si>
    <t>751022</t>
  </si>
  <si>
    <t>nilesh12pb@gmail.com</t>
  </si>
  <si>
    <t>+919861439160</t>
  </si>
  <si>
    <t>SHAHEED NAGARBHUBNESHWARORIS</t>
  </si>
  <si>
    <t>BHUBANESHWAR</t>
  </si>
  <si>
    <t>4077000100032327</t>
  </si>
  <si>
    <t>PUNB0407700</t>
  </si>
  <si>
    <t>1050147725</t>
  </si>
  <si>
    <t>Kiran Sasi</t>
  </si>
  <si>
    <t>CNZPK4680C</t>
  </si>
  <si>
    <t>S/O Sasi S # 305 3rd Floor S</t>
  </si>
  <si>
    <t>Sivakumar Flats Site No 8 Doddagubbi</t>
  </si>
  <si>
    <t>Near K R C Opp Visthar College</t>
  </si>
  <si>
    <t>Bengaluru</t>
  </si>
  <si>
    <t>560077</t>
  </si>
  <si>
    <t>kiran_abcus2003@yahoo.co.in</t>
  </si>
  <si>
    <t>+919886619415</t>
  </si>
  <si>
    <t>Bangalore Residency Road Branch</t>
  </si>
  <si>
    <t>10004746450</t>
  </si>
  <si>
    <t>1050173496</t>
  </si>
  <si>
    <t>Siraz Saiyad</t>
  </si>
  <si>
    <t>QIAPS1349A</t>
  </si>
  <si>
    <t>SO Saiyad Anwar Basha, 32-305-28, BHAGATH SINGH NAGAR</t>
  </si>
  <si>
    <t>ROAD, MACHAVARAM, Machavaram, Vijayawada,  Urban</t>
  </si>
  <si>
    <t>Krishna, Andhra Pradesh, 520004, India</t>
  </si>
  <si>
    <t>Krishna</t>
  </si>
  <si>
    <t>520004</t>
  </si>
  <si>
    <t>syedsiraj55684@gmail.com</t>
  </si>
  <si>
    <t>+918639052251</t>
  </si>
  <si>
    <t>37502310000388</t>
  </si>
  <si>
    <t>1050174514</t>
  </si>
  <si>
    <t>Suresh M</t>
  </si>
  <si>
    <t>EREPS9554Q</t>
  </si>
  <si>
    <t>SO Munivenkatappa,Harohalli</t>
  </si>
  <si>
    <t>,Abbenahalli,Kolar,Karna taka</t>
  </si>
  <si>
    <t>KOLAR</t>
  </si>
  <si>
    <t>563130</t>
  </si>
  <si>
    <t>sureshzmr143@gmail.com</t>
  </si>
  <si>
    <t>+919066830005</t>
  </si>
  <si>
    <t>CHIKKATHIRUPATHI</t>
  </si>
  <si>
    <t>0823101109006</t>
  </si>
  <si>
    <t>CNRB0000823</t>
  </si>
  <si>
    <t>1050149577</t>
  </si>
  <si>
    <t>Shivani Gupta</t>
  </si>
  <si>
    <t>1208160177667941</t>
  </si>
  <si>
    <t>FATCA not available for Investor/Guardian-BYQPG0253G</t>
  </si>
  <si>
    <t>BYQPG0253G</t>
  </si>
  <si>
    <t>D/O MOHAN LAL GUPTA 1/1 56 -CANTT NAVSHE</t>
  </si>
  <si>
    <t>EL APARTMENT KANPUR CANTT KANPUR CANTT</t>
  </si>
  <si>
    <t>KANPUR CANTT</t>
  </si>
  <si>
    <t>208004</t>
  </si>
  <si>
    <t>sg19031996@gmail.com</t>
  </si>
  <si>
    <t>+918787263068</t>
  </si>
  <si>
    <t>VADGAON SHERI</t>
  </si>
  <si>
    <t>525801501457</t>
  </si>
  <si>
    <t>ICIC0005258</t>
  </si>
  <si>
    <t>1050177834</t>
  </si>
  <si>
    <t>Shilpa Dhuliya</t>
  </si>
  <si>
    <t>1208870117314001</t>
  </si>
  <si>
    <t>FQUPD5224E</t>
  </si>
  <si>
    <t>D/O PANKAJ KUMAR DHULIYA,24,MOHIT</t>
  </si>
  <si>
    <t>VIHAR,GMS</t>
  </si>
  <si>
    <t>ROAD,.,MAJRA,DEHRADUN,UTTARAKHAND,2481</t>
  </si>
  <si>
    <t>248171</t>
  </si>
  <si>
    <t>shilpa.dhulia.96@gmail.com</t>
  </si>
  <si>
    <t>+918979994880</t>
  </si>
  <si>
    <t>BALLUPUR BRANCH</t>
  </si>
  <si>
    <t>27120100009107</t>
  </si>
  <si>
    <t>BARB0BLYDEH</t>
  </si>
  <si>
    <t>1050156606</t>
  </si>
  <si>
    <t>Riya Rawat</t>
  </si>
  <si>
    <t>CWKPR3173F</t>
  </si>
  <si>
    <t>-,NATHUVAWALA,P.O.NATHUVAWALA,NATTHUWA WALA,DEHRADUN</t>
  </si>
  <si>
    <t>UTTARAKHAND,248008</t>
  </si>
  <si>
    <t>UR</t>
  </si>
  <si>
    <t>248008</t>
  </si>
  <si>
    <t>riyacjm@gmail.com</t>
  </si>
  <si>
    <t>+918630561906</t>
  </si>
  <si>
    <t>NEHRU COLONY DEHRADUN</t>
  </si>
  <si>
    <t>50100374367948</t>
  </si>
  <si>
    <t>HDFC0003784</t>
  </si>
  <si>
    <t>1050181358</t>
  </si>
  <si>
    <t>Om Prakash Verma</t>
  </si>
  <si>
    <t>1208870214697158</t>
  </si>
  <si>
    <t>AIBPV4614N</t>
  </si>
  <si>
    <t>S/O: HARIHAR PRASAD</t>
  </si>
  <si>
    <t>VERMA,A38/77P,KONIYA,VIJAYIPURA,VARANA</t>
  </si>
  <si>
    <t>SI,VARANASI,VARANASI,VARANASI,UTTAR</t>
  </si>
  <si>
    <t>221001</t>
  </si>
  <si>
    <t>omdigital007@gmail.com</t>
  </si>
  <si>
    <t>+919307844153</t>
  </si>
  <si>
    <t>ADB SARNATH</t>
  </si>
  <si>
    <t>40666134531</t>
  </si>
  <si>
    <t>SBIN0004560</t>
  </si>
  <si>
    <t>1050162055</t>
  </si>
  <si>
    <t>Ketki Gorakhnath Trimukhe</t>
  </si>
  <si>
    <t>AKEPT4975D</t>
  </si>
  <si>
    <t>1180B</t>
  </si>
  <si>
    <t>Aditya Birla Sun Life Banking And Financial Services Fund - Gr. REGULAR</t>
  </si>
  <si>
    <t>D/O: GORAKHNATH TRIMUKHE,26/32, KETKI,POKHRAN ROAD</t>
  </si>
  <si>
    <t>NO. 2,VASANT VIHAR,NR VASANT VIHAR CLUB HOUSE,APNA</t>
  </si>
  <si>
    <t>BAZAR,THANE,MAHARASHTRA,400610</t>
  </si>
  <si>
    <t>gorakhnaths54@gmail.com</t>
  </si>
  <si>
    <t>+917039223323</t>
  </si>
  <si>
    <t>ARN-341493</t>
  </si>
  <si>
    <t>MANALI VINAY KOLKUR</t>
  </si>
  <si>
    <t>EJZPK8324P</t>
  </si>
  <si>
    <t>17, Suchak Apartment, Murbad Road</t>
  </si>
  <si>
    <t>Kalyan west,Kalyan</t>
  </si>
  <si>
    <t>8108467892</t>
  </si>
  <si>
    <t>kolkurmanali@gmail.com</t>
  </si>
  <si>
    <t>THANEVASANT VIHAR</t>
  </si>
  <si>
    <t>092701003648</t>
  </si>
  <si>
    <t>ICIC0000927</t>
  </si>
  <si>
    <t>KALY0251</t>
  </si>
  <si>
    <t>1050175267</t>
  </si>
  <si>
    <t>Pradeep Kumar Kejriwal</t>
  </si>
  <si>
    <t>AEVPK1302C</t>
  </si>
  <si>
    <t>SO Lakhi Prasad Kejriwal yogendra mukharji lane</t>
  </si>
  <si>
    <t>choti saraiyaganj near north bihar chamber of</t>
  </si>
  <si>
    <t>commerce Muzaffarpur Yehiapur</t>
  </si>
  <si>
    <t>Yehiapur</t>
  </si>
  <si>
    <t>kkejriwal01@gmail.com</t>
  </si>
  <si>
    <t>+919835013551</t>
  </si>
  <si>
    <t>ARN-55702</t>
  </si>
  <si>
    <t>RAKESH KUMAR</t>
  </si>
  <si>
    <t>AXPPK2792M</t>
  </si>
  <si>
    <t>Vlll Po Dighra Rampur Sah</t>
  </si>
  <si>
    <t>Ps Sadar</t>
  </si>
  <si>
    <t>Distt Muzaffarpur</t>
  </si>
  <si>
    <t>+919431209069</t>
  </si>
  <si>
    <t>rakesh.madhumala@gmail.com</t>
  </si>
  <si>
    <t>MUZAFFARPUR MAIN</t>
  </si>
  <si>
    <t>300302010013697</t>
  </si>
  <si>
    <t>842026001</t>
  </si>
  <si>
    <t>UBIN0530034</t>
  </si>
  <si>
    <t>1050185799</t>
  </si>
  <si>
    <t>Mihir Sharma</t>
  </si>
  <si>
    <t>1208870030730533</t>
  </si>
  <si>
    <t>GWXPS5399F</t>
  </si>
  <si>
    <t>59 KAILASHPURI NEAR, JAGATPURA RLY</t>
  </si>
  <si>
    <t>STATION</t>
  </si>
  <si>
    <t>302017</t>
  </si>
  <si>
    <t>sharmamihir6@gmail.com</t>
  </si>
  <si>
    <t>+919461325348</t>
  </si>
  <si>
    <t>JAIPURJDA COLONY</t>
  </si>
  <si>
    <t>676901530525</t>
  </si>
  <si>
    <t>ICIC0006769</t>
  </si>
  <si>
    <t>1050218583</t>
  </si>
  <si>
    <t>Sathishkumar</t>
  </si>
  <si>
    <t>FWKPS1684H</t>
  </si>
  <si>
    <t>C O VEERAMUTHU NO 19 O BLOCK 2ND</t>
  </si>
  <si>
    <t>FLOOR DEMONDEE STREET SANTHOME</t>
  </si>
  <si>
    <t>MYLAPORE MYLAPORE CHENNAI TAMIL NADU</t>
  </si>
  <si>
    <t>600004</t>
  </si>
  <si>
    <t>sathishkumar223513@gmail.com</t>
  </si>
  <si>
    <t>+917358512223</t>
  </si>
  <si>
    <t>UTKARSH SMALL FINANCE BANK</t>
  </si>
  <si>
    <t>TEYNAMPET</t>
  </si>
  <si>
    <t>1680020000000047</t>
  </si>
  <si>
    <t>UTKS0001680</t>
  </si>
  <si>
    <t>1050191581</t>
  </si>
  <si>
    <t>Divay Kumar</t>
  </si>
  <si>
    <t>1203320452569366</t>
  </si>
  <si>
    <t>MRSPK2654M</t>
  </si>
  <si>
    <t>HOUSING BOARD HISAR HOUSE NO</t>
  </si>
  <si>
    <t>647 HISAR</t>
  </si>
  <si>
    <t>HISAR</t>
  </si>
  <si>
    <t>125001</t>
  </si>
  <si>
    <t>8168105339</t>
  </si>
  <si>
    <t>divay1garg@gmail.com</t>
  </si>
  <si>
    <t>+918168105339</t>
  </si>
  <si>
    <t>HISAR JINDAL CHOWK</t>
  </si>
  <si>
    <t>2401261756701371</t>
  </si>
  <si>
    <t>AUBL0002617</t>
  </si>
  <si>
    <t>1050192698</t>
  </si>
  <si>
    <t>Adarsh Tripati</t>
  </si>
  <si>
    <t>AWPPT2137E</t>
  </si>
  <si>
    <t>S O SARAD TRIPATHI 127 B MUKTA RAM BABU STREET</t>
  </si>
  <si>
    <t>JORASANKO BARABAZAR H O KOLKATA WEST BENGAL 700007</t>
  </si>
  <si>
    <t>700007</t>
  </si>
  <si>
    <t>adarshtripathi158@gmail.com</t>
  </si>
  <si>
    <t>+919804366037</t>
  </si>
  <si>
    <t>VIVEKANAND BRANCH</t>
  </si>
  <si>
    <t>00000020433991045</t>
  </si>
  <si>
    <t>SBIN0001651</t>
  </si>
  <si>
    <t>1050196802</t>
  </si>
  <si>
    <t>Sabir Hossain Molla</t>
  </si>
  <si>
    <t>1203320397866788</t>
  </si>
  <si>
    <t>BTTPM3632D</t>
  </si>
  <si>
    <t>SHIMULTALA BASANTI SOUTH 24</t>
  </si>
  <si>
    <t>PARGANAS WEST BENGAL</t>
  </si>
  <si>
    <t>SOUTH 24 PARGANAS</t>
  </si>
  <si>
    <t>743312</t>
  </si>
  <si>
    <t>9632838616</t>
  </si>
  <si>
    <t>sabirhossain3632d@gmail.com</t>
  </si>
  <si>
    <t>+919632838616</t>
  </si>
  <si>
    <t>COOKE TOWN</t>
  </si>
  <si>
    <t>00000043734129556</t>
  </si>
  <si>
    <t>SBIN0040190</t>
  </si>
  <si>
    <t>1050201728</t>
  </si>
  <si>
    <t>Shwetha G</t>
  </si>
  <si>
    <t>PUPPS4228N</t>
  </si>
  <si>
    <t>W/O.G.L.Suman.Ganadalu,Po.Lakya.</t>
  </si>
  <si>
    <t>Chikkamagaluru</t>
  </si>
  <si>
    <t>577168</t>
  </si>
  <si>
    <t>pupps4228n@gmail.com</t>
  </si>
  <si>
    <t>+918660569886</t>
  </si>
  <si>
    <t>ARN-241163</t>
  </si>
  <si>
    <t>DHANYOG</t>
  </si>
  <si>
    <t>BKSPS2593F</t>
  </si>
  <si>
    <t>Sunay 1938/1-5</t>
  </si>
  <si>
    <t>First Floor 15Th Cross</t>
  </si>
  <si>
    <t>Anjaneya Badavane</t>
  </si>
  <si>
    <t>Davangere</t>
  </si>
  <si>
    <t>+919483075018</t>
  </si>
  <si>
    <t>dhanyogday@gmail.com</t>
  </si>
  <si>
    <t>Karnataka Bank Ltd</t>
  </si>
  <si>
    <t>KUVEMPUNAGAR</t>
  </si>
  <si>
    <t>mysuru</t>
  </si>
  <si>
    <t>5042500120556001</t>
  </si>
  <si>
    <t>KARB0000504</t>
  </si>
  <si>
    <t>1050204249</t>
  </si>
  <si>
    <t>Mohan Kumar Vasantha Kumari Gopu Kumar</t>
  </si>
  <si>
    <t>1208870377831555</t>
  </si>
  <si>
    <t>BZZPG8842F</t>
  </si>
  <si>
    <t>S/O MOHAN KUMAR,2/152,VILAI</t>
  </si>
  <si>
    <t>VEEDU,BRAMMAPURAM,KALKULAM,KUMARACOIL,</t>
  </si>
  <si>
    <t>KANNIYAKUMARI,TAMIL NADU,629180</t>
  </si>
  <si>
    <t>KANNIYAKUMARI</t>
  </si>
  <si>
    <t>629180</t>
  </si>
  <si>
    <t>gopumohan94@gmail.com</t>
  </si>
  <si>
    <t>+919488392254</t>
  </si>
  <si>
    <t>KALKULAM</t>
  </si>
  <si>
    <t>00000020122260133</t>
  </si>
  <si>
    <t>SBIN0000999</t>
  </si>
  <si>
    <t>1050242696</t>
  </si>
  <si>
    <t>Rishav Kumar</t>
  </si>
  <si>
    <t>1208870098086557</t>
  </si>
  <si>
    <t>EELPK5846B</t>
  </si>
  <si>
    <t>S/O: RAMESH</t>
  </si>
  <si>
    <t>CHANDER,-,-,-,-,SAROR,JAMMU,JAMMU AND</t>
  </si>
  <si>
    <t>KASHMIR,181133</t>
  </si>
  <si>
    <t>181133</t>
  </si>
  <si>
    <t>rishav778087@gmail.com</t>
  </si>
  <si>
    <t>+917780876240</t>
  </si>
  <si>
    <t>BARIBRAHMANA</t>
  </si>
  <si>
    <t>SAMBA</t>
  </si>
  <si>
    <t>3465541790</t>
  </si>
  <si>
    <t>CBIN0284912</t>
  </si>
  <si>
    <t>1050243900</t>
  </si>
  <si>
    <t>Sayak Lahiri</t>
  </si>
  <si>
    <t>1208870273276050</t>
  </si>
  <si>
    <t>BQHPL3656B</t>
  </si>
  <si>
    <t>-,SHIBTALI,-,-,BALURGHAT,BALURGHAT,DAKS</t>
  </si>
  <si>
    <t>HIN DINAJPUR,WEST BENGAL,733101</t>
  </si>
  <si>
    <t>DAKSHIN DINAJPUR</t>
  </si>
  <si>
    <t>733101</t>
  </si>
  <si>
    <t>sayaklahiri26@gmail.com</t>
  </si>
  <si>
    <t>+918170875064</t>
  </si>
  <si>
    <t>BALURGHAT</t>
  </si>
  <si>
    <t>6071000100055434</t>
  </si>
  <si>
    <t>PUNB0607100</t>
  </si>
  <si>
    <t>1050214948</t>
  </si>
  <si>
    <t>Kshitij Awasthi</t>
  </si>
  <si>
    <t>1203320057473882</t>
  </si>
  <si>
    <t>DUOPA7815Q</t>
  </si>
  <si>
    <t>106 SANIGAWAN ROAD, KANPUR</t>
  </si>
  <si>
    <t>GAYATRI NAGAR, SAIYANGOJHA</t>
  </si>
  <si>
    <t>208021</t>
  </si>
  <si>
    <t>7275184616</t>
  </si>
  <si>
    <t>kshitijawasthi8055@gmail.com</t>
  </si>
  <si>
    <t>KANPUR</t>
  </si>
  <si>
    <t>39643667838</t>
  </si>
  <si>
    <t>SBIN0018570</t>
  </si>
  <si>
    <t>1050245118</t>
  </si>
  <si>
    <t>Kishan Agrawal</t>
  </si>
  <si>
    <t>1208870173236971</t>
  </si>
  <si>
    <t>CFJPA4254A</t>
  </si>
  <si>
    <t>S/O: GOPAL KRISHNA AGRAWAL,61/107/87</t>
  </si>
  <si>
    <t>AHIYAPUR,ALLAHABAD,ALLAHABAD</t>
  </si>
  <si>
    <t>**,ALLAHABAD,UTTAR PRADESH,211003</t>
  </si>
  <si>
    <t>211003</t>
  </si>
  <si>
    <t>kishanagrawal1108@gmail.com</t>
  </si>
  <si>
    <t>+917905159326</t>
  </si>
  <si>
    <t>MUTHIGANJ ALLAHABAD</t>
  </si>
  <si>
    <t>00000030662633266</t>
  </si>
  <si>
    <t>SBIN0002584</t>
  </si>
  <si>
    <t>1050225647</t>
  </si>
  <si>
    <t>Kajal Dinesh Chaudhary</t>
  </si>
  <si>
    <t>BCWPC8882P</t>
  </si>
  <si>
    <t>CO DINESH CHAUDHARY FLAT NO 801 8TH FLOOR PLOT</t>
  </si>
  <si>
    <t>72 A1 SANTOSH BUILDING DR M B RAUT MARG DADAR</t>
  </si>
  <si>
    <t>400028</t>
  </si>
  <si>
    <t>kajalpatel18995.kp@gmail.com</t>
  </si>
  <si>
    <t>+919930579822</t>
  </si>
  <si>
    <t>ARN-7182</t>
  </si>
  <si>
    <t>SHWETA ARUN KAMAT</t>
  </si>
  <si>
    <t>AAHPR0876L</t>
  </si>
  <si>
    <t>A-701 Anita Nagar</t>
  </si>
  <si>
    <t>Lokhandwala Complex</t>
  </si>
  <si>
    <t>Kandivali (East)</t>
  </si>
  <si>
    <t>+919892545678</t>
  </si>
  <si>
    <t>arunshweta@yahoo.com</t>
  </si>
  <si>
    <t>MUMBAILOKHANDWALA</t>
  </si>
  <si>
    <t>GREATER BOMBAY</t>
  </si>
  <si>
    <t>026301537238</t>
  </si>
  <si>
    <t>ICIC0000263</t>
  </si>
  <si>
    <t>1050226696</t>
  </si>
  <si>
    <t>Mansukhbhai Shambhubhai Koladiya</t>
  </si>
  <si>
    <t>1208870285039567</t>
  </si>
  <si>
    <t>AMEPK9691H</t>
  </si>
  <si>
    <t>A-6,RADHE ROW HOUSE,UTRAN POWER</t>
  </si>
  <si>
    <t>HOUSE,BEHIND SANTROSA</t>
  </si>
  <si>
    <t>RESIDENCY,CHORASI,CHORASI,UTRAN POWER</t>
  </si>
  <si>
    <t>394105</t>
  </si>
  <si>
    <t>mskoladiya@gmail.com</t>
  </si>
  <si>
    <t>+919913641248</t>
  </si>
  <si>
    <t>SURAT  RING ROAD</t>
  </si>
  <si>
    <t>0011781400</t>
  </si>
  <si>
    <t>KKBK0000876</t>
  </si>
  <si>
    <t>1050230526</t>
  </si>
  <si>
    <t>Subodh Kumar</t>
  </si>
  <si>
    <t>1208870055433192</t>
  </si>
  <si>
    <t>KUVPK5589M</t>
  </si>
  <si>
    <t>S/O KAILASH MAHTO,VILL CHARMORIYA PO</t>
  </si>
  <si>
    <t>SIYATAND PS</t>
  </si>
  <si>
    <t>JAMUA,JAMUA,GIRIDIH,JHARKHAND,815312</t>
  </si>
  <si>
    <t>GIRIDIH</t>
  </si>
  <si>
    <t>815312</t>
  </si>
  <si>
    <t>subodhkv9516@gmail.com</t>
  </si>
  <si>
    <t>+919576464916</t>
  </si>
  <si>
    <t>BENGABAD</t>
  </si>
  <si>
    <t>41119073673</t>
  </si>
  <si>
    <t>SBIN0016778</t>
  </si>
  <si>
    <t>1050247629</t>
  </si>
  <si>
    <t>Charu Gupta</t>
  </si>
  <si>
    <t>AAHPG8581D</t>
  </si>
  <si>
    <t>W/O MONISH GUPTA HNO 242</t>
  </si>
  <si>
    <t>BEHIND KISHORI RAM HOSPITAL</t>
  </si>
  <si>
    <t>NORTH ESTATE</t>
  </si>
  <si>
    <t>BHATINDA</t>
  </si>
  <si>
    <t>151001</t>
  </si>
  <si>
    <t>charu_mdrt@rediffmail.com</t>
  </si>
  <si>
    <t>+919872670312</t>
  </si>
  <si>
    <t>ARN-55736</t>
  </si>
  <si>
    <t>MONISH GUPTA</t>
  </si>
  <si>
    <t>ADAPG0981D</t>
  </si>
  <si>
    <t>242 North Estate</t>
  </si>
  <si>
    <t>Behind Kishori Ram Hospital</t>
  </si>
  <si>
    <t>BATHINDA</t>
  </si>
  <si>
    <t>+919356201660</t>
  </si>
  <si>
    <t>guptamonish@rediffmail.com</t>
  </si>
  <si>
    <t>BATHINDA PUNJAB</t>
  </si>
  <si>
    <t>242010100003643</t>
  </si>
  <si>
    <t>UTIB0000242</t>
  </si>
  <si>
    <t>1050231959</t>
  </si>
  <si>
    <t>Neha Mewar</t>
  </si>
  <si>
    <t>HAOPM6412F</t>
  </si>
  <si>
    <t>106D</t>
  </si>
  <si>
    <t>Aditya Birla Sun Life Balanced Advantage Fund - IDCW</t>
  </si>
  <si>
    <t>NEW D-BLOCK, SARASWATI VIHAR</t>
  </si>
  <si>
    <t>, AJABPUR KHURD</t>
  </si>
  <si>
    <t>DEHRADUN, UTTARAKHAND</t>
  </si>
  <si>
    <t>248121</t>
  </si>
  <si>
    <t>nehamewar24@gmail.com</t>
  </si>
  <si>
    <t>+917983840254</t>
  </si>
  <si>
    <t>ARN-114376</t>
  </si>
  <si>
    <t>VALUEPLUS TECHNOLOGIES PRIVATE LIMITED</t>
  </si>
  <si>
    <t>AAFCV5728A</t>
  </si>
  <si>
    <t>5th Floor,SKCL Center Square II,</t>
  </si>
  <si>
    <t>Unit No B19 Part, B20,B21,CIPET Road,</t>
  </si>
  <si>
    <t>Thiru Vi Ka Industrial Road,Guindy</t>
  </si>
  <si>
    <t>600032</t>
  </si>
  <si>
    <t>+918668171397</t>
  </si>
  <si>
    <t>mf_ops@assetplus.io</t>
  </si>
  <si>
    <t>AJABPUR KALAN</t>
  </si>
  <si>
    <t>58930100003894</t>
  </si>
  <si>
    <t>BARB0AJABPU</t>
  </si>
  <si>
    <t>1050236108</t>
  </si>
  <si>
    <t>Mani Shah</t>
  </si>
  <si>
    <t>1208160051389508</t>
  </si>
  <si>
    <t>FATCA not available for Investor/Guardian-NBCPS9610C</t>
  </si>
  <si>
    <t>NBCPS9610C</t>
  </si>
  <si>
    <t>S/O SHANKAR SHAH PLOT NO- 10,</t>
  </si>
  <si>
    <t>STREET NO- 9H NEW KUNDAN PURI</t>
  </si>
  <si>
    <t>141001</t>
  </si>
  <si>
    <t>manishah_42@icloud.com</t>
  </si>
  <si>
    <t>+919878018507</t>
  </si>
  <si>
    <t>LUDHIANA RAJ PURA ROAD DISTT</t>
  </si>
  <si>
    <t>2406000110044044</t>
  </si>
  <si>
    <t>PUNB0240600</t>
  </si>
  <si>
    <t>1050238450</t>
  </si>
  <si>
    <t>Santoshi Ramdavan Patwa</t>
  </si>
  <si>
    <t>ANEPP4063B</t>
  </si>
  <si>
    <t>B 308 3RD FLOOR C WING JANTA</t>
  </si>
  <si>
    <t>NAGAR CHS LAXMI BAGH SANT</t>
  </si>
  <si>
    <t>ROHIDAS MARG MUMBAI</t>
  </si>
  <si>
    <t>patwasantoshi3382@gmail.com</t>
  </si>
  <si>
    <t>+918879111462</t>
  </si>
  <si>
    <t>SIONMUMBAI</t>
  </si>
  <si>
    <t>04160100016959</t>
  </si>
  <si>
    <t>BARB0DBSION</t>
  </si>
  <si>
    <t>1050256950</t>
  </si>
  <si>
    <t>Sheetal Sharma</t>
  </si>
  <si>
    <t>PYOPS2228M</t>
  </si>
  <si>
    <t>C O KANHAIYA SHARMA 301 A JAI GANPATI APPARTMENT</t>
  </si>
  <si>
    <t>NEW BHUPALPURA GIRWA GIRWA UDAIPUR SHASTRI CIRCLE</t>
  </si>
  <si>
    <t>UDAIPUR RAJASTHAN 313001</t>
  </si>
  <si>
    <t>UDAIPUR</t>
  </si>
  <si>
    <t>313001</t>
  </si>
  <si>
    <t>sharmasheetal01761@gmail.com</t>
  </si>
  <si>
    <t>+919461955145</t>
  </si>
  <si>
    <t>UDAIPUR  CHETAK CIRLCE  RAJASTHAN</t>
  </si>
  <si>
    <t>50100543156232</t>
  </si>
  <si>
    <t>HDFC0000119</t>
  </si>
  <si>
    <t>1050257350</t>
  </si>
  <si>
    <t>Sarathbabu A</t>
  </si>
  <si>
    <t>MBKPS9231G</t>
  </si>
  <si>
    <t>C/O ARIPERUMAL, NO 46, VILANKURICHI ROAD,</t>
  </si>
  <si>
    <t>MASAKALIPALAYAM, UPPILIPALAYAM, COIMBATORE SOUTH,</t>
  </si>
  <si>
    <t>COIMBATORE SOUTH, COIMBATORE, TAMIL NADU, 641015, INDIA</t>
  </si>
  <si>
    <t>641015</t>
  </si>
  <si>
    <t>therapist1998to1998@gmail.com</t>
  </si>
  <si>
    <t>+919840179591</t>
  </si>
  <si>
    <t>VILANKURICHI COIMBATORE</t>
  </si>
  <si>
    <t>500101013512395</t>
  </si>
  <si>
    <t>CIUB0000053</t>
  </si>
  <si>
    <t>1050169942</t>
  </si>
  <si>
    <t>Rajshree</t>
  </si>
  <si>
    <t>1208870315718428</t>
  </si>
  <si>
    <t>DUKPR9934M</t>
  </si>
  <si>
    <t>D/O: RAJKUMAR,52,JATWARA,NEAR DASNA</t>
  </si>
  <si>
    <t>GATE,GHAZIABAD,GHAZIABAD,GHAZIABAD,GHA</t>
  </si>
  <si>
    <t>ZIABAD,UTTAR PRADESH,201001</t>
  </si>
  <si>
    <t>rajshree.singh.ios@gmail.com</t>
  </si>
  <si>
    <t>+918882247263</t>
  </si>
  <si>
    <t>GHAZIABAD MAIN</t>
  </si>
  <si>
    <t>00000038881517376</t>
  </si>
  <si>
    <t>SBIN0000642</t>
  </si>
  <si>
    <t>1050173509</t>
  </si>
  <si>
    <t>Jitendra Kumar Namdeo</t>
  </si>
  <si>
    <t>AJDPN7037J</t>
  </si>
  <si>
    <t>PLOT NO. 27 GVM RESIDENCY KAMLA NEHRU</t>
  </si>
  <si>
    <t>WARD NO.19</t>
  </si>
  <si>
    <t>ZERO DENGRE</t>
  </si>
  <si>
    <t>JABALPUR</t>
  </si>
  <si>
    <t>482002</t>
  </si>
  <si>
    <t>namdeo.jitendra@yahoo.com</t>
  </si>
  <si>
    <t>+919630062212</t>
  </si>
  <si>
    <t>UKHARI JABALPUR</t>
  </si>
  <si>
    <t>02241140009000</t>
  </si>
  <si>
    <t>HDFC0010044</t>
  </si>
  <si>
    <t>1050149444</t>
  </si>
  <si>
    <t>Vaishali Sanjay Chaudhari</t>
  </si>
  <si>
    <t>1208870435010103</t>
  </si>
  <si>
    <t>BESPC3109P</t>
  </si>
  <si>
    <t>W/O SANJAY BAJIRAO CHAUDHARI,,VARUL</t>
  </si>
  <si>
    <t>ROAD,EKVIRA</t>
  </si>
  <si>
    <t>COLONY,SHINDKHEDA,,SHINDKHEDA,,DHULE,M</t>
  </si>
  <si>
    <t>DHULE</t>
  </si>
  <si>
    <t>425406</t>
  </si>
  <si>
    <t>vaishalisc1974@gmail.com</t>
  </si>
  <si>
    <t>+919975295217</t>
  </si>
  <si>
    <t>SINDKHEDA</t>
  </si>
  <si>
    <t>00000020329133199</t>
  </si>
  <si>
    <t>SBIN0000291</t>
  </si>
  <si>
    <t>1050163825</t>
  </si>
  <si>
    <t>Pooja Bhardwaj</t>
  </si>
  <si>
    <t>1208870183298900</t>
  </si>
  <si>
    <t>EJAPB1053D</t>
  </si>
  <si>
    <t>W/O ASHWANI KUMAR,7,N/A,VILL PASOL P.O</t>
  </si>
  <si>
    <t>MATLA TEHSIL JHANDUTTA,MUSAHAN</t>
  </si>
  <si>
    <t>(142),BILASPUR,HIMACHAL PRADESH,174034</t>
  </si>
  <si>
    <t>BILASPUR</t>
  </si>
  <si>
    <t>174034</t>
  </si>
  <si>
    <t>poojabhardwaj7870@gmail.com</t>
  </si>
  <si>
    <t>+918219572077</t>
  </si>
  <si>
    <t>MEHRE</t>
  </si>
  <si>
    <t>2528001500174351</t>
  </si>
  <si>
    <t>PUNB0252800</t>
  </si>
  <si>
    <t>1050175042</t>
  </si>
  <si>
    <t>Achin Kumar Moitra</t>
  </si>
  <si>
    <t>AQLPM8922E</t>
  </si>
  <si>
    <t>14 C KHANPUR RD NAKTALA</t>
  </si>
  <si>
    <t>NAKTALA KOLKATA</t>
  </si>
  <si>
    <t>700047</t>
  </si>
  <si>
    <t>26224062</t>
  </si>
  <si>
    <t>achinkumarmoitra@gmail.com</t>
  </si>
  <si>
    <t>+919830180212</t>
  </si>
  <si>
    <t>BANSDRONI</t>
  </si>
  <si>
    <t>291104000020943</t>
  </si>
  <si>
    <t>700259014</t>
  </si>
  <si>
    <t>IBKL0000291</t>
  </si>
  <si>
    <t>1050159026</t>
  </si>
  <si>
    <t>Govind Prasad Kalwar</t>
  </si>
  <si>
    <t>IN30611466453141</t>
  </si>
  <si>
    <t>AERPK4274K</t>
  </si>
  <si>
    <t>A 189 RIDHI SIDHI NAGAR KUNADI BORKUI</t>
  </si>
  <si>
    <t>SIDHI NAGAR KUNADI</t>
  </si>
  <si>
    <t>BORKUI</t>
  </si>
  <si>
    <t>324008</t>
  </si>
  <si>
    <t>kalwargp@gmail.com</t>
  </si>
  <si>
    <t>+917874008602</t>
  </si>
  <si>
    <t>RIDDHI SIDDHI NAGAR</t>
  </si>
  <si>
    <t>10755484851</t>
  </si>
  <si>
    <t>SBIN0032082</t>
  </si>
  <si>
    <t>1050157532</t>
  </si>
  <si>
    <t>Ravindra G Shah</t>
  </si>
  <si>
    <t>ASBPS1335B</t>
  </si>
  <si>
    <t>J-12 SAYONA CITY PART-4</t>
  </si>
  <si>
    <t>R C TECH ROAD</t>
  </si>
  <si>
    <t>GHATLODIA</t>
  </si>
  <si>
    <t>380061</t>
  </si>
  <si>
    <t>9879562205</t>
  </si>
  <si>
    <t>ravindra_rajarshi@yahoo.com</t>
  </si>
  <si>
    <t>+919879562205</t>
  </si>
  <si>
    <t>ARN-82176</t>
  </si>
  <si>
    <t>NIRJA INVESTMENTS</t>
  </si>
  <si>
    <t>ACSPC4581A</t>
  </si>
  <si>
    <t>6/F F Shilalekh Complex</t>
  </si>
  <si>
    <t>Nr Kundalini Complex</t>
  </si>
  <si>
    <t>Nehru Park Vastrapur</t>
  </si>
  <si>
    <t>+918128322334</t>
  </si>
  <si>
    <t>nirjainvestments@gmail.com</t>
  </si>
  <si>
    <t>UNI.CAMPUS BRANCH</t>
  </si>
  <si>
    <t>35170100004814</t>
  </si>
  <si>
    <t>380012043</t>
  </si>
  <si>
    <t>BARB0UNIAHM</t>
  </si>
  <si>
    <t>1050153996</t>
  </si>
  <si>
    <t>Thandu Naresh</t>
  </si>
  <si>
    <t>1208870305367771</t>
  </si>
  <si>
    <t>AYFPN3304B</t>
  </si>
  <si>
    <t>S/O THANDU LINGAIAH,H NO 5-38,NAKIREKAL</t>
  </si>
  <si>
    <t>MANDAL,OPPOSITE GOVT HIGH</t>
  </si>
  <si>
    <t>SCHOOL,NAKREKAL,NALGONDA,ANDHRA</t>
  </si>
  <si>
    <t>NALGONDA</t>
  </si>
  <si>
    <t>508211</t>
  </si>
  <si>
    <t>nareshkumar6352@gmail.com</t>
  </si>
  <si>
    <t>+919640214122</t>
  </si>
  <si>
    <t>CHANDANAGAR</t>
  </si>
  <si>
    <t>919010012338913</t>
  </si>
  <si>
    <t>UTIB0000538</t>
  </si>
  <si>
    <t>1050180781</t>
  </si>
  <si>
    <t>Michael Baptist Dsouza</t>
  </si>
  <si>
    <t>ANJPD4974A</t>
  </si>
  <si>
    <t>02Z</t>
  </si>
  <si>
    <t>ABSL Birla Sun Life ELSS Tax Saver Fund (ELSS U/S 80C of IT ACT) - IDCW -Direct Plan</t>
  </si>
  <si>
    <t>Parmar Villa 2 Flat No 8</t>
  </si>
  <si>
    <t>S No 77/66</t>
  </si>
  <si>
    <t>411040</t>
  </si>
  <si>
    <t>mikecasy12@gmail.com</t>
  </si>
  <si>
    <t>+919049191424</t>
  </si>
  <si>
    <t>31499110389</t>
  </si>
  <si>
    <t>411002002</t>
  </si>
  <si>
    <t>SBIN0000454</t>
  </si>
  <si>
    <t>1050181264</t>
  </si>
  <si>
    <t>Mayuri Rahul Dashpute</t>
  </si>
  <si>
    <t>1203320291856603</t>
  </si>
  <si>
    <t>IIAPD3093Q</t>
  </si>
  <si>
    <t>CHINCHGAVHAN MALEGAON</t>
  </si>
  <si>
    <t>CHINCHAGAVHAN NASHIK</t>
  </si>
  <si>
    <t>MALEGAON</t>
  </si>
  <si>
    <t>423105</t>
  </si>
  <si>
    <t>8308440853</t>
  </si>
  <si>
    <t>mayureedaspute6@gmail.com</t>
  </si>
  <si>
    <t>+918308440853</t>
  </si>
  <si>
    <t>KALWADI</t>
  </si>
  <si>
    <t>60330598416</t>
  </si>
  <si>
    <t>MAHB0000669</t>
  </si>
  <si>
    <t>1050142980</t>
  </si>
  <si>
    <t>BIJOYA MUKHERJEE</t>
  </si>
  <si>
    <t>AXRPM5709L</t>
  </si>
  <si>
    <t>HOUSE NO-725,KALAPAHAR,CYCLE FACTORY,LOKHRA ROAD,GA</t>
  </si>
  <si>
    <t>NESH PATHAR,BINOVANAGAR,GMC,BINOVANAGAR,KAMRUP,ASSA</t>
  </si>
  <si>
    <t>M,781018</t>
  </si>
  <si>
    <t>781018</t>
  </si>
  <si>
    <t>bijoyamukherjee31@gmail.com</t>
  </si>
  <si>
    <t>+919957410340</t>
  </si>
  <si>
    <t>ARN-270149</t>
  </si>
  <si>
    <t>ADITYA BIRLA CAPITAL DIGITAL LIMITED</t>
  </si>
  <si>
    <t>AAYCA3911B</t>
  </si>
  <si>
    <t>One Indiabulls Centre Tower 1 18Th Flr J</t>
  </si>
  <si>
    <t>Mills Compound 841 Senapati Bapat Marg</t>
  </si>
  <si>
    <t>Elphinstone Rd</t>
  </si>
  <si>
    <t>+919820407566</t>
  </si>
  <si>
    <t>kenric.dsouza@adityabirlacapital.com</t>
  </si>
  <si>
    <t>VINOBANAGAR</t>
  </si>
  <si>
    <t>20172472820</t>
  </si>
  <si>
    <t>SBIN0009150</t>
  </si>
  <si>
    <t>361</t>
  </si>
  <si>
    <t>Guwahati</t>
  </si>
  <si>
    <t>1050217907</t>
  </si>
  <si>
    <t>Trupti Dinesh Nile</t>
  </si>
  <si>
    <t>CGPPP4742P</t>
  </si>
  <si>
    <t>Nagale Kaman Thane</t>
  </si>
  <si>
    <t>401208</t>
  </si>
  <si>
    <t>niletrupti638@gmail.com</t>
  </si>
  <si>
    <t>+918291039592</t>
  </si>
  <si>
    <t>PARNAKA, VASAI,WEST</t>
  </si>
  <si>
    <t>VASAI</t>
  </si>
  <si>
    <t>924010039814122</t>
  </si>
  <si>
    <t>400211126</t>
  </si>
  <si>
    <t>UTIB0001929</t>
  </si>
  <si>
    <t>1050179751</t>
  </si>
  <si>
    <t>Deepak Kumar Saw</t>
  </si>
  <si>
    <t>EMEPS7318F</t>
  </si>
  <si>
    <t>GRAM-PAKRAR PO-SULTANA HAZARIBAG</t>
  </si>
  <si>
    <t>HAZARIBAGH</t>
  </si>
  <si>
    <t>825301</t>
  </si>
  <si>
    <t>dsaw0372@gmail.com</t>
  </si>
  <si>
    <t>+919934584007</t>
  </si>
  <si>
    <t>ARN-344409</t>
  </si>
  <si>
    <t>CHANDAN KUMAR PANDEY</t>
  </si>
  <si>
    <t>ISEPP4309H</t>
  </si>
  <si>
    <t>AT:GOVINDPUR PO:LUPUNG PS:KATKAMSANDI</t>
  </si>
  <si>
    <t>Hazaribagh</t>
  </si>
  <si>
    <t>8709880270</t>
  </si>
  <si>
    <t>santankumarpandey4828@gmail.com</t>
  </si>
  <si>
    <t>BARI BAZAR HAZARIBAGH</t>
  </si>
  <si>
    <t>6635000100023792</t>
  </si>
  <si>
    <t>PUNB0663500</t>
  </si>
  <si>
    <t>HAZ6546</t>
  </si>
  <si>
    <t>1050187118</t>
  </si>
  <si>
    <t>Soham Mondal</t>
  </si>
  <si>
    <t>1208160020016128</t>
  </si>
  <si>
    <t>CUAPM9995G</t>
  </si>
  <si>
    <t>16 D D HAR LANE RISHRA</t>
  </si>
  <si>
    <t>SERAMPUR UTTARPARA</t>
  </si>
  <si>
    <t>712248</t>
  </si>
  <si>
    <t>mondalsoham9@gmail.com</t>
  </si>
  <si>
    <t>+919674321557</t>
  </si>
  <si>
    <t>50100210153610</t>
  </si>
  <si>
    <t>1050189083</t>
  </si>
  <si>
    <t>Mathew Kutty C</t>
  </si>
  <si>
    <t>AHTPC3929J</t>
  </si>
  <si>
    <t>KALLUVATHUKKAL</t>
  </si>
  <si>
    <t>VILLAGE MARAKKULAM</t>
  </si>
  <si>
    <t>KOLLAM</t>
  </si>
  <si>
    <t>691579</t>
  </si>
  <si>
    <t>mathewkuttyc@gmail.com</t>
  </si>
  <si>
    <t>+918427446303</t>
  </si>
  <si>
    <t>ARN-283549</t>
  </si>
  <si>
    <t>ALEXIOS KURIAN</t>
  </si>
  <si>
    <t>APXPK7487F</t>
  </si>
  <si>
    <t>5/2311,East Of Malabar Christian</t>
  </si>
  <si>
    <t>CollegeKozhikode</t>
  </si>
  <si>
    <t>Kozhikode</t>
  </si>
  <si>
    <t>673001</t>
  </si>
  <si>
    <t>9895186935</t>
  </si>
  <si>
    <t>alexkurianios@gmail.com</t>
  </si>
  <si>
    <t>CHATHANOOR</t>
  </si>
  <si>
    <t>35386188958</t>
  </si>
  <si>
    <t>SBIN0070067</t>
  </si>
  <si>
    <t>1050189635</t>
  </si>
  <si>
    <t>Sahil Mittal</t>
  </si>
  <si>
    <t>EHWPM6357M</t>
  </si>
  <si>
    <t>221G</t>
  </si>
  <si>
    <t>Aditya Birla Sun Life MNC Fund - Growth-Regular Plan</t>
  </si>
  <si>
    <t>4586 5 UPKAR NAGAR</t>
  </si>
  <si>
    <t>FACTORY AREA PATIALA PATIALA PUNJAB</t>
  </si>
  <si>
    <t>PATIALA</t>
  </si>
  <si>
    <t>147001</t>
  </si>
  <si>
    <t>sahil.mittal319@gmail.com</t>
  </si>
  <si>
    <t>+917973703540</t>
  </si>
  <si>
    <t>ARN-89611</t>
  </si>
  <si>
    <t>SMARTVALUE EQUISEARCH PVT LTD</t>
  </si>
  <si>
    <t>AAICS6883L</t>
  </si>
  <si>
    <t>554/555, Capitale Towers</t>
  </si>
  <si>
    <t>Level 6, Anna Salai</t>
  </si>
  <si>
    <t>Teynampet</t>
  </si>
  <si>
    <t>600018</t>
  </si>
  <si>
    <t>+919841696152</t>
  </si>
  <si>
    <t>smartvalueapp@gmail.com</t>
  </si>
  <si>
    <t>00000065216491467</t>
  </si>
  <si>
    <t>147002002</t>
  </si>
  <si>
    <t>SBIN0001637</t>
  </si>
  <si>
    <t>1050195013</t>
  </si>
  <si>
    <t>Pratibha Bhasin</t>
  </si>
  <si>
    <t>BLQPB1128L</t>
  </si>
  <si>
    <t>157GZ</t>
  </si>
  <si>
    <t>Aditya Birla Sun Life Overnight Fund - Growth-Direct Plan</t>
  </si>
  <si>
    <t>W/O KAVAL BHASIN,WARD-41,SHINDE CASTLE (FLAT-202 )</t>
  </si>
  <si>
    <t>JIWAJI GANJ,GWALIOR,LASHKAR,GIR</t>
  </si>
  <si>
    <t>D,GIRD,LASHKAR,GWALIOR,M ADHYA PRADESH</t>
  </si>
  <si>
    <t>GWALIOR</t>
  </si>
  <si>
    <t>474001</t>
  </si>
  <si>
    <t>romibhasin1854@gmail.com</t>
  </si>
  <si>
    <t>+919131418082</t>
  </si>
  <si>
    <t>BANSI PLAZA</t>
  </si>
  <si>
    <t>50100426880390</t>
  </si>
  <si>
    <t>HDFC0001468</t>
  </si>
  <si>
    <t>1050191765</t>
  </si>
  <si>
    <t>Varoo</t>
  </si>
  <si>
    <t>IN30023981899651</t>
  </si>
  <si>
    <t>AUAPV8792N</t>
  </si>
  <si>
    <t>S/O INASU JACOB,JACOB VILLA,KUNNATHUMKKA</t>
  </si>
  <si>
    <t>RA,THRISSUR,.THRISSUR</t>
  </si>
  <si>
    <t>680655</t>
  </si>
  <si>
    <t>7406339555</t>
  </si>
  <si>
    <t>varooinasu85@gmail.com</t>
  </si>
  <si>
    <t>+917406339555</t>
  </si>
  <si>
    <t>ARN-0098</t>
  </si>
  <si>
    <t>Geojit Financial Services Ltd</t>
  </si>
  <si>
    <t>AABCG1935E</t>
  </si>
  <si>
    <t>34/659-P Civil Lines</t>
  </si>
  <si>
    <t>Padivattom</t>
  </si>
  <si>
    <t>KOCHI</t>
  </si>
  <si>
    <t>682024</t>
  </si>
  <si>
    <t>9995800596</t>
  </si>
  <si>
    <t>wealthcentreho@geojit.com</t>
  </si>
  <si>
    <t>EAST FORT THRISSUR</t>
  </si>
  <si>
    <t>914010023303572</t>
  </si>
  <si>
    <t>UTIB0001800</t>
  </si>
  <si>
    <t>1050196634</t>
  </si>
  <si>
    <t>Pardeep Singh</t>
  </si>
  <si>
    <t>1208870037971422</t>
  </si>
  <si>
    <t>ANQPR3582F</t>
  </si>
  <si>
    <t>S/O: DHARAM SINGH RAWAT,H NO-183 B</t>
  </si>
  <si>
    <t>,RD-BLOCK,DHARAMPURA</t>
  </si>
  <si>
    <t>EXTN,NAJAFGARH,NAJAFGARH,DELHI,110043</t>
  </si>
  <si>
    <t>NAJAFGARH</t>
  </si>
  <si>
    <t>pardeepsinghrawat18@gmail.com</t>
  </si>
  <si>
    <t>+919968830470</t>
  </si>
  <si>
    <t>BSF CHHAWLA</t>
  </si>
  <si>
    <t>00000011843002995</t>
  </si>
  <si>
    <t>SBIN0010649</t>
  </si>
  <si>
    <t>1050219194</t>
  </si>
  <si>
    <t>Nisha Mondal</t>
  </si>
  <si>
    <t>1208870329035716</t>
  </si>
  <si>
    <t>EVBPM5561C</t>
  </si>
  <si>
    <t>C/O: BILTU MONDAL,MPT -489(GF) P AND T</t>
  </si>
  <si>
    <t>COLONY,SAROJINI NAGAR,OPPOSITE</t>
  </si>
  <si>
    <t>SAROJINI NAGAR BUS DEPOT,SAROJINI</t>
  </si>
  <si>
    <t>110023</t>
  </si>
  <si>
    <t>nishamondal1511@gmail.com</t>
  </si>
  <si>
    <t>+918178076306</t>
  </si>
  <si>
    <t>INSTITUTIONAL AREA LODHI ROAD N  DELHI</t>
  </si>
  <si>
    <t>00000035742181357</t>
  </si>
  <si>
    <t>SBIN0060321</t>
  </si>
  <si>
    <t>1050219195</t>
  </si>
  <si>
    <t>Bondala Gnaneswararao</t>
  </si>
  <si>
    <t>1208870292249231</t>
  </si>
  <si>
    <t>DHOPG4900H</t>
  </si>
  <si>
    <t>S/O BONDALA</t>
  </si>
  <si>
    <t>VENUGOPALRAO,1-5-129,AKKIREDDYPALEM,AK</t>
  </si>
  <si>
    <t>KIREDDYPALEM,NEAR RAMALAYAMA</t>
  </si>
  <si>
    <t>530012</t>
  </si>
  <si>
    <t>gnaneshbondala172@gmail.com</t>
  </si>
  <si>
    <t>+917036383505</t>
  </si>
  <si>
    <t>CHILAMATHUR</t>
  </si>
  <si>
    <t>923010000029037</t>
  </si>
  <si>
    <t>UTIB0005062</t>
  </si>
  <si>
    <t>1050207945</t>
  </si>
  <si>
    <t>Sunil Kaluram Hojage</t>
  </si>
  <si>
    <t>1208870007851400</t>
  </si>
  <si>
    <t>AEJPH4537A</t>
  </si>
  <si>
    <t>AT M S E B, SUB DIV AVADAR, AVADAR</t>
  </si>
  <si>
    <t>402110</t>
  </si>
  <si>
    <t>sunilhojage5@gmail.com</t>
  </si>
  <si>
    <t>+918805305406</t>
  </si>
  <si>
    <t>SHRIWANDHAN</t>
  </si>
  <si>
    <t>SHRIVARDHAN</t>
  </si>
  <si>
    <t>32284079365</t>
  </si>
  <si>
    <t>SBIN0001049</t>
  </si>
  <si>
    <t>1050210046</t>
  </si>
  <si>
    <t>Ishwar Mal Agarwal</t>
  </si>
  <si>
    <t>ACEPA3616Q</t>
  </si>
  <si>
    <t>30 VIJAY NAGAR NEAR</t>
  </si>
  <si>
    <t>KRASHI UPAJ MANDI</t>
  </si>
  <si>
    <t>rckgarg1994@gmail.com</t>
  </si>
  <si>
    <t>+919461413400</t>
  </si>
  <si>
    <t>ARN-325519</t>
  </si>
  <si>
    <t>Sushila Devi Agarwal</t>
  </si>
  <si>
    <t>ABEPA9799F</t>
  </si>
  <si>
    <t>275, new adarsh colony ke samne</t>
  </si>
  <si>
    <t>daudpur,near guru nanak colony,Alwar</t>
  </si>
  <si>
    <t>Alwar</t>
  </si>
  <si>
    <t>7014074832</t>
  </si>
  <si>
    <t>manishkagarwal1975@gmail.com</t>
  </si>
  <si>
    <t>Manu Marg</t>
  </si>
  <si>
    <t>0013000300159954</t>
  </si>
  <si>
    <t>301024002</t>
  </si>
  <si>
    <t>PUNB0001300</t>
  </si>
  <si>
    <t>ALW144</t>
  </si>
  <si>
    <t>1050213997</t>
  </si>
  <si>
    <t>Roby Thomas Stephen</t>
  </si>
  <si>
    <t>AASPS0729A</t>
  </si>
  <si>
    <t>C 1 1044 Sobha Carnation</t>
  </si>
  <si>
    <t>Opp Sai Service Centre</t>
  </si>
  <si>
    <t>Kondhwa Bk Pune</t>
  </si>
  <si>
    <t>Maharashtra</t>
  </si>
  <si>
    <t>411048</t>
  </si>
  <si>
    <t>rtstephen@yahoo.com</t>
  </si>
  <si>
    <t>9655556164</t>
  </si>
  <si>
    <t>RANNI</t>
  </si>
  <si>
    <t>0322050000010556</t>
  </si>
  <si>
    <t>SIBL0000322</t>
  </si>
  <si>
    <t>TVL469</t>
  </si>
  <si>
    <t>Tiruvalla</t>
  </si>
  <si>
    <t>1050222553</t>
  </si>
  <si>
    <t>Anjali Mangesh Maske</t>
  </si>
  <si>
    <t>FNVPM8932E</t>
  </si>
  <si>
    <t>H.NO-2 BUILDING NO-2 LABOUR COLONY SHIVAJINAGAR NANDED</t>
  </si>
  <si>
    <t>SHIVAJINAGAR</t>
  </si>
  <si>
    <t>431602</t>
  </si>
  <si>
    <t>anjalimaske43@gmail.com</t>
  </si>
  <si>
    <t>+919028108910</t>
  </si>
  <si>
    <t>NARIMAN POINT MUMBAI MAHARASHTRA BRANCH</t>
  </si>
  <si>
    <t>9948856465</t>
  </si>
  <si>
    <t>KKBK0000958</t>
  </si>
  <si>
    <t>1050216690</t>
  </si>
  <si>
    <t>Sachin Kumar</t>
  </si>
  <si>
    <t>HPJPK3181R</t>
  </si>
  <si>
    <t>S/O ANIL KUMAR,S-605 B,NEHRU ENCLAVE,SCHOOL</t>
  </si>
  <si>
    <t>BLOCK,GOVERMENT SCHOOL,SHAKARPUR,SHAKARPUR,EAST</t>
  </si>
  <si>
    <t>sachinraj9272@gmail.com</t>
  </si>
  <si>
    <t>+918076376617</t>
  </si>
  <si>
    <t>PREET VIHAR NEW DELHI</t>
  </si>
  <si>
    <t>6145725822</t>
  </si>
  <si>
    <t>KKBK0004622</t>
  </si>
  <si>
    <t>1050223159</t>
  </si>
  <si>
    <t>Hrishit Raj</t>
  </si>
  <si>
    <t>DANPR7446K</t>
  </si>
  <si>
    <t>S/O PUSP RAJ,548 C 057,CHANDRODAYA NAGAR</t>
  </si>
  <si>
    <t>DEVPUR,LUCKNOW,LUCKNOW,R AJAJIPURAM,LUCKNOW,UTTAR</t>
  </si>
  <si>
    <t>226017</t>
  </si>
  <si>
    <t>hrishitrajsingh@gmail.com</t>
  </si>
  <si>
    <t>+917388399100</t>
  </si>
  <si>
    <t>1283505219</t>
  </si>
  <si>
    <t>1050245080</t>
  </si>
  <si>
    <t>Vivan Goyal</t>
  </si>
  <si>
    <t>1208160188463198</t>
  </si>
  <si>
    <t>EQMPG9534F</t>
  </si>
  <si>
    <t>INU GARG</t>
  </si>
  <si>
    <t>BODPG6453D</t>
  </si>
  <si>
    <t>BEHIND GURUDWARA GOVIND NAGAR KOTDWARA K</t>
  </si>
  <si>
    <t>OTDWARA KOTDWARA</t>
  </si>
  <si>
    <t>PAURI GARHWAL</t>
  </si>
  <si>
    <t>246149</t>
  </si>
  <si>
    <t>inugarg75@gmail.com</t>
  </si>
  <si>
    <t>+918130719007</t>
  </si>
  <si>
    <t>NOIDA SECTOR ONE HUNDRED THIRTY SEVEN BR</t>
  </si>
  <si>
    <t>10165453448</t>
  </si>
  <si>
    <t>IDFB0020141</t>
  </si>
  <si>
    <t>1050192127</t>
  </si>
  <si>
    <t>Divya Sharma</t>
  </si>
  <si>
    <t>GPQPS4512Q</t>
  </si>
  <si>
    <t>C/O Ishan Agni Sandal Vpo Talwara</t>
  </si>
  <si>
    <t>Nangal Rupnagar</t>
  </si>
  <si>
    <t>Nangal</t>
  </si>
  <si>
    <t>140124</t>
  </si>
  <si>
    <t>agnisandal.ishan@gmail.com</t>
  </si>
  <si>
    <t>+918219449902</t>
  </si>
  <si>
    <t>ARN-91034</t>
  </si>
  <si>
    <t>LEARNNGROW DISTRIBUTORS PRIVATE LIMITED</t>
  </si>
  <si>
    <t>AACCF2076Q</t>
  </si>
  <si>
    <t>Plot No 129/1</t>
  </si>
  <si>
    <t>Industrial Area Phase 1</t>
  </si>
  <si>
    <t>Chandigarh</t>
  </si>
  <si>
    <t>160002</t>
  </si>
  <si>
    <t>9872649999</t>
  </si>
  <si>
    <t>simplifysors@gmail.com</t>
  </si>
  <si>
    <t>NANGAL PUNJAB</t>
  </si>
  <si>
    <t>NANGAL</t>
  </si>
  <si>
    <t>035453100006911</t>
  </si>
  <si>
    <t>YESB0000354</t>
  </si>
  <si>
    <t>1050146046</t>
  </si>
  <si>
    <t>Arvindbhai Muljibhai Narigara</t>
  </si>
  <si>
    <t>AKMPN2625E</t>
  </si>
  <si>
    <t>110 akhand anand soc dabholi road</t>
  </si>
  <si>
    <t>Surat Surat City Gujarat 395004</t>
  </si>
  <si>
    <t>395004</t>
  </si>
  <si>
    <t>anarigram@gmail.com</t>
  </si>
  <si>
    <t>+919624751731</t>
  </si>
  <si>
    <t>KATARGAM</t>
  </si>
  <si>
    <t>270510110011660</t>
  </si>
  <si>
    <t>BKID0002919</t>
  </si>
  <si>
    <t>1050228249</t>
  </si>
  <si>
    <t>Johny Anand</t>
  </si>
  <si>
    <t>AKEPA2216J</t>
  </si>
  <si>
    <t>C O KAMLESH CHANDER ANAND N 43 4TH FLOOR INDIA</t>
  </si>
  <si>
    <t>BULLS CENTRAL PARK DAULTABAD 53 GURGAON HARYANA 122006</t>
  </si>
  <si>
    <t>122006</t>
  </si>
  <si>
    <t>johnyanand@yahoo.com</t>
  </si>
  <si>
    <t>+919999106142</t>
  </si>
  <si>
    <t>ARN-106581</t>
  </si>
  <si>
    <t>Eklabya Kumar Singh</t>
  </si>
  <si>
    <t>BKZPS8336M</t>
  </si>
  <si>
    <t>House No 291 Near Hudda</t>
  </si>
  <si>
    <t>Market Sector 45 NHPC Colony</t>
  </si>
  <si>
    <t>121010</t>
  </si>
  <si>
    <t>+919716115051</t>
  </si>
  <si>
    <t>eklabya310@gmail.com</t>
  </si>
  <si>
    <t>DWARKA</t>
  </si>
  <si>
    <t>67093032118</t>
  </si>
  <si>
    <t>110002821</t>
  </si>
  <si>
    <t>SBIN0070757</t>
  </si>
  <si>
    <t>1050229846</t>
  </si>
  <si>
    <t>Sima Umathay</t>
  </si>
  <si>
    <t>36</t>
  </si>
  <si>
    <t>Above 1 Crore</t>
  </si>
  <si>
    <t>ABTPU9222A</t>
  </si>
  <si>
    <t>4993 BEL ESTOST</t>
  </si>
  <si>
    <t>DR SAN JOSE</t>
  </si>
  <si>
    <t>CALIFORNIA, CA</t>
  </si>
  <si>
    <t>95124</t>
  </si>
  <si>
    <t>simaumathay@yahoo.com</t>
  </si>
  <si>
    <t>+14084807424</t>
  </si>
  <si>
    <t>50100831371746</t>
  </si>
  <si>
    <t>1050232999</t>
  </si>
  <si>
    <t>Savitri Ghanshyam Gurwani</t>
  </si>
  <si>
    <t>AXMPG3409L</t>
  </si>
  <si>
    <t>SAVITRI GHANSHYAM GURWANI</t>
  </si>
  <si>
    <t>W/O GHANSHYAM GURWNI</t>
  </si>
  <si>
    <t>BLOCK NO 1 K1 ROOM 2 SAKRI ROAD KUMAR NA</t>
  </si>
  <si>
    <t>424002</t>
  </si>
  <si>
    <t>savigurwani@gmail.com</t>
  </si>
  <si>
    <t>+919404091923</t>
  </si>
  <si>
    <t>ARN-0159</t>
  </si>
  <si>
    <t>Punamchand Dagdulal Kawad</t>
  </si>
  <si>
    <t>AARPK6268P</t>
  </si>
  <si>
    <t>1666-A  JAI JAWAN CHAUK</t>
  </si>
  <si>
    <t>LANE NO-5</t>
  </si>
  <si>
    <t>NEAR SATISH TAILOR</t>
  </si>
  <si>
    <t>Dhule</t>
  </si>
  <si>
    <t>424001</t>
  </si>
  <si>
    <t>+919423192423</t>
  </si>
  <si>
    <t>pkawad@gmail.com</t>
  </si>
  <si>
    <t>KUMAR NAGAR DHULE</t>
  </si>
  <si>
    <t>40294286788</t>
  </si>
  <si>
    <t>SBIN0061455</t>
  </si>
  <si>
    <t>1050234171</t>
  </si>
  <si>
    <t>Manikanta</t>
  </si>
  <si>
    <t>1208870060243198</t>
  </si>
  <si>
    <t>EDQPM2089N</t>
  </si>
  <si>
    <t>S/O VEERESH YADDALADODDI, UPPAR WADI</t>
  </si>
  <si>
    <t>WARD NO 5,, SINDHNUR, SINDHANUR,</t>
  </si>
  <si>
    <t>RAICHUR, KARNATAKA 584128, SINDHANUR</t>
  </si>
  <si>
    <t>SINDHANUR</t>
  </si>
  <si>
    <t>584128</t>
  </si>
  <si>
    <t>manikantam570@gmail.com</t>
  </si>
  <si>
    <t>+918217048229</t>
  </si>
  <si>
    <t>NANDINAGAR BIDAR</t>
  </si>
  <si>
    <t>BIDAR</t>
  </si>
  <si>
    <t>5268101003607</t>
  </si>
  <si>
    <t>CNRB0003158</t>
  </si>
  <si>
    <t>1050250647</t>
  </si>
  <si>
    <t>Gurpinder Singh</t>
  </si>
  <si>
    <t>1203320455450882</t>
  </si>
  <si>
    <t>NWIPS1099N</t>
  </si>
  <si>
    <t>PIND PHULEWALA RUPANA</t>
  </si>
  <si>
    <t>GIDDARBAHA</t>
  </si>
  <si>
    <t>MUKTSAR</t>
  </si>
  <si>
    <t>152032</t>
  </si>
  <si>
    <t>7973117702</t>
  </si>
  <si>
    <t>gurpinder96466@gmail.com</t>
  </si>
  <si>
    <t>+917973117702</t>
  </si>
  <si>
    <t>50100508944803</t>
  </si>
  <si>
    <t>HDFC0000431</t>
  </si>
  <si>
    <t>1050253849</t>
  </si>
  <si>
    <t>Randhir Narayan</t>
  </si>
  <si>
    <t>1208160037374543</t>
  </si>
  <si>
    <t>ADFPN7076B</t>
  </si>
  <si>
    <t>VILLA #146 CONFIDENT BELLATRI</t>
  </si>
  <si>
    <t>BILLAPURA CROSS SARJAPUR ATTIB</t>
  </si>
  <si>
    <t>562125</t>
  </si>
  <si>
    <t>rn4665@gmail.com</t>
  </si>
  <si>
    <t>+918971123232</t>
  </si>
  <si>
    <t>COMMUNITY CENTRE</t>
  </si>
  <si>
    <t>004601039651</t>
  </si>
  <si>
    <t>ICIC0000046</t>
  </si>
  <si>
    <t>1050254743</t>
  </si>
  <si>
    <t>S N Chandrakala</t>
  </si>
  <si>
    <t>1203320418236466</t>
  </si>
  <si>
    <t>AEEPC9392K</t>
  </si>
  <si>
    <t>301 KOMARLA BRIGADE VISTA</t>
  </si>
  <si>
    <t>GOWDANA PALYA MAIN ROAD</t>
  </si>
  <si>
    <t>CHIKKALSANDRA SUBRAMANYAPURA</t>
  </si>
  <si>
    <t>9731523638</t>
  </si>
  <si>
    <t>chandrakalasn0@gmail.com</t>
  </si>
  <si>
    <t>+919731523638</t>
  </si>
  <si>
    <t>VASANTHNAGAR</t>
  </si>
  <si>
    <t>50100086283352</t>
  </si>
  <si>
    <t>HDFC0003881</t>
  </si>
  <si>
    <t>1050142071</t>
  </si>
  <si>
    <t>AASHMI H</t>
  </si>
  <si>
    <t>BZVPH6167C</t>
  </si>
  <si>
    <t>Christ King Public School 4th Cross</t>
  </si>
  <si>
    <t>Subbaiahnapalya Bangalore North</t>
  </si>
  <si>
    <t>560033</t>
  </si>
  <si>
    <t>aashmiaas8@gmail.com</t>
  </si>
  <si>
    <t>+919164164724</t>
  </si>
  <si>
    <t>BANASWADI</t>
  </si>
  <si>
    <t>5881001500001067</t>
  </si>
  <si>
    <t>560024042</t>
  </si>
  <si>
    <t>PUNB0588100</t>
  </si>
  <si>
    <t>C2</t>
  </si>
  <si>
    <t>Coimbatore</t>
  </si>
  <si>
    <t>1050141824</t>
  </si>
  <si>
    <t>Anamika</t>
  </si>
  <si>
    <t>AUTPA9028P</t>
  </si>
  <si>
    <t>Arun Kumar Srivastava</t>
  </si>
  <si>
    <t>ATCPS6043A</t>
  </si>
  <si>
    <t>W/O ARUN KUMAR SRIVASTAVA</t>
  </si>
  <si>
    <t>448/119/41-D,NEW NAGARIA</t>
  </si>
  <si>
    <t>NEAR CHOTE SAHAB KI MAZAR,THAKURGANJ</t>
  </si>
  <si>
    <t>226003</t>
  </si>
  <si>
    <t>sunlane1976@gmail.com</t>
  </si>
  <si>
    <t>+919335539425</t>
  </si>
  <si>
    <t>ARN-89193</t>
  </si>
  <si>
    <t>ARUN KUMAR SRIVASTAVA</t>
  </si>
  <si>
    <t>448/119/41 - D</t>
  </si>
  <si>
    <t>New Nagaria Thakurganj</t>
  </si>
  <si>
    <t>NJ</t>
  </si>
  <si>
    <t>+919415469476</t>
  </si>
  <si>
    <t>srishreshthasrivastava@gmail.com</t>
  </si>
  <si>
    <t>VIKRAMADITYA NAGAR, LUCKNOW</t>
  </si>
  <si>
    <t>65290004622</t>
  </si>
  <si>
    <t>226002037</t>
  </si>
  <si>
    <t>SBIN0009021</t>
  </si>
  <si>
    <t>1050168512</t>
  </si>
  <si>
    <t>Krishna Maheshbhai Nadiyapara</t>
  </si>
  <si>
    <t>1203320308013739</t>
  </si>
  <si>
    <t>DKTPN0173B</t>
  </si>
  <si>
    <t>SHREE NATHAJI KRUPA SHASTRI</t>
  </si>
  <si>
    <t>NAGAR STREET NO 17 GANDHIGRAM</t>
  </si>
  <si>
    <t>RAJKOT RAJKOT GUJARAT</t>
  </si>
  <si>
    <t>360007</t>
  </si>
  <si>
    <t>6354394170</t>
  </si>
  <si>
    <t>knadiyapara03@gmail.com</t>
  </si>
  <si>
    <t>+916354394170</t>
  </si>
  <si>
    <t>STERLING HOSPITAL AREA RAJKOT</t>
  </si>
  <si>
    <t>00000043089289410</t>
  </si>
  <si>
    <t>SBIN0018723</t>
  </si>
  <si>
    <t>1050168856</t>
  </si>
  <si>
    <t>Ashok Kumar Agrawal</t>
  </si>
  <si>
    <t>1208870270581897</t>
  </si>
  <si>
    <t>AAUPA3745J</t>
  </si>
  <si>
    <t>C/O ASHOK KUMAR AGRAWAL,25-6-35,GANJAM</t>
  </si>
  <si>
    <t>VARI STREET,DENA BANK,KAKINADA,EAST</t>
  </si>
  <si>
    <t>GODAVARI,ANDHRA PRADESH,533001</t>
  </si>
  <si>
    <t>533001</t>
  </si>
  <si>
    <t>mittalcoco.kkd@gmail.com</t>
  </si>
  <si>
    <t>+919949976002</t>
  </si>
  <si>
    <t>KAKINADA?</t>
  </si>
  <si>
    <t>KAKINADA</t>
  </si>
  <si>
    <t>028001500907</t>
  </si>
  <si>
    <t>ICIC0000280</t>
  </si>
  <si>
    <t>1050143783</t>
  </si>
  <si>
    <t>Subankar Paul</t>
  </si>
  <si>
    <t>1208160189445353</t>
  </si>
  <si>
    <t>HKBPP4174A</t>
  </si>
  <si>
    <t>C/O SHYAMAL PAUL BETJAN ROAD MAKUM MAKUM</t>
  </si>
  <si>
    <t>JUNCTION MAKUM JUNCTION GAON</t>
  </si>
  <si>
    <t>MAKUM JUNCTION GAON</t>
  </si>
  <si>
    <t>786170</t>
  </si>
  <si>
    <t>subankarpaul685@gmail.com</t>
  </si>
  <si>
    <t>+918822672601</t>
  </si>
  <si>
    <t>MAKUM</t>
  </si>
  <si>
    <t>00000042623086003</t>
  </si>
  <si>
    <t>SBIN0012262</t>
  </si>
  <si>
    <t>1050145617</t>
  </si>
  <si>
    <t>Priyanka Singhal</t>
  </si>
  <si>
    <t>AAUPS9005P</t>
  </si>
  <si>
    <t>24</t>
  </si>
  <si>
    <t>NRI - Others</t>
  </si>
  <si>
    <t>10 STIRLING ROAD 05 06</t>
  </si>
  <si>
    <t>999999</t>
  </si>
  <si>
    <t>singhalp2@yahoo.co.in</t>
  </si>
  <si>
    <t>+916581980970</t>
  </si>
  <si>
    <t>091301075342</t>
  </si>
  <si>
    <t>ICIC0000913</t>
  </si>
  <si>
    <t>1050147605</t>
  </si>
  <si>
    <t>Moumita Bhattacharya</t>
  </si>
  <si>
    <t>AWMPM4003F</t>
  </si>
  <si>
    <t>85NDD</t>
  </si>
  <si>
    <t>Aditya Birla Sun Life Banking &amp; PSU Debt Fund - Monthly IDCW-Regular Plan</t>
  </si>
  <si>
    <t>E7 5 KARUNAMOYEE HOUSING ESTATE</t>
  </si>
  <si>
    <t>SALT LAKE KOLKATA Bidhannagar M</t>
  </si>
  <si>
    <t>North 24 Paraganas Sech Bhawan North 24</t>
  </si>
  <si>
    <t>NORTY TWENTYFOUR PARGANAS</t>
  </si>
  <si>
    <t>moumita.bhattacharya114@gmail.com</t>
  </si>
  <si>
    <t>+917890009162</t>
  </si>
  <si>
    <t>SALT LAKE - SECTOR II</t>
  </si>
  <si>
    <t>02641610000843</t>
  </si>
  <si>
    <t>1050174298</t>
  </si>
  <si>
    <t>Neha Sharma</t>
  </si>
  <si>
    <t>BRQPS6689P</t>
  </si>
  <si>
    <t>S-83</t>
  </si>
  <si>
    <t>PANCHSHEEL PARK</t>
  </si>
  <si>
    <t>110017</t>
  </si>
  <si>
    <t>sandyg.online@gmail.com</t>
  </si>
  <si>
    <t>+919599893754</t>
  </si>
  <si>
    <t>HSBCQN</t>
  </si>
  <si>
    <t>Hongkong &amp; Shanghai Banking Corporation Ltd.</t>
  </si>
  <si>
    <t>AAACT2786P</t>
  </si>
  <si>
    <t>Hsbc Nesco It Park,Building 3</t>
  </si>
  <si>
    <t>9Th Floor,Nesco Complex,Western Express</t>
  </si>
  <si>
    <t>Highway,Goregaon East</t>
  </si>
  <si>
    <t>400063</t>
  </si>
  <si>
    <t>9147100199</t>
  </si>
  <si>
    <t>orderprocessing.mbi@hsbc.co.in</t>
  </si>
  <si>
    <t>HSBC Ltd</t>
  </si>
  <si>
    <t>New Delhi Main</t>
  </si>
  <si>
    <t>094378932006</t>
  </si>
  <si>
    <t>HSBC0110006</t>
  </si>
  <si>
    <t>DCHSBC</t>
  </si>
  <si>
    <t>D1</t>
  </si>
  <si>
    <t>1050175246</t>
  </si>
  <si>
    <t>Raghu Boddupally</t>
  </si>
  <si>
    <t>AEHPB4809B</t>
  </si>
  <si>
    <t>8-3-224/11/C/4 G-45</t>
  </si>
  <si>
    <t>MADHURA NAGAR NEAR YOUSUFGUDA</t>
  </si>
  <si>
    <t>CHOWRASTA MADHURANAGAR</t>
  </si>
  <si>
    <t>AMEERPET HYDERABAD</t>
  </si>
  <si>
    <t>500038</t>
  </si>
  <si>
    <t>raghu.boddupally@gmail.com</t>
  </si>
  <si>
    <t>+919866533178</t>
  </si>
  <si>
    <t>CA</t>
  </si>
  <si>
    <t>50200021346216</t>
  </si>
  <si>
    <t>1050154204</t>
  </si>
  <si>
    <t>Showkat Hussain Mir</t>
  </si>
  <si>
    <t>ECNPM4119M</t>
  </si>
  <si>
    <t>S/O GHULAM HASSAN MIR,1,NARWARA</t>
  </si>
  <si>
    <t>KHAIWAN,SRINAGAR,SRINAGAR(NORTH,S.R</t>
  </si>
  <si>
    <t>GUNJ,SRINAGAR,JAMMU AND KASHMIR</t>
  </si>
  <si>
    <t>190002</t>
  </si>
  <si>
    <t>showkathussainmir48@gmail.com</t>
  </si>
  <si>
    <t>+917006932229</t>
  </si>
  <si>
    <t>JAMMU AND KASHMIR BANK LIMITED</t>
  </si>
  <si>
    <t>RAJOURI KADAL SRINAGAR</t>
  </si>
  <si>
    <t>RAJOURI KADAL</t>
  </si>
  <si>
    <t>0086040100021277</t>
  </si>
  <si>
    <t>JAKA0BULBUL</t>
  </si>
  <si>
    <t>1050155284</t>
  </si>
  <si>
    <t>Reema Sharma</t>
  </si>
  <si>
    <t>1208180162376356</t>
  </si>
  <si>
    <t>BFXPS5454R</t>
  </si>
  <si>
    <t>B 505 5TH FLOOR PLOT NO 1439 40 NEAR</t>
  </si>
  <si>
    <t>SHAHDARA METRO STATION LONI ROAD</t>
  </si>
  <si>
    <t>SHAHDARA</t>
  </si>
  <si>
    <t>NORTH EAST DELHI</t>
  </si>
  <si>
    <t>110032</t>
  </si>
  <si>
    <t>9717488630</t>
  </si>
  <si>
    <t>swayamsinvestment@gmail.com</t>
  </si>
  <si>
    <t>+919717488630</t>
  </si>
  <si>
    <t>SHAHDARA DELHI</t>
  </si>
  <si>
    <t>909010045094665</t>
  </si>
  <si>
    <t>UTIB0000884</t>
  </si>
  <si>
    <t>1050157120</t>
  </si>
  <si>
    <t>Tarun Kant Taram</t>
  </si>
  <si>
    <t>1203320355187939</t>
  </si>
  <si>
    <t>BNBPT6030Q</t>
  </si>
  <si>
    <t>H NO 156 WARD NO 10 KAHGAON</t>
  </si>
  <si>
    <t>RAJNANDGAON CHHATTISGARH</t>
  </si>
  <si>
    <t>RAJNANDGAON</t>
  </si>
  <si>
    <t>491229</t>
  </si>
  <si>
    <t>9691722645</t>
  </si>
  <si>
    <t>taram.tk98@gmail.com</t>
  </si>
  <si>
    <t>+919691722645</t>
  </si>
  <si>
    <t>JAGDALPUR</t>
  </si>
  <si>
    <t>50100343255596</t>
  </si>
  <si>
    <t>HDFC0002439</t>
  </si>
  <si>
    <t>1050181232</t>
  </si>
  <si>
    <t>Rakesh Gangadhar Argulwar</t>
  </si>
  <si>
    <t>1203320060542213</t>
  </si>
  <si>
    <t>CVUPA8627A</t>
  </si>
  <si>
    <t>VITHTHALESHWARE NAGAR BALAPUR</t>
  </si>
  <si>
    <t>DHARMABAD</t>
  </si>
  <si>
    <t>NANDED</t>
  </si>
  <si>
    <t>431809</t>
  </si>
  <si>
    <t>8956136143</t>
  </si>
  <si>
    <t>rakeshargulwar143@gmail.com</t>
  </si>
  <si>
    <t>033510383593</t>
  </si>
  <si>
    <t>1050177594</t>
  </si>
  <si>
    <t>Rehanahemad Riyajahemad Ansari</t>
  </si>
  <si>
    <t>1203320223855981</t>
  </si>
  <si>
    <t>FGVPA2023R</t>
  </si>
  <si>
    <t>NAGINA MASJID NAGALPUR KASBA</t>
  </si>
  <si>
    <t>NAGALPUR PART</t>
  </si>
  <si>
    <t>9662637981</t>
  </si>
  <si>
    <t>rehankane4@gmail.com</t>
  </si>
  <si>
    <t>+919662637981</t>
  </si>
  <si>
    <t>MEHSANA HIGHWAY</t>
  </si>
  <si>
    <t>637702010008950</t>
  </si>
  <si>
    <t>UBIN0563773</t>
  </si>
  <si>
    <t>1050181661</t>
  </si>
  <si>
    <t>Sidharth Kumar Behera</t>
  </si>
  <si>
    <t>1208160017777791</t>
  </si>
  <si>
    <t>DDBPB2228E</t>
  </si>
  <si>
    <t>LIG799 K4 KALINGAVIHAR</t>
  </si>
  <si>
    <t>751019</t>
  </si>
  <si>
    <t>sidharthbehera5@gmail.com</t>
  </si>
  <si>
    <t>+917978036360</t>
  </si>
  <si>
    <t>PATRAPADA</t>
  </si>
  <si>
    <t>50100412314616</t>
  </si>
  <si>
    <t>HDFC0004281</t>
  </si>
  <si>
    <t>1050158113</t>
  </si>
  <si>
    <t>Shyamal Paul</t>
  </si>
  <si>
    <t>AFIPP9411K</t>
  </si>
  <si>
    <t>Shashwati Paul</t>
  </si>
  <si>
    <t>BYKPP4067M</t>
  </si>
  <si>
    <t>66</t>
  </si>
  <si>
    <t>Bhupendra Bose Avenue</t>
  </si>
  <si>
    <t>Shyambazar Mail</t>
  </si>
  <si>
    <t>700004</t>
  </si>
  <si>
    <t>shyamalpaul20252025@gmail.com</t>
  </si>
  <si>
    <t>+919874148796</t>
  </si>
  <si>
    <t>ARN-70713</t>
  </si>
  <si>
    <t>DILIP KUMAR PAUL</t>
  </si>
  <si>
    <t>AKSPP7099L</t>
  </si>
  <si>
    <t>5 C Radha Kanta Jew Street</t>
  </si>
  <si>
    <t>Near Deshbandhu Park</t>
  </si>
  <si>
    <t>Shyam Bazar</t>
  </si>
  <si>
    <t>+919433200700</t>
  </si>
  <si>
    <t>diliporion@gmail.com</t>
  </si>
  <si>
    <t>KOLKATA BAGH BAZAR</t>
  </si>
  <si>
    <t>BAGHBAZAR</t>
  </si>
  <si>
    <t>50493258795</t>
  </si>
  <si>
    <t>700019058</t>
  </si>
  <si>
    <t>IDIB000B535</t>
  </si>
  <si>
    <t>1050183390</t>
  </si>
  <si>
    <t>Abhijit Pandurang Nilangekar</t>
  </si>
  <si>
    <t>AFQPN6997J</t>
  </si>
  <si>
    <t>, 140/251, SARASWATI CHOWK, 140/251, SARASWATI CHOWK,</t>
  </si>
  <si>
    <t>SIDHARTH PATH 140/251, SARASWATI CHOWK,</t>
  </si>
  <si>
    <t>400082</t>
  </si>
  <si>
    <t>abhijit.nilangekar@gmail.com</t>
  </si>
  <si>
    <t>+919773524977</t>
  </si>
  <si>
    <t>MULUND (WEST)</t>
  </si>
  <si>
    <t>006910110010906</t>
  </si>
  <si>
    <t>BKID0000069</t>
  </si>
  <si>
    <t>1050186168</t>
  </si>
  <si>
    <t>Ketkar Deodutta Govind</t>
  </si>
  <si>
    <t>ABLPK4410G</t>
  </si>
  <si>
    <t>274/3,OFF GULMOHOR ROAD,KETAKI</t>
  </si>
  <si>
    <t>BUNGOLW,NEAR KALANAGAR CHOWK,CHAITANYA</t>
  </si>
  <si>
    <t>NAGAR,SAVEDI</t>
  </si>
  <si>
    <t>AHEMADNAGAR</t>
  </si>
  <si>
    <t>02412427798</t>
  </si>
  <si>
    <t>02412471088</t>
  </si>
  <si>
    <t>dgketkar@gmail.com</t>
  </si>
  <si>
    <t>+919822288405</t>
  </si>
  <si>
    <t>SAVEDI, AHMED NAGAR</t>
  </si>
  <si>
    <t>Ahilyanagar</t>
  </si>
  <si>
    <t>580602010005104</t>
  </si>
  <si>
    <t>414026003</t>
  </si>
  <si>
    <t>UBIN0558061</t>
  </si>
  <si>
    <t>1050214543</t>
  </si>
  <si>
    <t>REKHA M R</t>
  </si>
  <si>
    <t>CGPPR4112M</t>
  </si>
  <si>
    <t>Wo Raghavendra. #69 80Th Cross .</t>
  </si>
  <si>
    <t>Kumarswamy Layout 1St Stage3</t>
  </si>
  <si>
    <t>560078</t>
  </si>
  <si>
    <t>rekhamr@ymail.com</t>
  </si>
  <si>
    <t>+918880436169</t>
  </si>
  <si>
    <t>ARN-122260</t>
  </si>
  <si>
    <t>Shubha S R</t>
  </si>
  <si>
    <t>BMYPS7236R</t>
  </si>
  <si>
    <t>S R SHUBHA 657 67TH CROSS</t>
  </si>
  <si>
    <t>14TH MAIN 1 STAGE</t>
  </si>
  <si>
    <t>KUMARASWAMY LAYOUT</t>
  </si>
  <si>
    <t>+919886740759</t>
  </si>
  <si>
    <t>shubhasr02@gmail.com</t>
  </si>
  <si>
    <t>BANASHANKARI</t>
  </si>
  <si>
    <t>0517053000008157</t>
  </si>
  <si>
    <t>SIBL0000517</t>
  </si>
  <si>
    <t>1050196968</t>
  </si>
  <si>
    <t>Sisotiya Bhavesh Naran</t>
  </si>
  <si>
    <t>1203320067263621</t>
  </si>
  <si>
    <t>CEOPN1428R</t>
  </si>
  <si>
    <t>74 BHEDA PADO MOTA KALAVAD</t>
  </si>
  <si>
    <t>MOTA KALAVAD</t>
  </si>
  <si>
    <t>BHANVAD</t>
  </si>
  <si>
    <t>360515</t>
  </si>
  <si>
    <t>9974573004</t>
  </si>
  <si>
    <t>b.n.ahir1991@gmail.com</t>
  </si>
  <si>
    <t>00000042374994356</t>
  </si>
  <si>
    <t>SBIN0060089</t>
  </si>
  <si>
    <t>1050200410</t>
  </si>
  <si>
    <t>Manoj Rajaram Chaudhari</t>
  </si>
  <si>
    <t>IN30426229951564</t>
  </si>
  <si>
    <t>AAPPC3362E</t>
  </si>
  <si>
    <t>CHAUDHARI MANISHA MANOJ</t>
  </si>
  <si>
    <t>AFYPC0540G</t>
  </si>
  <si>
    <t>A-2/703 PRESTIGE GARDEN SOCIETY ALMEDA</t>
  </si>
  <si>
    <t>ROAD NEAR NITIN COMPANY PANCHPAKHADI</t>
  </si>
  <si>
    <t>manojchaudhari100@gmail.com</t>
  </si>
  <si>
    <t>+919892695709</t>
  </si>
  <si>
    <t>THANERMR</t>
  </si>
  <si>
    <t>003501518180</t>
  </si>
  <si>
    <t>ICIC0000035</t>
  </si>
  <si>
    <t>1050205249</t>
  </si>
  <si>
    <t>Dhanwantari Kiran Salunkhe</t>
  </si>
  <si>
    <t>TZMPS0993C</t>
  </si>
  <si>
    <t>KIRAN DADASO SALUNKHE PLOT NO 1 P SQUARE BUILDING</t>
  </si>
  <si>
    <t>MANGALWAR PETH KARAD SATARA MAHARASHTRA 415110</t>
  </si>
  <si>
    <t>KARAD</t>
  </si>
  <si>
    <t>+918956536540</t>
  </si>
  <si>
    <t>ARN-164025</t>
  </si>
  <si>
    <t>JST FINSERV PRIVATE LIMITED</t>
  </si>
  <si>
    <t>AAECJ4378D</t>
  </si>
  <si>
    <t>City Survey No 207/2K</t>
  </si>
  <si>
    <t>Patilheritej</t>
  </si>
  <si>
    <t>Shaniwar Peth</t>
  </si>
  <si>
    <t>+918698690789</t>
  </si>
  <si>
    <t>jstwealth@gmail.com</t>
  </si>
  <si>
    <t>TREASURY BR KARAD</t>
  </si>
  <si>
    <t>37218289718</t>
  </si>
  <si>
    <t>SBIN0004648</t>
  </si>
  <si>
    <t>1050219754</t>
  </si>
  <si>
    <t>Vikash Balar</t>
  </si>
  <si>
    <t>1203320311936487</t>
  </si>
  <si>
    <t>CWQPB6807E</t>
  </si>
  <si>
    <t>SAWAU PADAMSINGH BARMER</t>
  </si>
  <si>
    <t>BARMER</t>
  </si>
  <si>
    <t>344037</t>
  </si>
  <si>
    <t>8502897030</t>
  </si>
  <si>
    <t>vikasbalar0@gmail.com</t>
  </si>
  <si>
    <t>+918502897030</t>
  </si>
  <si>
    <t>100145818475</t>
  </si>
  <si>
    <t>INDB0000428</t>
  </si>
  <si>
    <t>1050220060</t>
  </si>
  <si>
    <t>Subrat Kar</t>
  </si>
  <si>
    <t>1208160058136451</t>
  </si>
  <si>
    <t>BNJPK6324G</t>
  </si>
  <si>
    <t>S/O SANATAN KAR PLOT NO 4249/4</t>
  </si>
  <si>
    <t>PANDAB NAGAR LANE-3 TANKAPANI</t>
  </si>
  <si>
    <t>BHUBANESWAR BADAGARH BRIT COLO</t>
  </si>
  <si>
    <t>751018</t>
  </si>
  <si>
    <t>subratkar89@gmail.com</t>
  </si>
  <si>
    <t>+918895618582</t>
  </si>
  <si>
    <t>TANKAPANI ROAD</t>
  </si>
  <si>
    <t>KHURDA</t>
  </si>
  <si>
    <t>20088148968</t>
  </si>
  <si>
    <t>SBIN0017942</t>
  </si>
  <si>
    <t>1050244194</t>
  </si>
  <si>
    <t>Uttarala Sunil Kumar</t>
  </si>
  <si>
    <t>1208180031791015</t>
  </si>
  <si>
    <t>FATCA not available for Investor/Guardian-AIHPU0815A</t>
  </si>
  <si>
    <t>AIHPU0815A</t>
  </si>
  <si>
    <t>2 61 MAIN JUNCTION SOMPETABATHUPURAM MAL</t>
  </si>
  <si>
    <t>AGOVINDAPURAM</t>
  </si>
  <si>
    <t>532264</t>
  </si>
  <si>
    <t>8897890227</t>
  </si>
  <si>
    <t>uttaralasunil@gmail.com</t>
  </si>
  <si>
    <t>+918897890227</t>
  </si>
  <si>
    <t>SAKETH</t>
  </si>
  <si>
    <t>231901501897</t>
  </si>
  <si>
    <t>ICIC0002319</t>
  </si>
  <si>
    <t>1050221604</t>
  </si>
  <si>
    <t>Sushma V</t>
  </si>
  <si>
    <t>BFFPV9855M</t>
  </si>
  <si>
    <t>D O N VIRUPAKSHA 58 1 5TH CROSS 2ND</t>
  </si>
  <si>
    <t>SARASWATHI VIDYALAYA SCHOOL ROAD BAP</t>
  </si>
  <si>
    <t>BANGALORE SOUTH KARNATAKA</t>
  </si>
  <si>
    <t>BANGALORE SOUTH</t>
  </si>
  <si>
    <t>560026</t>
  </si>
  <si>
    <t>sushmav0598@gmail.com</t>
  </si>
  <si>
    <t>+918494930545</t>
  </si>
  <si>
    <t>VIJAYANAGAR BANGALORE</t>
  </si>
  <si>
    <t>3646792247</t>
  </si>
  <si>
    <t>KKBK0008067</t>
  </si>
  <si>
    <t>1050213466</t>
  </si>
  <si>
    <t>Karthik Phadke Niranjan</t>
  </si>
  <si>
    <t>CCZPP5911J</t>
  </si>
  <si>
    <t>SO Niranjana Phadke N 151810 9th</t>
  </si>
  <si>
    <t>Main B Block Sahakar Nagar Near UCO</t>
  </si>
  <si>
    <t>Bank Sahakaranagar Po Bangalore</t>
  </si>
  <si>
    <t>Bangalore North</t>
  </si>
  <si>
    <t>560092</t>
  </si>
  <si>
    <t>karthikpn1905@gmail.com</t>
  </si>
  <si>
    <t>+919980563354</t>
  </si>
  <si>
    <t>SAHAKARANAGAR</t>
  </si>
  <si>
    <t>917010055764515</t>
  </si>
  <si>
    <t>UTIB0000561</t>
  </si>
  <si>
    <t>1050226516</t>
  </si>
  <si>
    <t>Selvaraj Lingeshvar</t>
  </si>
  <si>
    <t>1208870429359008</t>
  </si>
  <si>
    <t>BZEPL8827N</t>
  </si>
  <si>
    <t>S/O B SELVARAJ,6-79,SEEGALA</t>
  </si>
  <si>
    <t>PALLI,SAMAGUTTA</t>
  </si>
  <si>
    <t>PALLI,,ELLAJJANURU,,CHITTOOR,ANDHRA</t>
  </si>
  <si>
    <t>517425</t>
  </si>
  <si>
    <t>selvaraj6281190626@gmail.com</t>
  </si>
  <si>
    <t>+919391614894</t>
  </si>
  <si>
    <t>NALAGAMPALLE</t>
  </si>
  <si>
    <t>KUPPAM</t>
  </si>
  <si>
    <t>8201344730</t>
  </si>
  <si>
    <t>IDIB000N138</t>
  </si>
  <si>
    <t>1050247170</t>
  </si>
  <si>
    <t>Sahil Swami</t>
  </si>
  <si>
    <t>RYZPS6271P</t>
  </si>
  <si>
    <t>C O TEJA RAM CHANNU WALA ROAD BAGHAPIRANA GALI</t>
  </si>
  <si>
    <t>NUMBER 04 BHAGHA PURANA BAGHA PURANA BAGHAPURANA MOGA</t>
  </si>
  <si>
    <t>PUNJAB 142038</t>
  </si>
  <si>
    <t>MOGA</t>
  </si>
  <si>
    <t>142038</t>
  </si>
  <si>
    <t>sahil15swami@gmail.com</t>
  </si>
  <si>
    <t>+916283868247</t>
  </si>
  <si>
    <t>BAGHA PURANA</t>
  </si>
  <si>
    <t>364201000003095</t>
  </si>
  <si>
    <t>IOBA0003642</t>
  </si>
  <si>
    <t>1050234616</t>
  </si>
  <si>
    <t>Sanjay Kumar Jain</t>
  </si>
  <si>
    <t>IN30226911068637</t>
  </si>
  <si>
    <t>ABAPJ2021M</t>
  </si>
  <si>
    <t>FLAT NO 102 B SNEHA BANDHAN CHS LTD</t>
  </si>
  <si>
    <t>MHADA COLONY PLOT NO 3</t>
  </si>
  <si>
    <t>MULUND EAST</t>
  </si>
  <si>
    <t>400081</t>
  </si>
  <si>
    <t>askbjain@yahoo.co.in</t>
  </si>
  <si>
    <t>+919870376570</t>
  </si>
  <si>
    <t>ARN-47791</t>
  </si>
  <si>
    <t>IIFL CAPITAL SERVICES LIMITED</t>
  </si>
  <si>
    <t>AAACI7397D</t>
  </si>
  <si>
    <t>Iifl House Sun Infotech Park</t>
  </si>
  <si>
    <t>Road No 16V, Plot No B-23 Midc</t>
  </si>
  <si>
    <t>Thane Industrial Area Wagle Estate</t>
  </si>
  <si>
    <t>400604</t>
  </si>
  <si>
    <t>9082819021</t>
  </si>
  <si>
    <t>brokdatamf@indiainfoline.com</t>
  </si>
  <si>
    <t>MUMBAI  VASHI EXTN COUNTER</t>
  </si>
  <si>
    <t>05401000168471</t>
  </si>
  <si>
    <t>HDFC0000540</t>
  </si>
  <si>
    <t>1050233825</t>
  </si>
  <si>
    <t>GARISA ANEESHA</t>
  </si>
  <si>
    <t>FFBPA9150N</t>
  </si>
  <si>
    <t>1/418-5-3</t>
  </si>
  <si>
    <t>MARUTHI NAGAR</t>
  </si>
  <si>
    <t>CUDDAPAH</t>
  </si>
  <si>
    <t>516001</t>
  </si>
  <si>
    <t>garisaaneesha7@gmail.com</t>
  </si>
  <si>
    <t>+919848473434</t>
  </si>
  <si>
    <t>YERRAMUKKAPALLI</t>
  </si>
  <si>
    <t>KADAPA</t>
  </si>
  <si>
    <t>32217583885</t>
  </si>
  <si>
    <t>SBIN0001902</t>
  </si>
  <si>
    <t>1050253477</t>
  </si>
  <si>
    <t>Amolak Shrawan Gunjal</t>
  </si>
  <si>
    <t>ABOPG6494R</t>
  </si>
  <si>
    <t>03 SHIVAM PARK DATTMANDIR</t>
  </si>
  <si>
    <t>UNTWADI NASHIK</t>
  </si>
  <si>
    <t>PO TRIMURTI CHOWK</t>
  </si>
  <si>
    <t>422008</t>
  </si>
  <si>
    <t>amolakgunjal@gmail.com</t>
  </si>
  <si>
    <t>+919403854626</t>
  </si>
  <si>
    <t>ARN-133879</t>
  </si>
  <si>
    <t>Pramod Ganesh Kumar</t>
  </si>
  <si>
    <t>ARYPK5530C</t>
  </si>
  <si>
    <t>Flat No.203,C-Wing,R.S.Shrushti App</t>
  </si>
  <si>
    <t>Near ITI Bridge</t>
  </si>
  <si>
    <t>Kamatwada</t>
  </si>
  <si>
    <t>+919175162634</t>
  </si>
  <si>
    <t>kumarg_pramod5@yahoo.com</t>
  </si>
  <si>
    <t>PAWAN NAGAR - NASIK</t>
  </si>
  <si>
    <t>Nasik</t>
  </si>
  <si>
    <t>499202030008320</t>
  </si>
  <si>
    <t>UBIN0549924</t>
  </si>
  <si>
    <t>253</t>
  </si>
  <si>
    <t>1050254699</t>
  </si>
  <si>
    <t>Ranjeet Kumar Singh</t>
  </si>
  <si>
    <t>1203320228771795</t>
  </si>
  <si>
    <t>CFQPS6623N</t>
  </si>
  <si>
    <t>AKTA NAGAR NEAR KHOJA EMLY</t>
  </si>
  <si>
    <t>POSTPHULWARI SHARIF P</t>
  </si>
  <si>
    <t>SPHULWARI SHARIF PHULWARI</t>
  </si>
  <si>
    <t>801505</t>
  </si>
  <si>
    <t>8459697752</t>
  </si>
  <si>
    <t>kumar.ranjeetkumarsingh@gmail.com</t>
  </si>
  <si>
    <t>+918459697752</t>
  </si>
  <si>
    <t>TULSI</t>
  </si>
  <si>
    <t>TILDA</t>
  </si>
  <si>
    <t>913010006597827</t>
  </si>
  <si>
    <t>UTIB0001903</t>
  </si>
  <si>
    <t>1050254474</t>
  </si>
  <si>
    <t>Raginkumar Parsottambhai Patel</t>
  </si>
  <si>
    <t>IN30021430858516</t>
  </si>
  <si>
    <t>AWBPP4297M</t>
  </si>
  <si>
    <t>47 KHODIYAR SOCIETY NEAR DUDHSAGAR DAIRY</t>
  </si>
  <si>
    <t>rag7681@yahoo.co.in</t>
  </si>
  <si>
    <t>+919909052661</t>
  </si>
  <si>
    <t>ARN-0164</t>
  </si>
  <si>
    <t>Kotak Securities Ltd</t>
  </si>
  <si>
    <t>AAACK3436F</t>
  </si>
  <si>
    <t>8th Floor, Kotak Infinity,Bldg no 21</t>
  </si>
  <si>
    <t>Infinity Park, Off Western Exp Highway</t>
  </si>
  <si>
    <t>Gen. AK Vaidya Marg, Malad E</t>
  </si>
  <si>
    <t>9152031255</t>
  </si>
  <si>
    <t>ks.mutualfund@kotak.com</t>
  </si>
  <si>
    <t>2611551445</t>
  </si>
  <si>
    <t>KKBK0000813</t>
  </si>
  <si>
    <t>1050255625</t>
  </si>
  <si>
    <t>Diljith T V</t>
  </si>
  <si>
    <t>1208870278114648</t>
  </si>
  <si>
    <t>CKDPV1936P</t>
  </si>
  <si>
    <t>CHATHANAM</t>
  </si>
  <si>
    <t>KUNI,THIRUVANGOOR,CHEMANCHERI,QUILANDY</t>
  </si>
  <si>
    <t>,TIRUVANGOOR,KOZHIKODE,KERALA,673304</t>
  </si>
  <si>
    <t>KOZHIKODE</t>
  </si>
  <si>
    <t>673304</t>
  </si>
  <si>
    <t>diljithtv00@gmail.com</t>
  </si>
  <si>
    <t>+919745791886</t>
  </si>
  <si>
    <t>ATHOLI</t>
  </si>
  <si>
    <t>99980102752495</t>
  </si>
  <si>
    <t>FDRL0001710</t>
  </si>
  <si>
    <t>1050256765</t>
  </si>
  <si>
    <t>Vaibhav Raju Chavan</t>
  </si>
  <si>
    <t>BFJPC3176E</t>
  </si>
  <si>
    <t>NEAR SAMAJ MANDIR</t>
  </si>
  <si>
    <t>KHARADE POST KALGAON, KHARADE, SATRA</t>
  </si>
  <si>
    <t>415109</t>
  </si>
  <si>
    <t>vaibhav.r.c13@gmail.com</t>
  </si>
  <si>
    <t>+919763161504</t>
  </si>
  <si>
    <t>KARAD BRANCH</t>
  </si>
  <si>
    <t>8312470382</t>
  </si>
  <si>
    <t>KKBK0002029</t>
  </si>
  <si>
    <t>1050167522</t>
  </si>
  <si>
    <t>Larny Mary Jayan</t>
  </si>
  <si>
    <t>1208870276518474</t>
  </si>
  <si>
    <t>ASSPJ0999F</t>
  </si>
  <si>
    <t>C/O: ARUN KOSHY,UZHUVATH</t>
  </si>
  <si>
    <t>HOUSE,MANACHALLOOR,PATHANAPURAM,KOLLAM</t>
  </si>
  <si>
    <t>,KERALA,689695</t>
  </si>
  <si>
    <t>689695</t>
  </si>
  <si>
    <t>larnyjayan85@gmail.com</t>
  </si>
  <si>
    <t>+918921384457</t>
  </si>
  <si>
    <t>M C C CAMPUS</t>
  </si>
  <si>
    <t>019101000029807</t>
  </si>
  <si>
    <t>IOBA0000191</t>
  </si>
  <si>
    <t>1050145150</t>
  </si>
  <si>
    <t>Koppisetti Venkata Ramana</t>
  </si>
  <si>
    <t>1203320442599772</t>
  </si>
  <si>
    <t>HLTPR3772K</t>
  </si>
  <si>
    <t>5 127 YERRANEELIGUNTA</t>
  </si>
  <si>
    <t>VARIGHEDU WEST GODAVARI ANDHRA</t>
  </si>
  <si>
    <t>WEST GODAVARI</t>
  </si>
  <si>
    <t>534225</t>
  </si>
  <si>
    <t>9948083556</t>
  </si>
  <si>
    <t>venkatt15248@gmail.com</t>
  </si>
  <si>
    <t>+919948083556</t>
  </si>
  <si>
    <t>GUMMAMPADU</t>
  </si>
  <si>
    <t>WEST GODAVARI (AP)</t>
  </si>
  <si>
    <t>563110110001343</t>
  </si>
  <si>
    <t>BKID0005631</t>
  </si>
  <si>
    <t>1050147460</t>
  </si>
  <si>
    <t>Mohammad Nadir</t>
  </si>
  <si>
    <t>APJPN8519D</t>
  </si>
  <si>
    <t>114B</t>
  </si>
  <si>
    <t>Aditya Birla Sun Life CRISIL IBX 50:50 Gilt Plus SDL Apr 2028 Index Fund-Regular Growth</t>
  </si>
  <si>
    <t>KHALEPURA</t>
  </si>
  <si>
    <t>HAMIRPUR</t>
  </si>
  <si>
    <t>210301</t>
  </si>
  <si>
    <t>mohdnadir715@gmail.com</t>
  </si>
  <si>
    <t>+919935846687</t>
  </si>
  <si>
    <t>50100151619364</t>
  </si>
  <si>
    <t>HDFC0001987</t>
  </si>
  <si>
    <t>1050149037</t>
  </si>
  <si>
    <t>Kanika Paul</t>
  </si>
  <si>
    <t>BOCPB2889D</t>
  </si>
  <si>
    <t>85 S K DEB ROAD AMALANGSHU SEN ROAD</t>
  </si>
  <si>
    <t>South Dumdum (m) North 24 Parganas</t>
  </si>
  <si>
    <t>West Bengal</t>
  </si>
  <si>
    <t>NORTH PARGANAS</t>
  </si>
  <si>
    <t>700048</t>
  </si>
  <si>
    <t>kanikapaulbanerjee6290@gmail.com</t>
  </si>
  <si>
    <t>+919836754270</t>
  </si>
  <si>
    <t>BANGUR</t>
  </si>
  <si>
    <t>921010011232857</t>
  </si>
  <si>
    <t>700211140</t>
  </si>
  <si>
    <t>UTIB0003436</t>
  </si>
  <si>
    <t>1050154845</t>
  </si>
  <si>
    <t>Jyoti Ravi Kasle</t>
  </si>
  <si>
    <t>1203320194382010</t>
  </si>
  <si>
    <t>ATKPN1978M</t>
  </si>
  <si>
    <t>A150 APNA NAGAR NU3 GANDHIDHAM</t>
  </si>
  <si>
    <t>KACHCHH GUJARAT</t>
  </si>
  <si>
    <t>GANDHIDHAM</t>
  </si>
  <si>
    <t>370201</t>
  </si>
  <si>
    <t>7405148268</t>
  </si>
  <si>
    <t>jyotiniwale789@gmail.com</t>
  </si>
  <si>
    <t>+917405148268</t>
  </si>
  <si>
    <t>GANDHIDHAM?</t>
  </si>
  <si>
    <t>025901532944</t>
  </si>
  <si>
    <t>ICIC0000259</t>
  </si>
  <si>
    <t>1050177443</t>
  </si>
  <si>
    <t>Kalpesh Tekchand Krishnani</t>
  </si>
  <si>
    <t>1208870166425650</t>
  </si>
  <si>
    <t>CHFPK2130M</t>
  </si>
  <si>
    <t>151GZ</t>
  </si>
  <si>
    <t>Aditya Birla Sun Life Money Manager Fund - Growth-Direct Plan</t>
  </si>
  <si>
    <t>C/O: TEKCHAND,SATYAM APARTMENT,NEAR</t>
  </si>
  <si>
    <t>ROYAL</t>
  </si>
  <si>
    <t>RESEDENCY,GODHRA,GODHRA,PANCHMAHALS,GU</t>
  </si>
  <si>
    <t>PANCHMAHALS</t>
  </si>
  <si>
    <t>389001</t>
  </si>
  <si>
    <t>krishnanikalpesh3@gmail.com</t>
  </si>
  <si>
    <t>+917777931767</t>
  </si>
  <si>
    <t>GODHRALANDMARK COMPLEX</t>
  </si>
  <si>
    <t>1711215910595430</t>
  </si>
  <si>
    <t>AUBL0002159</t>
  </si>
  <si>
    <t>1050151526</t>
  </si>
  <si>
    <t>Mohan Jethanand Pherwani</t>
  </si>
  <si>
    <t>AAFPP0912P</t>
  </si>
  <si>
    <t>Bldg No 13 Block No 207 Adarsh Nagar Veer</t>
  </si>
  <si>
    <t>Nariman Road Opp Century Bazar</t>
  </si>
  <si>
    <t>Worli</t>
  </si>
  <si>
    <t>400030</t>
  </si>
  <si>
    <t>mjp1958@rediffmail.com</t>
  </si>
  <si>
    <t>+919819609895</t>
  </si>
  <si>
    <t>ARN-273443</t>
  </si>
  <si>
    <t>VALAB INVESTMENT SERVICES PRIVATE LIMITED</t>
  </si>
  <si>
    <t>AAJCV4350J</t>
  </si>
  <si>
    <t>Office no 110,Hind Cycle Marg</t>
  </si>
  <si>
    <t>T V Indus Trial Estate</t>
  </si>
  <si>
    <t>+919820504035</t>
  </si>
  <si>
    <t>valabinvestmentservices@gmail.com</t>
  </si>
  <si>
    <t>RBL BANK LIMITED</t>
  </si>
  <si>
    <t>MUMBAI  NARIMAN POINT</t>
  </si>
  <si>
    <t>309005013566</t>
  </si>
  <si>
    <t>RATN0000155</t>
  </si>
  <si>
    <t>1050164690</t>
  </si>
  <si>
    <t>Garima Ozha</t>
  </si>
  <si>
    <t>1209290027993773</t>
  </si>
  <si>
    <t>AAPPO3869E</t>
  </si>
  <si>
    <t>D O LT PANTJALI OZHA 2C 716 VINOD VIHAR</t>
  </si>
  <si>
    <t>SAHARANPUR NAKUR SAHARANPUR SAHARANPUR U</t>
  </si>
  <si>
    <t>garimaozha@gmail.com</t>
  </si>
  <si>
    <t>+919643704524</t>
  </si>
  <si>
    <t>50100537149113</t>
  </si>
  <si>
    <t>HDFC0000326</t>
  </si>
  <si>
    <t>1050182659</t>
  </si>
  <si>
    <t>Jyoti Gupta</t>
  </si>
  <si>
    <t>ARXPG4924B</t>
  </si>
  <si>
    <t>W/O Amit Gupta 50 / 113 Halsey Road</t>
  </si>
  <si>
    <t>Kanpur Near Of Murraba Bhandar</t>
  </si>
  <si>
    <t>Kanpur</t>
  </si>
  <si>
    <t>208001</t>
  </si>
  <si>
    <t>gjyoti737@gmail.com</t>
  </si>
  <si>
    <t>+919161090106</t>
  </si>
  <si>
    <t>KANPUR HALSEY ROAD</t>
  </si>
  <si>
    <t>2046563914</t>
  </si>
  <si>
    <t>KKBK0005130</t>
  </si>
  <si>
    <t>1050152323</t>
  </si>
  <si>
    <t>Varun Kozhikkattil</t>
  </si>
  <si>
    <t>KBLPK5246J</t>
  </si>
  <si>
    <t>KARTHIKA MAYYANTHANI ROAD CHANDAKKUNNU P O NILAMBUR</t>
  </si>
  <si>
    <t>CHANDAKKUNNU MALAPPURAM KERALA 679329</t>
  </si>
  <si>
    <t>679329</t>
  </si>
  <si>
    <t>varunrajendran00781@gmail.com</t>
  </si>
  <si>
    <t>+919745346335</t>
  </si>
  <si>
    <t>NILAMBUR</t>
  </si>
  <si>
    <t>11560100283738</t>
  </si>
  <si>
    <t>FDRL0001156</t>
  </si>
  <si>
    <t>1050184931</t>
  </si>
  <si>
    <t>Ms Suhani Singh Ug Avdhesh Kumar Singh</t>
  </si>
  <si>
    <t>MR AVDHESH KUMAR SINGH</t>
  </si>
  <si>
    <t>AXCPS7946N</t>
  </si>
  <si>
    <t>SHUKULPUR DAHILAMAU DAHILAMAU</t>
  </si>
  <si>
    <t>DAHILAMAU</t>
  </si>
  <si>
    <t>PRATAPGARH</t>
  </si>
  <si>
    <t>230001</t>
  </si>
  <si>
    <t>avdheshkumarsingh707@gmail.com</t>
  </si>
  <si>
    <t>+919151791415</t>
  </si>
  <si>
    <t>YESBANK</t>
  </si>
  <si>
    <t>Yes Bank Limited</t>
  </si>
  <si>
    <t>AAACY2068D</t>
  </si>
  <si>
    <t>YES BANK LIMITED YES BANK House</t>
  </si>
  <si>
    <t>Off Western Express</t>
  </si>
  <si>
    <t>Highway Santacruz East</t>
  </si>
  <si>
    <t>9820595939</t>
  </si>
  <si>
    <t>mfoperations@yes.bank.in</t>
  </si>
  <si>
    <t>YES BANK LIMITED</t>
  </si>
  <si>
    <t>YES BANK LTD-ALIGANJ LUCKNOW</t>
  </si>
  <si>
    <t>133494100000205</t>
  </si>
  <si>
    <t>YESB0000001</t>
  </si>
  <si>
    <t>1050187461</t>
  </si>
  <si>
    <t>Rutvik Ravindranath Malekar</t>
  </si>
  <si>
    <t>1208160149579159</t>
  </si>
  <si>
    <t>BAKPM4103P</t>
  </si>
  <si>
    <t>A-402 ANMOL S V ROAD GOREGAON WEST OPP P</t>
  </si>
  <si>
    <t>ATEL AUTO</t>
  </si>
  <si>
    <t>400104</t>
  </si>
  <si>
    <t>rutvikrm@gmail.com</t>
  </si>
  <si>
    <t>+917208400968</t>
  </si>
  <si>
    <t>MUMBAI  MALAD(WEST)</t>
  </si>
  <si>
    <t>50100189492520</t>
  </si>
  <si>
    <t>HDFC0000411</t>
  </si>
  <si>
    <t>1050187959</t>
  </si>
  <si>
    <t>Jyoti Ranjan Parida</t>
  </si>
  <si>
    <t>BQIPP9009H</t>
  </si>
  <si>
    <t>PLOT NO 318/3143</t>
  </si>
  <si>
    <t>MADHUBANA</t>
  </si>
  <si>
    <t>CUTTACK, ODISHA</t>
  </si>
  <si>
    <t>754005</t>
  </si>
  <si>
    <t>paridajyoti85@gmail.com</t>
  </si>
  <si>
    <t>+919438008456</t>
  </si>
  <si>
    <t>JEYPORE</t>
  </si>
  <si>
    <t>391302010008670</t>
  </si>
  <si>
    <t>UBIN0539139</t>
  </si>
  <si>
    <t>1050187791</t>
  </si>
  <si>
    <t>Mandeep Nagi Housego</t>
  </si>
  <si>
    <t>ACRPN4282G</t>
  </si>
  <si>
    <t>H No 04ph2 Acts One Hamlet Sector</t>
  </si>
  <si>
    <t>104 Noida Po Noida Gautambuddha</t>
  </si>
  <si>
    <t>Gautam Buddha Nagar</t>
  </si>
  <si>
    <t>mandeep@shadesofindia.com</t>
  </si>
  <si>
    <t>+919899149731</t>
  </si>
  <si>
    <t>ARN-87554</t>
  </si>
  <si>
    <t>MOTILAL OSWAL WEALTH LIMITED</t>
  </si>
  <si>
    <t>AADCA3864A</t>
  </si>
  <si>
    <t>Motilal Oswal Tower 6th Floor</t>
  </si>
  <si>
    <t>Sayani Road Behind Parel St Depo</t>
  </si>
  <si>
    <t>+918291622382</t>
  </si>
  <si>
    <t>pwmmfops@motilaloswal.com</t>
  </si>
  <si>
    <t>HSBC BANK</t>
  </si>
  <si>
    <t>GREATER KAILASH</t>
  </si>
  <si>
    <t>094053295006</t>
  </si>
  <si>
    <t>1050188251</t>
  </si>
  <si>
    <t>Arun Kumar Gupta</t>
  </si>
  <si>
    <t>ADGPG1348E</t>
  </si>
  <si>
    <t>C 8-3 Park Raod</t>
  </si>
  <si>
    <t>Hazartganj</t>
  </si>
  <si>
    <t>226001</t>
  </si>
  <si>
    <t>akgupta.lko@gmail.com</t>
  </si>
  <si>
    <t>+919839171800</t>
  </si>
  <si>
    <t>ARN-185501</t>
  </si>
  <si>
    <t>MISHRA ABHA</t>
  </si>
  <si>
    <t>ADHPA2100P</t>
  </si>
  <si>
    <t>C/O RAJEEV LOCHAN MISHRA</t>
  </si>
  <si>
    <t>C/2/0047 SECTOR C POCKET-2</t>
  </si>
  <si>
    <t>SUSHANT GOLF CITY SULTANPUR ROAD</t>
  </si>
  <si>
    <t>226030</t>
  </si>
  <si>
    <t>+919948522111</t>
  </si>
  <si>
    <t>abhamishra721@gmail.com</t>
  </si>
  <si>
    <t>LUCKNOW - FAIZABAD ROAD - U P</t>
  </si>
  <si>
    <t>02961000019399</t>
  </si>
  <si>
    <t>226240003</t>
  </si>
  <si>
    <t>HDFC0000296</t>
  </si>
  <si>
    <t>1050218454</t>
  </si>
  <si>
    <t>Sakshi Bhardwaj</t>
  </si>
  <si>
    <t>CBJPB0135M</t>
  </si>
  <si>
    <t>5/234 KALA KUA JAIPUR ROAD</t>
  </si>
  <si>
    <t>sakshibhardwaj1292@gmail.com</t>
  </si>
  <si>
    <t>+919672717222</t>
  </si>
  <si>
    <t>GURGAON  SECTOR 23</t>
  </si>
  <si>
    <t>677501558637</t>
  </si>
  <si>
    <t>ICIC0000910</t>
  </si>
  <si>
    <t>1050195285</t>
  </si>
  <si>
    <t>Alok Sharma</t>
  </si>
  <si>
    <t>CQGPS6681F</t>
  </si>
  <si>
    <t>D1 -I /  268 DWARIKAPURAM ASHRAYA</t>
  </si>
  <si>
    <t>SECOND,KALINDIPURAM RAJROOPPUR</t>
  </si>
  <si>
    <t>GAYASDDINPUR UPRHAR DHOOMANGANJ</t>
  </si>
  <si>
    <t>211011</t>
  </si>
  <si>
    <t>adysharma2189@gmail.com</t>
  </si>
  <si>
    <t>+919628767814</t>
  </si>
  <si>
    <t>GHORAWAL</t>
  </si>
  <si>
    <t>50100769064307</t>
  </si>
  <si>
    <t>HDFC0009140</t>
  </si>
  <si>
    <t>1050196314</t>
  </si>
  <si>
    <t>Kanagasabai Kuzhandaivel</t>
  </si>
  <si>
    <t>1203320078912131</t>
  </si>
  <si>
    <t>EHLPK8511G</t>
  </si>
  <si>
    <t>45 NEAR ALAMARAM BUS STOP</t>
  </si>
  <si>
    <t>THAIMEN NAGAR POTHUR</t>
  </si>
  <si>
    <t>TIRUVALLUR</t>
  </si>
  <si>
    <t>OH</t>
  </si>
  <si>
    <t>600052</t>
  </si>
  <si>
    <t>8608511488</t>
  </si>
  <si>
    <t>kanagasabai.k@gmail.com</t>
  </si>
  <si>
    <t>+918608511488</t>
  </si>
  <si>
    <t>4329101005250</t>
  </si>
  <si>
    <t>1050197454</t>
  </si>
  <si>
    <t>Nareshbhai Madhubhai Patel</t>
  </si>
  <si>
    <t>1208870249157890</t>
  </si>
  <si>
    <t>AZKPP7303E</t>
  </si>
  <si>
    <t>BLOCK C/409, SIDDHI HOMES,NR BHOJALDHAM</t>
  </si>
  <si>
    <t>RESIDENCY,NIKOL,NIKOL,AHMEDABAD</t>
  </si>
  <si>
    <t>CITY,NIKOL,AHMEDABAD,GUJARAT,382350</t>
  </si>
  <si>
    <t>382350</t>
  </si>
  <si>
    <t>rnsavaliya8144@gmail.com</t>
  </si>
  <si>
    <t>+918128407356</t>
  </si>
  <si>
    <t>NIKOL ROAD BRANCH</t>
  </si>
  <si>
    <t>00000034781709242</t>
  </si>
  <si>
    <t>SBIN0011749</t>
  </si>
  <si>
    <t>1050242776</t>
  </si>
  <si>
    <t>Abhishek Deharia</t>
  </si>
  <si>
    <t>1208870167325125</t>
  </si>
  <si>
    <t>BQIPD3132R</t>
  </si>
  <si>
    <t>S/O: JAMUNA PRASAD DEHARIYA,HOUSE NO</t>
  </si>
  <si>
    <t>2A/135,WARD NO-08,BISHRAMPUR,OFFICER</t>
  </si>
  <si>
    <t>COLONY,BISHRAMPUR</t>
  </si>
  <si>
    <t>SURAJPUR</t>
  </si>
  <si>
    <t>497226</t>
  </si>
  <si>
    <t>sam.abhi0007@gmail.com</t>
  </si>
  <si>
    <t>+918770029610</t>
  </si>
  <si>
    <t>BISHRAMPUR</t>
  </si>
  <si>
    <t>00000032429656163</t>
  </si>
  <si>
    <t>SBIN0002836</t>
  </si>
  <si>
    <t>1050220436</t>
  </si>
  <si>
    <t>Sabir Khan</t>
  </si>
  <si>
    <t>1208870428729931</t>
  </si>
  <si>
    <t>JGFPK7618C</t>
  </si>
  <si>
    <t>C/O NAWAB KHAN,,,GALI NO-11 NEAR</t>
  </si>
  <si>
    <t>GARHWAL PANEER , RAMESH PARK,R-242 1ST</t>
  </si>
  <si>
    <t>FLOOR,LAXMI NAGAR,,EAST</t>
  </si>
  <si>
    <t>sabirnawabkhan.99@gmail.com</t>
  </si>
  <si>
    <t>+918368702480</t>
  </si>
  <si>
    <t>VIKAS MARG</t>
  </si>
  <si>
    <t>00000039991701612</t>
  </si>
  <si>
    <t>SBIN0020839</t>
  </si>
  <si>
    <t>1050208719</t>
  </si>
  <si>
    <t>Mudit Garg</t>
  </si>
  <si>
    <t>AMXPG9389H</t>
  </si>
  <si>
    <t>S O GOPAL MOHAN GARG 86</t>
  </si>
  <si>
    <t>RIGHT GANJ CLOCK TOWER</t>
  </si>
  <si>
    <t>GHAZIABAD GHAZIABAD UTTAR PRADESH 201001</t>
  </si>
  <si>
    <t>mudit04garg@yahoo.co.in</t>
  </si>
  <si>
    <t>+919555303249</t>
  </si>
  <si>
    <t>ARN-123352</t>
  </si>
  <si>
    <t>ARANOX SECURITIES PRIVATE LIMITED</t>
  </si>
  <si>
    <t>AAPCA4600A</t>
  </si>
  <si>
    <t>3003,Grand Plaza,</t>
  </si>
  <si>
    <t>Dakbanglow Frazer Road</t>
  </si>
  <si>
    <t>Upadhyay,Lane West Lohanipur Kadamkuan</t>
  </si>
  <si>
    <t>800001</t>
  </si>
  <si>
    <t>+919334122973</t>
  </si>
  <si>
    <t>mfaranox@gmail.com</t>
  </si>
  <si>
    <t>GHAZIABAD ASHOK NAGAR</t>
  </si>
  <si>
    <t>94892010005880</t>
  </si>
  <si>
    <t>CNRB0019489</t>
  </si>
  <si>
    <t>1050233323</t>
  </si>
  <si>
    <t>Shripad Ramesh Pawtekar</t>
  </si>
  <si>
    <t>ABQPP4198R</t>
  </si>
  <si>
    <t>S O RAMESH PAWTEKAR PARTH HOUSING SOCIETY FLAT NO</t>
  </si>
  <si>
    <t>11 74 RASTA PETH PUNE 11 OPP ISRAIL CHURCH PUNE CITY</t>
  </si>
  <si>
    <t>PUNE MAHARASHTRA 411011</t>
  </si>
  <si>
    <t>shripadpawtekar10872@gmail.com</t>
  </si>
  <si>
    <t>+917620792633</t>
  </si>
  <si>
    <t>ARN-128665</t>
  </si>
  <si>
    <t>MONIKA BHARAT GANDHI</t>
  </si>
  <si>
    <t>AHUPG3511B</t>
  </si>
  <si>
    <t>Silver Coin Fl No-23/2</t>
  </si>
  <si>
    <t>Near Kailas Jeevan Factory</t>
  </si>
  <si>
    <t>Dhayari</t>
  </si>
  <si>
    <t>411041</t>
  </si>
  <si>
    <t>+919850187862</t>
  </si>
  <si>
    <t>monikagandhi26@gmail.com</t>
  </si>
  <si>
    <t>BRANCH</t>
  </si>
  <si>
    <t>PIMPRI CHINCHWAD</t>
  </si>
  <si>
    <t>3244241120</t>
  </si>
  <si>
    <t>411016003</t>
  </si>
  <si>
    <t>CBIN0280661</t>
  </si>
  <si>
    <t>1050234690</t>
  </si>
  <si>
    <t>Rishab Sharma</t>
  </si>
  <si>
    <t>IN30302864194226</t>
  </si>
  <si>
    <t>EQYPS3701N</t>
  </si>
  <si>
    <t>60B</t>
  </si>
  <si>
    <t>Aditya Birla Sun Life Pharma &amp; Healthcare Fund Regular Growth</t>
  </si>
  <si>
    <t>WARDNO29INDIRACOLONYOGURDASPUR</t>
  </si>
  <si>
    <t>PATHANKOT</t>
  </si>
  <si>
    <t>145001</t>
  </si>
  <si>
    <t>sharma.rishab88@yahoo.com</t>
  </si>
  <si>
    <t>+918054174400</t>
  </si>
  <si>
    <t>GURGAO PEACH TREE</t>
  </si>
  <si>
    <t>245001505106</t>
  </si>
  <si>
    <t>ICIC0002450</t>
  </si>
  <si>
    <t>1050233785</t>
  </si>
  <si>
    <t>NIRANJAN BABU GANTALA</t>
  </si>
  <si>
    <t>ACVPN1388F</t>
  </si>
  <si>
    <t>250Y</t>
  </si>
  <si>
    <t>Aditya Birla Sun Life Manufacturing Equity Fund-DIRECT Growth</t>
  </si>
  <si>
    <t>EMBASSY RESIDENTY FERN 0523</t>
  </si>
  <si>
    <t>439 SARASWATHI RAJASEKAR SALAI CHERAN NAGAR</t>
  </si>
  <si>
    <t>PERUMBAKKAM BEHIND GLOBAL HOSPITAL</t>
  </si>
  <si>
    <t>600100</t>
  </si>
  <si>
    <t>niranjanbabugantala@gmail.com</t>
  </si>
  <si>
    <t>+919003093204</t>
  </si>
  <si>
    <t>PERUMBAKKAM</t>
  </si>
  <si>
    <t>007701500317</t>
  </si>
  <si>
    <t>ICIC0002707</t>
  </si>
  <si>
    <t>1050249048</t>
  </si>
  <si>
    <t>Chandra Prakash Mishra</t>
  </si>
  <si>
    <t>AAYPM7396K</t>
  </si>
  <si>
    <t>Manoj Mishra</t>
  </si>
  <si>
    <t>AAYPM7397J</t>
  </si>
  <si>
    <t>GALI NO 7 NEW GOVIND NAGAR</t>
  </si>
  <si>
    <t>RAMGANJ</t>
  </si>
  <si>
    <t>AJMER</t>
  </si>
  <si>
    <t>305001</t>
  </si>
  <si>
    <t>cpmishra1144@gmail.com</t>
  </si>
  <si>
    <t>+919413153722</t>
  </si>
  <si>
    <t>ARN-38569</t>
  </si>
  <si>
    <t>ASHISHGUPTA</t>
  </si>
  <si>
    <t>AFAPG0039C</t>
  </si>
  <si>
    <t>630/27</t>
  </si>
  <si>
    <t>Near Police Chowki</t>
  </si>
  <si>
    <t>Ramganj Ajmer</t>
  </si>
  <si>
    <t>+919828786637</t>
  </si>
  <si>
    <t>ashish_gupta_786@yahoo.com</t>
  </si>
  <si>
    <t>RAMGANJ - AJMER</t>
  </si>
  <si>
    <t>497002010000108</t>
  </si>
  <si>
    <t>305026004</t>
  </si>
  <si>
    <t>UBIN0549703</t>
  </si>
  <si>
    <t>145</t>
  </si>
  <si>
    <t>Ajmer</t>
  </si>
  <si>
    <t>1050252185</t>
  </si>
  <si>
    <t>Jaganpreet Kaur</t>
  </si>
  <si>
    <t>NPOPK9912K</t>
  </si>
  <si>
    <t>718 WARD NO 09 LOHIAN KHAS TEHSIL SHAHKOT LOHIAN KHAS</t>
  </si>
  <si>
    <t>-</t>
  </si>
  <si>
    <t>LOHIAN KHAS</t>
  </si>
  <si>
    <t>144629</t>
  </si>
  <si>
    <t>panesargora@gmail.com</t>
  </si>
  <si>
    <t>+919501955244</t>
  </si>
  <si>
    <t>LOHIAN</t>
  </si>
  <si>
    <t>921010033298022</t>
  </si>
  <si>
    <t>UTIB0003828</t>
  </si>
  <si>
    <t>1050169024</t>
  </si>
  <si>
    <t>Mala Kodpe</t>
  </si>
  <si>
    <t>1208870114769441</t>
  </si>
  <si>
    <t>DEVPK1620C</t>
  </si>
  <si>
    <t>D/O PRAKASHCHANDRA,15/1, KESHAV NAGAR</t>
  </si>
  <si>
    <t>COLONY,UJJAIN,UJJAIN,MADHYA</t>
  </si>
  <si>
    <t>PRADESH,456001</t>
  </si>
  <si>
    <t>UJJAIN</t>
  </si>
  <si>
    <t>456001</t>
  </si>
  <si>
    <t>mala8413@gmail.com</t>
  </si>
  <si>
    <t>+919993166657</t>
  </si>
  <si>
    <t>FREEGANJ UJJAIN</t>
  </si>
  <si>
    <t>08570110071632</t>
  </si>
  <si>
    <t>UCBA0000857</t>
  </si>
  <si>
    <t>1050144959</t>
  </si>
  <si>
    <t>Prijith Trithala</t>
  </si>
  <si>
    <t>1208870156200747</t>
  </si>
  <si>
    <t>CUSPP0582N</t>
  </si>
  <si>
    <t>18/23 PRIYAM,SILVER LANE,-,KANCHIKKODE</t>
  </si>
  <si>
    <t>WEST,PUDUSSERY</t>
  </si>
  <si>
    <t>WEST,PALAKKAD,KERALA,678623</t>
  </si>
  <si>
    <t>678623</t>
  </si>
  <si>
    <t>t.prijith@gmail.com</t>
  </si>
  <si>
    <t>+919526755398</t>
  </si>
  <si>
    <t>KHARADI  PUNE</t>
  </si>
  <si>
    <t>50100478758168</t>
  </si>
  <si>
    <t>HDFC0001578</t>
  </si>
  <si>
    <t>1050170813</t>
  </si>
  <si>
    <t>Ponnusamy Vasanthi</t>
  </si>
  <si>
    <t>1208160082030657</t>
  </si>
  <si>
    <t>BJAPV1203N</t>
  </si>
  <si>
    <t>129 VETTUVAN KATTU THOTTAM KOM</t>
  </si>
  <si>
    <t>PERUNDURAI KOVILPALAYAM</t>
  </si>
  <si>
    <t>ERODE</t>
  </si>
  <si>
    <t>638116</t>
  </si>
  <si>
    <t>vasanthimscmaths@gmail.com</t>
  </si>
  <si>
    <t>+917904005467</t>
  </si>
  <si>
    <t>PERUNDURAI TAMIL NADU</t>
  </si>
  <si>
    <t>PERUNDURAI</t>
  </si>
  <si>
    <t>155301504066</t>
  </si>
  <si>
    <t>ICIC0001553</t>
  </si>
  <si>
    <t>1050171354</t>
  </si>
  <si>
    <t>Sanjay Singh</t>
  </si>
  <si>
    <t>1208870239017355</t>
  </si>
  <si>
    <t>EKUPS8390M</t>
  </si>
  <si>
    <t>SHRI RAMDEV,KISHAN VIHAR COLONY,KESHAV</t>
  </si>
  <si>
    <t>NAGAR 2,KESHAV NAGAR 2,NEAR KESAV</t>
  </si>
  <si>
    <t>NAGAR POLICE CHOKI,BHITOLI</t>
  </si>
  <si>
    <t>226020</t>
  </si>
  <si>
    <t>sanjay.gs1987@gmail.com</t>
  </si>
  <si>
    <t>+917007894423</t>
  </si>
  <si>
    <t>NISHATGUNJ BRANCH</t>
  </si>
  <si>
    <t>34300100012290</t>
  </si>
  <si>
    <t>BARB0NISHAT</t>
  </si>
  <si>
    <t>1050164220</t>
  </si>
  <si>
    <t>Gangula Srujana</t>
  </si>
  <si>
    <t>IN30023983422440</t>
  </si>
  <si>
    <t>EJOPG7391P</t>
  </si>
  <si>
    <t>GANGULA SATISH KUMAR,H.NO 2-108/1,DONKES</t>
  </si>
  <si>
    <t>HWAR,NANDIPET MANDALDONKESHWAR,,DONKESHW</t>
  </si>
  <si>
    <t>AR,DONKESHWARNIZAMABAD</t>
  </si>
  <si>
    <t>NIZAMABAD</t>
  </si>
  <si>
    <t>503212</t>
  </si>
  <si>
    <t>9908846207</t>
  </si>
  <si>
    <t>gsreeja93@gmail.com</t>
  </si>
  <si>
    <t>+919908846207</t>
  </si>
  <si>
    <t>KANTESHWAR NIZAMABAD</t>
  </si>
  <si>
    <t>6710355078</t>
  </si>
  <si>
    <t>IDIB000K326</t>
  </si>
  <si>
    <t>1050177636</t>
  </si>
  <si>
    <t>Bharat Singh</t>
  </si>
  <si>
    <t>1208870311582391</t>
  </si>
  <si>
    <t>FRFPS2511M</t>
  </si>
  <si>
    <t>BAHADUR SINGH,A 60,J D A STAFF</t>
  </si>
  <si>
    <t>COLONY,TEELAWALA,JAGATPURA,SANGANER,PR</t>
  </si>
  <si>
    <t>ATAP NAGAR SECTOR</t>
  </si>
  <si>
    <t>302033</t>
  </si>
  <si>
    <t>singhbharat945@gmail.com</t>
  </si>
  <si>
    <t>+919414000887</t>
  </si>
  <si>
    <t>JAIPUR MAIN</t>
  </si>
  <si>
    <t>00000037491942721</t>
  </si>
  <si>
    <t>SBIN0000656</t>
  </si>
  <si>
    <t>1050153361</t>
  </si>
  <si>
    <t>CHAIN SUKH JEENGAR (HUF)</t>
  </si>
  <si>
    <t>AAFHC3318A</t>
  </si>
  <si>
    <t>4 3A RAIL VIHAR 2 SECTOR 9 VIDHYA</t>
  </si>
  <si>
    <t>DHAR NAGAR VIDHYA DHAR NAGAR STADIUM</t>
  </si>
  <si>
    <t>302023</t>
  </si>
  <si>
    <t>csjeenagra@gmail.com</t>
  </si>
  <si>
    <t>+919001156661</t>
  </si>
  <si>
    <t>ARN-337339</t>
  </si>
  <si>
    <t>GROWELL ASSETS</t>
  </si>
  <si>
    <t>ABDFG1859P</t>
  </si>
  <si>
    <t>804 8TH FLOOR Khasra No 111/412-A</t>
  </si>
  <si>
    <t>Shipra path Sector -11</t>
  </si>
  <si>
    <t>Mansarovar Hights Jaipur 302020</t>
  </si>
  <si>
    <t>302020</t>
  </si>
  <si>
    <t>7231966999</t>
  </si>
  <si>
    <t>Growellassets@gmail.com</t>
  </si>
  <si>
    <t>JAIPUR VIDYADHAR NAGAR</t>
  </si>
  <si>
    <t>065001002756</t>
  </si>
  <si>
    <t>ICIC0000650</t>
  </si>
  <si>
    <t>1050182519</t>
  </si>
  <si>
    <t>Vivek Ramchandra Kadam</t>
  </si>
  <si>
    <t>ANNPK3291P</t>
  </si>
  <si>
    <t>KALAPTARU RENUKA NAGAR</t>
  </si>
  <si>
    <t>KASBA BAWADA</t>
  </si>
  <si>
    <t>416006</t>
  </si>
  <si>
    <t>vivekrkadam@gmail.com</t>
  </si>
  <si>
    <t>+917350069600</t>
  </si>
  <si>
    <t>ARN-116400</t>
  </si>
  <si>
    <t>KAMLESH SATRAMDAS ADVANI</t>
  </si>
  <si>
    <t>AFKPA5264M</t>
  </si>
  <si>
    <t>Ashiana Plot No-138 1Floor</t>
  </si>
  <si>
    <t>Near Cosmos Co-Op Bank Ltd</t>
  </si>
  <si>
    <t>Pimpri</t>
  </si>
  <si>
    <t>+918983732044</t>
  </si>
  <si>
    <t>synergyglobalinvestments@gmail.com</t>
  </si>
  <si>
    <t>BANER</t>
  </si>
  <si>
    <t>17941610010884</t>
  </si>
  <si>
    <t>HDFC0001794</t>
  </si>
  <si>
    <t>1050161513</t>
  </si>
  <si>
    <t>Anshuman Dhal</t>
  </si>
  <si>
    <t>DVTPD6834G</t>
  </si>
  <si>
    <t>S/O BENUDHAR DHAL, NARAJ, MARTHAPUR, NARAJ,,</t>
  </si>
  <si>
    <t>NARAJMARTHAPUR, CUTTACK, , ODISHA</t>
  </si>
  <si>
    <t>CUTTACK</t>
  </si>
  <si>
    <t>754006</t>
  </si>
  <si>
    <t>anshumandhal7@gmail.com</t>
  </si>
  <si>
    <t>+919778573006</t>
  </si>
  <si>
    <t>BYASANAGAR BRANCH</t>
  </si>
  <si>
    <t>JAJPUR</t>
  </si>
  <si>
    <t>10201126078</t>
  </si>
  <si>
    <t>1050153169</t>
  </si>
  <si>
    <t>Harish K R</t>
  </si>
  <si>
    <t>BPOPR3601C</t>
  </si>
  <si>
    <t>CO K B Kamini No T-5 3rd Floor Sathvik Enclave 10th</t>
  </si>
  <si>
    <t>Cross Abbaiah Reddy Layout Cvraman Nagar</t>
  </si>
  <si>
    <t>Kaggadasapura</t>
  </si>
  <si>
    <t>560093</t>
  </si>
  <si>
    <t>harr0478@gmail.com</t>
  </si>
  <si>
    <t>+918197241091</t>
  </si>
  <si>
    <t>INDIRA NAGAR</t>
  </si>
  <si>
    <t>04322010095777</t>
  </si>
  <si>
    <t>CNRB0010432</t>
  </si>
  <si>
    <t>1050159898</t>
  </si>
  <si>
    <t>Kusum Lata Ohri</t>
  </si>
  <si>
    <t>AAAPO2654G</t>
  </si>
  <si>
    <t>A 299 SURYA NAGAR</t>
  </si>
  <si>
    <t>GHAZIABAD UP</t>
  </si>
  <si>
    <t>201011</t>
  </si>
  <si>
    <t>kusumohri299@gmail.com</t>
  </si>
  <si>
    <t>+919810155864</t>
  </si>
  <si>
    <t>VIVEK VIHAR ASHOKA NIKETAN</t>
  </si>
  <si>
    <t>01931000126204</t>
  </si>
  <si>
    <t>HDFC0000193</t>
  </si>
  <si>
    <t>1050187170</t>
  </si>
  <si>
    <t>Dhiman Bhattacharya</t>
  </si>
  <si>
    <t>1208160023169748</t>
  </si>
  <si>
    <t>AIVPB2991C</t>
  </si>
  <si>
    <t>258 AMLAPARA ROAD</t>
  </si>
  <si>
    <t>BYE LANE 1 BONGAON N 24PGS BON</t>
  </si>
  <si>
    <t>9679230568</t>
  </si>
  <si>
    <t>duttasai72@gmail.com</t>
  </si>
  <si>
    <t>+916291179615</t>
  </si>
  <si>
    <t>MOTIGANJ BONGAON</t>
  </si>
  <si>
    <t>NORTH PARAGANAS</t>
  </si>
  <si>
    <t>11064177564</t>
  </si>
  <si>
    <t>SBIN0014535</t>
  </si>
  <si>
    <t>1050195655</t>
  </si>
  <si>
    <t>Parvejkha Anavarkha Pathan</t>
  </si>
  <si>
    <t>1203320230713237</t>
  </si>
  <si>
    <t>HECPP6102P</t>
  </si>
  <si>
    <t>KGN VORAKOTADA ROAD BH RAMJI</t>
  </si>
  <si>
    <t>MANDIR GONDAL RAJKOT GUJARAT</t>
  </si>
  <si>
    <t>GONDAL</t>
  </si>
  <si>
    <t>360311</t>
  </si>
  <si>
    <t>6358303092</t>
  </si>
  <si>
    <t>fejalpathan05@gmail.com</t>
  </si>
  <si>
    <t>+916358303092</t>
  </si>
  <si>
    <t>60433532527</t>
  </si>
  <si>
    <t>MAHB0002219</t>
  </si>
  <si>
    <t>1050203170</t>
  </si>
  <si>
    <t>SANGEETA YADAV</t>
  </si>
  <si>
    <t>BCPPY7226J</t>
  </si>
  <si>
    <t>C/O Antim Kumar Yadav,A-16,REGAL HOMES,KHAJURI KALAN,Hu</t>
  </si>
  <si>
    <t>zur,Huzur,Bhopal,Madhya Pradesh,462022,India</t>
  </si>
  <si>
    <t>Huzur</t>
  </si>
  <si>
    <t>462022</t>
  </si>
  <si>
    <t>sangitayadavb06@gmail.com</t>
  </si>
  <si>
    <t>+918966839125</t>
  </si>
  <si>
    <t>ARN-66243</t>
  </si>
  <si>
    <t>SATYENDRA KUMAR TIWARI</t>
  </si>
  <si>
    <t>ADSPT9652L</t>
  </si>
  <si>
    <t>3/1 Mitra Bihar Colony</t>
  </si>
  <si>
    <t>Near Uddan Publschool</t>
  </si>
  <si>
    <t>Hoshangabad</t>
  </si>
  <si>
    <t>461001</t>
  </si>
  <si>
    <t>+919407505656</t>
  </si>
  <si>
    <t>maharudrainvest@gmail.com</t>
  </si>
  <si>
    <t>AWADHPURI BHOPAL</t>
  </si>
  <si>
    <t>39601242871</t>
  </si>
  <si>
    <t>462002058</t>
  </si>
  <si>
    <t>SBIN0011787</t>
  </si>
  <si>
    <t>755</t>
  </si>
  <si>
    <t>Bhopal</t>
  </si>
  <si>
    <t>1050204475</t>
  </si>
  <si>
    <t>Keval Hitesh Yagnik</t>
  </si>
  <si>
    <t>1208160045789802</t>
  </si>
  <si>
    <t>ATWPY5632R</t>
  </si>
  <si>
    <t>I 104 ISHAN SILVER NEW C G ROA</t>
  </si>
  <si>
    <t>BUNGLOWS</t>
  </si>
  <si>
    <t>GANDHI NAGAR</t>
  </si>
  <si>
    <t>382424</t>
  </si>
  <si>
    <t>keval10191@gmail.com</t>
  </si>
  <si>
    <t>+917984039887</t>
  </si>
  <si>
    <t>VASTRAPUR AHMEDABAD</t>
  </si>
  <si>
    <t>20308099161</t>
  </si>
  <si>
    <t>SBIN0060447</t>
  </si>
  <si>
    <t>1050205046</t>
  </si>
  <si>
    <t>Amit Kumar Verma</t>
  </si>
  <si>
    <t>AEQPV9437G</t>
  </si>
  <si>
    <t>FLAT NO 1312 13 TH FLOOR B WING</t>
  </si>
  <si>
    <t>EVEREST APT CHS LTD J P N ROAD</t>
  </si>
  <si>
    <t>ANDHERI WEST MUMBAI ANDHERI VESAVA</t>
  </si>
  <si>
    <t>Mumbai Suburban</t>
  </si>
  <si>
    <t>400061</t>
  </si>
  <si>
    <t>amit.sitm@gmail.com</t>
  </si>
  <si>
    <t>+919920062201</t>
  </si>
  <si>
    <t>INA200015185</t>
  </si>
  <si>
    <t>EPIFI WEALTH PRIVATE LIMITED</t>
  </si>
  <si>
    <t>AAFCE8942F</t>
  </si>
  <si>
    <t>INDIQUBE GAMMA,#293/154/172,</t>
  </si>
  <si>
    <t>OUTER RING ROAD,</t>
  </si>
  <si>
    <t>KADUBEESANAHALLI,MARATHAHALLI</t>
  </si>
  <si>
    <t>560103</t>
  </si>
  <si>
    <t>+918047485490</t>
  </si>
  <si>
    <t>mf-feed-prod@epifi.com</t>
  </si>
  <si>
    <t>55550121832685</t>
  </si>
  <si>
    <t>1050208995</t>
  </si>
  <si>
    <t>Shreya Agrawal</t>
  </si>
  <si>
    <t>CEFPA7983F</t>
  </si>
  <si>
    <t>C O ANIL AGRAWAL WARD NO 07 PURANI GALLA MANDI</t>
  </si>
  <si>
    <t>NAGOD NAGOD NAGOD SATNA MADHYA PRADESH 485446</t>
  </si>
  <si>
    <t>485446</t>
  </si>
  <si>
    <t>shreya.bn8@gmail.com</t>
  </si>
  <si>
    <t>+917879257749</t>
  </si>
  <si>
    <t>NAGOD</t>
  </si>
  <si>
    <t>1842104000037651</t>
  </si>
  <si>
    <t>IBKL0001842</t>
  </si>
  <si>
    <t>1050213297</t>
  </si>
  <si>
    <t>Sivasankaran Mohanapriya</t>
  </si>
  <si>
    <t>DCRPM7093B</t>
  </si>
  <si>
    <t>2/172,Kaattukovil Street,Kulithalai Taluk</t>
  </si>
  <si>
    <t>Sathiyamangalam,Sathiyamangalam</t>
  </si>
  <si>
    <t>P.O.Box Sathiyamangalam,Karur,Tamil Nadu,639120,India</t>
  </si>
  <si>
    <t>KARUR</t>
  </si>
  <si>
    <t>639120</t>
  </si>
  <si>
    <t>priyamathialagan82@gmail.com</t>
  </si>
  <si>
    <t>+918903991473</t>
  </si>
  <si>
    <t>INZ000006031</t>
  </si>
  <si>
    <t>MONEYLICIOUS SECURITIES PRIVATE LIMITED</t>
  </si>
  <si>
    <t>AAICM0935B</t>
  </si>
  <si>
    <t>ROOM NO 14D</t>
  </si>
  <si>
    <t>SHRI KRISHNA CHAMBERS,</t>
  </si>
  <si>
    <t>4TH FLOOR 78, BENTICK STREET</t>
  </si>
  <si>
    <t>700001</t>
  </si>
  <si>
    <t>mfops@dhan.co</t>
  </si>
  <si>
    <t>CCFPOSTPULIYUR?</t>
  </si>
  <si>
    <t>615701505105</t>
  </si>
  <si>
    <t>ICIC0006157</t>
  </si>
  <si>
    <t>1050218011</t>
  </si>
  <si>
    <t>Dig Vijay Sharma</t>
  </si>
  <si>
    <t>IOGPS0609M</t>
  </si>
  <si>
    <t>S O Rup Narayan Sharma Gangtok</t>
  </si>
  <si>
    <t>Municpal Corporation Development</t>
  </si>
  <si>
    <t>Area Development Area Baral Niwas</t>
  </si>
  <si>
    <t>East Sikkim</t>
  </si>
  <si>
    <t>SI</t>
  </si>
  <si>
    <t>737101</t>
  </si>
  <si>
    <t>ndigvijay29@gmail.com</t>
  </si>
  <si>
    <t>+919434153576</t>
  </si>
  <si>
    <t>ARN-261541</t>
  </si>
  <si>
    <t>Asif Zoha Ansari</t>
  </si>
  <si>
    <t>AJKPA0147P</t>
  </si>
  <si>
    <t>HA/AZA/72/A J N MITRA ROAD</t>
  </si>
  <si>
    <t>CHANDMARI</t>
  </si>
  <si>
    <t>Near Biswa Karma Samaj</t>
  </si>
  <si>
    <t>Darjeeling</t>
  </si>
  <si>
    <t>+919800075417</t>
  </si>
  <si>
    <t>asifzohar4u@yahoo.com</t>
  </si>
  <si>
    <t>GANGTOK - SIKKIM</t>
  </si>
  <si>
    <t>GANGTOK</t>
  </si>
  <si>
    <t>04201050004405</t>
  </si>
  <si>
    <t>HDFC0000420</t>
  </si>
  <si>
    <t>1050229117</t>
  </si>
  <si>
    <t>K B Veena</t>
  </si>
  <si>
    <t>ADQPV7136H</t>
  </si>
  <si>
    <t>W O PRASAN KUMAR K 1659 17 2ND CROSS VIDYANAGARA</t>
  </si>
  <si>
    <t>THARALABALU BADAVANE DAVANAGERE DAVANAGERE BAPUJI</t>
  </si>
  <si>
    <t>VIDYANAGARA DAVANGERE KARNATAKA 577005</t>
  </si>
  <si>
    <t>577005</t>
  </si>
  <si>
    <t>veenakb94@gmail.com</t>
  </si>
  <si>
    <t>+919448697964</t>
  </si>
  <si>
    <t>ARN-189274</t>
  </si>
  <si>
    <t>CENTRICITY FINANCIAL DISTRIBUTION PRIVATE LIMITED</t>
  </si>
  <si>
    <t>AAJCC7495B</t>
  </si>
  <si>
    <t>Flat No A 5 15</t>
  </si>
  <si>
    <t>Fine Home Aprt Mayur</t>
  </si>
  <si>
    <t>Vihar Phase 1</t>
  </si>
  <si>
    <t>110091</t>
  </si>
  <si>
    <t>+919811431947</t>
  </si>
  <si>
    <t>mfops@centricity.co.in</t>
  </si>
  <si>
    <t>MANDIPET ,MAIN,DAVANGERE</t>
  </si>
  <si>
    <t>10012200094232</t>
  </si>
  <si>
    <t>577015002</t>
  </si>
  <si>
    <t>CNRB0000508</t>
  </si>
  <si>
    <t>DVG8192</t>
  </si>
  <si>
    <t>1050246983</t>
  </si>
  <si>
    <t>Vinoth Arumugam</t>
  </si>
  <si>
    <t>AOHPV3971L</t>
  </si>
  <si>
    <t>S O Arumugam NO 72 26 DURGAI AMMAN</t>
  </si>
  <si>
    <t>KOVIL STREET SAI POLYCLINIC</t>
  </si>
  <si>
    <t>Tiruvannamalai Tiruvannamalai</t>
  </si>
  <si>
    <t>Tiruvannamalai</t>
  </si>
  <si>
    <t>606601</t>
  </si>
  <si>
    <t>vinoth07021991@gmail.com</t>
  </si>
  <si>
    <t>+918838768741</t>
  </si>
  <si>
    <t>GURGAON  BANKHOUSE  HARYANA</t>
  </si>
  <si>
    <t>05722470038817</t>
  </si>
  <si>
    <t>HDFC0000572</t>
  </si>
  <si>
    <t>1050231515</t>
  </si>
  <si>
    <t>J Rajasekar</t>
  </si>
  <si>
    <t>AENPR0002E</t>
  </si>
  <si>
    <t>MANGALAM ILLAM NO 2/3 2ND FLOOR, 7TH LANE</t>
  </si>
  <si>
    <t>SHASTRI NAGAR, ADYAR</t>
  </si>
  <si>
    <t>CHENNAI, TAMIL NADU</t>
  </si>
  <si>
    <t>600020</t>
  </si>
  <si>
    <t>rajaj3234@gmail.com</t>
  </si>
  <si>
    <t>+919840018366</t>
  </si>
  <si>
    <t>ARN-253076</t>
  </si>
  <si>
    <t>J2 WEALTH PRIVATE LIMITED</t>
  </si>
  <si>
    <t>AAFCJ6458B</t>
  </si>
  <si>
    <t>Plot No 24, S1</t>
  </si>
  <si>
    <t>2Nd Floor, 2Nd Street,</t>
  </si>
  <si>
    <t>Nesamani Nagar, Perumbakkam</t>
  </si>
  <si>
    <t>+919701308565</t>
  </si>
  <si>
    <t>j2wealthpvtltdrta@gmail.com</t>
  </si>
  <si>
    <t>NANDAMBAKKAM</t>
  </si>
  <si>
    <t>18751140008724</t>
  </si>
  <si>
    <t>HDFC0001875</t>
  </si>
  <si>
    <t>1050248605</t>
  </si>
  <si>
    <t>Amrita Kumari</t>
  </si>
  <si>
    <t>BQIPK5182J</t>
  </si>
  <si>
    <t>W/O AMAR KUMAR,SUNDARPUR CHHATHI POKHAR,SUNDARPUR,DARBH</t>
  </si>
  <si>
    <t>ANGA,BIHAR,846004,INDIA</t>
  </si>
  <si>
    <t>DARBHANGA</t>
  </si>
  <si>
    <t>846004</t>
  </si>
  <si>
    <t>buntybubly01072010@gmail.com</t>
  </si>
  <si>
    <t>+918603617155</t>
  </si>
  <si>
    <t>Central Bank of India</t>
  </si>
  <si>
    <t>SURENDRA MANGALDAS ROAD AHMEDABAD</t>
  </si>
  <si>
    <t>3309479117</t>
  </si>
  <si>
    <t>380016029</t>
  </si>
  <si>
    <t>CBIN0281661</t>
  </si>
  <si>
    <t>DAR6272</t>
  </si>
  <si>
    <t>Darbhanga</t>
  </si>
  <si>
    <t>1050248996</t>
  </si>
  <si>
    <t>Reena Srivastava</t>
  </si>
  <si>
    <t>HIOPS9729F</t>
  </si>
  <si>
    <t>C O SAMAR BAHADUR LAL</t>
  </si>
  <si>
    <t>KOI RAJPUR HARAHUA</t>
  </si>
  <si>
    <t>HARAHUA</t>
  </si>
  <si>
    <t>+916388033390</t>
  </si>
  <si>
    <t>914010014976404</t>
  </si>
  <si>
    <t>221211004</t>
  </si>
  <si>
    <t>1050253381</t>
  </si>
  <si>
    <t>Kanchanben L Panchal</t>
  </si>
  <si>
    <t>AFFPP4425C</t>
  </si>
  <si>
    <t>01 REDCORAL PRIDE OPPOSITE NAYARA PETROL PUMP 30</t>
  </si>
  <si>
    <t>METER DUMAD CHHANI ROAD VADODARA VADODARA</t>
  </si>
  <si>
    <t>391740</t>
  </si>
  <si>
    <t>kanchanbenlpanchal@gmail.com</t>
  </si>
  <si>
    <t>+919987245225</t>
  </si>
  <si>
    <t>ARN-66006</t>
  </si>
  <si>
    <t>TJSB Sahakari Bank Ltd</t>
  </si>
  <si>
    <t>AAAAT4062E</t>
  </si>
  <si>
    <t>TJSB HOUSE, PLOT NO 5B</t>
  </si>
  <si>
    <t>ROAD NO 2 WAGLE IND. ESTATE</t>
  </si>
  <si>
    <t>THANE WEST</t>
  </si>
  <si>
    <t>8828004095</t>
  </si>
  <si>
    <t>mf@tjsb.co.in</t>
  </si>
  <si>
    <t>TJSB SAHAKARI BANK LTD</t>
  </si>
  <si>
    <t>POKHARAN ROAD NO TWO BRANCH</t>
  </si>
  <si>
    <t>046110100004604</t>
  </si>
  <si>
    <t>TJSB0000046</t>
  </si>
  <si>
    <t>1050254880</t>
  </si>
  <si>
    <t>Rofiqul Islam</t>
  </si>
  <si>
    <t>1203320078058413</t>
  </si>
  <si>
    <t>ANBPI3283M</t>
  </si>
  <si>
    <t>CHEDAMARI</t>
  </si>
  <si>
    <t>BONGAIGAON</t>
  </si>
  <si>
    <t>783388</t>
  </si>
  <si>
    <t>9394476308</t>
  </si>
  <si>
    <t>rislam2990@gmail.com</t>
  </si>
  <si>
    <t>+919394476308</t>
  </si>
  <si>
    <t>JOGIGHOPA</t>
  </si>
  <si>
    <t>00000035170410218</t>
  </si>
  <si>
    <t>SBIN0014258</t>
  </si>
  <si>
    <t>1050170694</t>
  </si>
  <si>
    <t>Bagirthi Ashwin Reddy</t>
  </si>
  <si>
    <t>1208160193781861</t>
  </si>
  <si>
    <t>FATCA not available for Investor/Guardian-ICWPB3406F</t>
  </si>
  <si>
    <t>ICWPB3406F</t>
  </si>
  <si>
    <t>321GZ</t>
  </si>
  <si>
    <t>Aditya Birla Sun Life Dynamic Bond Fund Growth-Direct Plan</t>
  </si>
  <si>
    <t>S/O BAGIRTHI NARSA REDDY H N0 2-103 LAXM</t>
  </si>
  <si>
    <t>APUR NIZAMABAD MANDAL MALKAPUR A</t>
  </si>
  <si>
    <t>MALKAPUR A</t>
  </si>
  <si>
    <t>503186</t>
  </si>
  <si>
    <t>ashwinreddyb333@gmail.com</t>
  </si>
  <si>
    <t>+918341649668</t>
  </si>
  <si>
    <t>GUNDARAM</t>
  </si>
  <si>
    <t>NIZAMABADD</t>
  </si>
  <si>
    <t>00000040321866386</t>
  </si>
  <si>
    <t>SBIN0021496</t>
  </si>
  <si>
    <t>1050147817</t>
  </si>
  <si>
    <t>Abhishek Jayant</t>
  </si>
  <si>
    <t>BHDPJ9014J</t>
  </si>
  <si>
    <t>S/O RAJ KUMAR,H,NO 52,JATWADA,NEAR DASNA</t>
  </si>
  <si>
    <t>GATE,GHAZIABAD,GHAZIABAD,GHAZIABAD,UTTAR PRADESH</t>
  </si>
  <si>
    <t>abhishekjayant54@gmail.com</t>
  </si>
  <si>
    <t>+917838046315</t>
  </si>
  <si>
    <t>NEW DELHI  NEW FRIENDS COLONY</t>
  </si>
  <si>
    <t>50100306997178</t>
  </si>
  <si>
    <t>HDFC0000089</t>
  </si>
  <si>
    <t>1050147251</t>
  </si>
  <si>
    <t>Divyajeet Panda</t>
  </si>
  <si>
    <t>GCPPP2723C</t>
  </si>
  <si>
    <t>S/O NAGEN CHARAN PANDA,VILL- TAROD,PO-</t>
  </si>
  <si>
    <t>NISCHINTASASAN,TAROD,KENDRAPARA,ODISHA,754134</t>
  </si>
  <si>
    <t>754134</t>
  </si>
  <si>
    <t>divyajeetpanda@gmail.com</t>
  </si>
  <si>
    <t>+918455038028</t>
  </si>
  <si>
    <t>PALASUDHA</t>
  </si>
  <si>
    <t>PALASUDA</t>
  </si>
  <si>
    <t>00000041038815585</t>
  </si>
  <si>
    <t>SBIN0008096</t>
  </si>
  <si>
    <t>1050177049</t>
  </si>
  <si>
    <t>Jnaneshwari H S</t>
  </si>
  <si>
    <t>1203320366542589</t>
  </si>
  <si>
    <t>CVDPJ5632B</t>
  </si>
  <si>
    <t>ASAGODU CHICKMAGALUR KARNATAKA</t>
  </si>
  <si>
    <t>KOPPA</t>
  </si>
  <si>
    <t>577126</t>
  </si>
  <si>
    <t>8073213872</t>
  </si>
  <si>
    <t>jnaneshwarihs58@gmail.com</t>
  </si>
  <si>
    <t>+918073213872</t>
  </si>
  <si>
    <t>KELAKOPPA</t>
  </si>
  <si>
    <t>CHIKKAMAGALUR</t>
  </si>
  <si>
    <t>2472500100016501</t>
  </si>
  <si>
    <t>KARB0000247</t>
  </si>
  <si>
    <t>1050153058</t>
  </si>
  <si>
    <t>Aparna Manna</t>
  </si>
  <si>
    <t>GZTPM5942M</t>
  </si>
  <si>
    <t>AMODPUR BARADA</t>
  </si>
  <si>
    <t>BAZAR EAST MIDNAPORE</t>
  </si>
  <si>
    <t>WEST BENGAL 721448</t>
  </si>
  <si>
    <t>721448</t>
  </si>
  <si>
    <t>sumitjana03@gmail.com</t>
  </si>
  <si>
    <t>+917980900912</t>
  </si>
  <si>
    <t>EGRA</t>
  </si>
  <si>
    <t>50100427356620</t>
  </si>
  <si>
    <t>HDFC0002278</t>
  </si>
  <si>
    <t>1050165431</t>
  </si>
  <si>
    <t>Aman Dalal</t>
  </si>
  <si>
    <t>AEZPD7261D</t>
  </si>
  <si>
    <t>S/O: AMAR SINGH DALAL,A-48, KAMALPUSPA SOCIETY</t>
  </si>
  <si>
    <t>BANDRA WEST,NEAR LILAVATI HOSPITAL,MUMBAI,MUMBAI</t>
  </si>
  <si>
    <t>MAHARASHTRA,400050</t>
  </si>
  <si>
    <t>26555541</t>
  </si>
  <si>
    <t>aman.dalal@idfcfirstbank.com</t>
  </si>
  <si>
    <t>+919867191776</t>
  </si>
  <si>
    <t>Bkc - Naman Chambers Branch</t>
  </si>
  <si>
    <t>10000006473</t>
  </si>
  <si>
    <t>1050152191</t>
  </si>
  <si>
    <t>Ayushi Chaturvedi</t>
  </si>
  <si>
    <t>BDAPC4098Q</t>
  </si>
  <si>
    <t>9/320 SECTOR 9 , INDIRA NAGAR</t>
  </si>
  <si>
    <t>INDIRA NAGAR ,LUCKNOW</t>
  </si>
  <si>
    <t>226016</t>
  </si>
  <si>
    <t>ayushichaturvedi96@gmail.com</t>
  </si>
  <si>
    <t>+918954977122</t>
  </si>
  <si>
    <t>50100531860585</t>
  </si>
  <si>
    <t>1050155031</t>
  </si>
  <si>
    <t>Anirudha Dey</t>
  </si>
  <si>
    <t>1208870134792388</t>
  </si>
  <si>
    <t>GQEPD4495Q</t>
  </si>
  <si>
    <t>C/O: AMALENDU DEY,PNO 76/1 SCB</t>
  </si>
  <si>
    <t>8-01-086,SRINIVASA NILAYAM,SARASWATHI</t>
  </si>
  <si>
    <t>NAGAR</t>
  </si>
  <si>
    <t>500015</t>
  </si>
  <si>
    <t>deyanirudha17@gmail.com</t>
  </si>
  <si>
    <t>+918125911330</t>
  </si>
  <si>
    <t>DIVYA SREE B</t>
  </si>
  <si>
    <t>754801506822</t>
  </si>
  <si>
    <t>ICIC0007548</t>
  </si>
  <si>
    <t>1050154989</t>
  </si>
  <si>
    <t>Akhil Agrawal</t>
  </si>
  <si>
    <t>1208870310228316</t>
  </si>
  <si>
    <t>FRXPA4917H</t>
  </si>
  <si>
    <t>S/O: SUDARSHAN GUPTA,WARD NO 15,BIBI</t>
  </si>
  <si>
    <t>GANJ BANDO</t>
  </si>
  <si>
    <t>BASTI,FARRUKHABAD,KAIMGANJ,FARRUKHABAD</t>
  </si>
  <si>
    <t>FARRUKHABAD</t>
  </si>
  <si>
    <t>209625</t>
  </si>
  <si>
    <t>akhilagrawal257@gmail.com</t>
  </si>
  <si>
    <t>+916388967705</t>
  </si>
  <si>
    <t>110190458528</t>
  </si>
  <si>
    <t>1050177462</t>
  </si>
  <si>
    <t>Pawan Kumar Pareek</t>
  </si>
  <si>
    <t>1208180108761341</t>
  </si>
  <si>
    <t>BCAPP6174M</t>
  </si>
  <si>
    <t>WARD NO 03 RAGHUNATHGARH</t>
  </si>
  <si>
    <t>SIKAR</t>
  </si>
  <si>
    <t>332027</t>
  </si>
  <si>
    <t>8638578522</t>
  </si>
  <si>
    <t>pawanpareek9854@gmail.com</t>
  </si>
  <si>
    <t>+918638578522</t>
  </si>
  <si>
    <t>JORHAT</t>
  </si>
  <si>
    <t>0241000100165435</t>
  </si>
  <si>
    <t>PUNB0024100</t>
  </si>
  <si>
    <t>1050162904</t>
  </si>
  <si>
    <t>EXECUTOR OF LATE SHRI RUSI HOMI VAJIFDAR</t>
  </si>
  <si>
    <t>AACAE7970L</t>
  </si>
  <si>
    <t>80</t>
  </si>
  <si>
    <t>Artificial Juridical Person</t>
  </si>
  <si>
    <t>62 B Diamond Court 40</t>
  </si>
  <si>
    <t>Nepean Sea Road</t>
  </si>
  <si>
    <t>400006</t>
  </si>
  <si>
    <t>lily.pastakia@gmail.com</t>
  </si>
  <si>
    <t>+919820558958</t>
  </si>
  <si>
    <t>50100841331906</t>
  </si>
  <si>
    <t>400240015</t>
  </si>
  <si>
    <t>1050162464</t>
  </si>
  <si>
    <t>Prabodh Manjunath Bharadwaj</t>
  </si>
  <si>
    <t>1208870100133176</t>
  </si>
  <si>
    <t>CPJPB4595K</t>
  </si>
  <si>
    <t>S/O MANJUNATHA</t>
  </si>
  <si>
    <t>K.R,#D-8/2,RAKHASRI,LAKSHMI VILAS</t>
  </si>
  <si>
    <t>ROAD,1ST CROSS,DEVARAJA MOHALLA,BEHIND</t>
  </si>
  <si>
    <t>570024</t>
  </si>
  <si>
    <t>prabodh1998@gmail.com</t>
  </si>
  <si>
    <t>+917349399900</t>
  </si>
  <si>
    <t>OLD MADRAS ROAD</t>
  </si>
  <si>
    <t>50100835499696</t>
  </si>
  <si>
    <t>HDFC0002047</t>
  </si>
  <si>
    <t>1050163820</t>
  </si>
  <si>
    <t>Pradyot Chakraborty</t>
  </si>
  <si>
    <t>ADRPC4747N</t>
  </si>
  <si>
    <t>04 DANGAPARA ROAD</t>
  </si>
  <si>
    <t>PO RAHARA</t>
  </si>
  <si>
    <t>RAHAR</t>
  </si>
  <si>
    <t>700118</t>
  </si>
  <si>
    <t>pradyot22125@gmail.com</t>
  </si>
  <si>
    <t>+919163754528</t>
  </si>
  <si>
    <t>PATULIA</t>
  </si>
  <si>
    <t>00000032896858358</t>
  </si>
  <si>
    <t>SBIN0009169</t>
  </si>
  <si>
    <t>1050201205</t>
  </si>
  <si>
    <t>Sabanaaz Khan</t>
  </si>
  <si>
    <t>IN30154954858587</t>
  </si>
  <si>
    <t>BBIPK1790H</t>
  </si>
  <si>
    <t>KEM799 ALIMULLAH KHAN CHAWL</t>
  </si>
  <si>
    <t>BANDRA PLOT SQUARTERS COLONY</t>
  </si>
  <si>
    <t>JOGESHWARI EAST NEAR RAHMANIYA HOTEL</t>
  </si>
  <si>
    <t>400060</t>
  </si>
  <si>
    <t>naaz.skhan@yahoo.com</t>
  </si>
  <si>
    <t>+919892310135</t>
  </si>
  <si>
    <t>MUMBAI  MISTRY BHAVAN EXTN CT</t>
  </si>
  <si>
    <t>05011140114009</t>
  </si>
  <si>
    <t>1050219986</t>
  </si>
  <si>
    <t>Milindkumar Shashikant Shah</t>
  </si>
  <si>
    <t>1208160003242685</t>
  </si>
  <si>
    <t>BIVPS3027B</t>
  </si>
  <si>
    <t>E5 KALGI APPARTMENTS</t>
  </si>
  <si>
    <t>NEAR SITABAG SOCIETY</t>
  </si>
  <si>
    <t>MANINAGAR</t>
  </si>
  <si>
    <t>380008</t>
  </si>
  <si>
    <t>shahms.uepl@hotmail.com</t>
  </si>
  <si>
    <t>+917874056926</t>
  </si>
  <si>
    <t>AHMEDABAD MANINAGAR BRANCH</t>
  </si>
  <si>
    <t>1312576863</t>
  </si>
  <si>
    <t>KKBK0002584</t>
  </si>
  <si>
    <t>1050209221</t>
  </si>
  <si>
    <t>Ruchit Vijay Nathwani</t>
  </si>
  <si>
    <t>AFJPN7962A</t>
  </si>
  <si>
    <t>117Y</t>
  </si>
  <si>
    <t>Aditya Birla Sun Life Multi Asset Allocation Fund-Dir Gro</t>
  </si>
  <si>
    <t>NEAR DHAHUKAR COLLEGE NEHRU RD</t>
  </si>
  <si>
    <t>H-2/97 GUJRATI SOCIETY</t>
  </si>
  <si>
    <t>VILEPARLE EAST NEAR STATE BANK</t>
  </si>
  <si>
    <t>400057</t>
  </si>
  <si>
    <t>ruchit0389@yahoo.com</t>
  </si>
  <si>
    <t>+919773561581</t>
  </si>
  <si>
    <t>MUMBAI - VILE PARLE (EAST)</t>
  </si>
  <si>
    <t>09981140025576</t>
  </si>
  <si>
    <t>HDFC0000227</t>
  </si>
  <si>
    <t>1050208105</t>
  </si>
  <si>
    <t>Uday Kumar Rastogi</t>
  </si>
  <si>
    <t>ABQPR3610N</t>
  </si>
  <si>
    <t>NEETA RASTOGI</t>
  </si>
  <si>
    <t>DQKPS7472B</t>
  </si>
  <si>
    <t>M.I.G 51 W-BLOCK</t>
  </si>
  <si>
    <t>KESHAV NAGAR</t>
  </si>
  <si>
    <t>JUHI COLONY</t>
  </si>
  <si>
    <t>ukrc2022@gmail.com</t>
  </si>
  <si>
    <t>ARN-22313</t>
  </si>
  <si>
    <t>NIMISHA RASTOGI</t>
  </si>
  <si>
    <t>AGZPR7591Q</t>
  </si>
  <si>
    <t>W-51, M.I.G Bhaskar Villa</t>
  </si>
  <si>
    <t>Keshav Nagar</t>
  </si>
  <si>
    <t>+919415041198</t>
  </si>
  <si>
    <t>nimisha22313@gmail.com</t>
  </si>
  <si>
    <t>NIRALA NAGAR</t>
  </si>
  <si>
    <t>133010100015738</t>
  </si>
  <si>
    <t>UTIB0002764</t>
  </si>
  <si>
    <t>1050220995</t>
  </si>
  <si>
    <t>Akash Yadav</t>
  </si>
  <si>
    <t>1208870069592195</t>
  </si>
  <si>
    <t>BEMPY3887A</t>
  </si>
  <si>
    <t>S/O: OMPRAKASH</t>
  </si>
  <si>
    <t>YADAV,CHHAPRA,GORAKHPUR,UTTAR PRADESH</t>
  </si>
  <si>
    <t>273412</t>
  </si>
  <si>
    <t>yadavakash01111@gmail.com</t>
  </si>
  <si>
    <t>+919026276612</t>
  </si>
  <si>
    <t>SAUNKHOR</t>
  </si>
  <si>
    <t>462902010459296</t>
  </si>
  <si>
    <t>UBIN0546291</t>
  </si>
  <si>
    <t>1050221443</t>
  </si>
  <si>
    <t>Pankaj Kumar Rai</t>
  </si>
  <si>
    <t>BRPPR8765L</t>
  </si>
  <si>
    <t>S/O RAJENDRA RAI,HOUSE NO-27,CHHAHU</t>
  </si>
  <si>
    <t>ANSHIK,CHHAHUN,KUSHINAGAR,UTTAR PRADESH</t>
  </si>
  <si>
    <t>274303</t>
  </si>
  <si>
    <t>pankajkrai5@gmail.com</t>
  </si>
  <si>
    <t>+919997578760</t>
  </si>
  <si>
    <t>MM ENG COLLEGE</t>
  </si>
  <si>
    <t>00000033706302451</t>
  </si>
  <si>
    <t>SBIN0002578</t>
  </si>
  <si>
    <t>1050212471</t>
  </si>
  <si>
    <t>Mohit Sanjaybhai Kandoi</t>
  </si>
  <si>
    <t>IN30097413568579</t>
  </si>
  <si>
    <t>FATCA not available for Investor/Guardian-MVUPK6675E</t>
  </si>
  <si>
    <t>MVUPK6675E</t>
  </si>
  <si>
    <t>KHOJA FARIYU NEAR VERAI MATA</t>
  </si>
  <si>
    <t>JI TEMPLE MUNDRA DIST KACH</t>
  </si>
  <si>
    <t>CHH GUJARAT -</t>
  </si>
  <si>
    <t>MUNDRA</t>
  </si>
  <si>
    <t>370421</t>
  </si>
  <si>
    <t>mohitkandoi13@gmail.com</t>
  </si>
  <si>
    <t>+919638571167</t>
  </si>
  <si>
    <t>KACHCHH</t>
  </si>
  <si>
    <t>90898100001277</t>
  </si>
  <si>
    <t>BARB0DBMUND</t>
  </si>
  <si>
    <t>1050221676</t>
  </si>
  <si>
    <t>Lalitha Kumari Manchikalapudi</t>
  </si>
  <si>
    <t>1208870240143601</t>
  </si>
  <si>
    <t>CUDPM7934C</t>
  </si>
  <si>
    <t>W/O MANCHIKALAPUDI KRUPA RAO,FLAT NO</t>
  </si>
  <si>
    <t>114,UNI</t>
  </si>
  <si>
    <t>HOMES,TENALI,CHENCHUPETA,TENALI,GUNTUR</t>
  </si>
  <si>
    <t>522201</t>
  </si>
  <si>
    <t>vunnamlalithakumari@gmail.com</t>
  </si>
  <si>
    <t>+918096740427</t>
  </si>
  <si>
    <t>DUGGIRALA</t>
  </si>
  <si>
    <t>00000011475150523</t>
  </si>
  <si>
    <t>SBIN0002712</t>
  </si>
  <si>
    <t>1050215057</t>
  </si>
  <si>
    <t>Nishant Srivastava</t>
  </si>
  <si>
    <t>1208870056697045</t>
  </si>
  <si>
    <t>OILPS9389K</t>
  </si>
  <si>
    <t>189, BANKELAL PURAM DEHLI SUJANPURAM,</t>
  </si>
  <si>
    <t>KIDWAI NAGAR</t>
  </si>
  <si>
    <t>208011</t>
  </si>
  <si>
    <t>nishantsrivastava2003@gmail.com</t>
  </si>
  <si>
    <t>+918318295373</t>
  </si>
  <si>
    <t>0045464942</t>
  </si>
  <si>
    <t>KKBK0000131</t>
  </si>
  <si>
    <t>1050213992</t>
  </si>
  <si>
    <t>Divakar Chunwal</t>
  </si>
  <si>
    <t>DDSPC7338P</t>
  </si>
  <si>
    <t>S/O Ramkishore Nai 499 War 07 Meghwallo</t>
  </si>
  <si>
    <t>Kamohalla Nalbari</t>
  </si>
  <si>
    <t>Bikaner</t>
  </si>
  <si>
    <t>334001</t>
  </si>
  <si>
    <t>ramkishorchunwal@gmail.com</t>
  </si>
  <si>
    <t>+917014550772</t>
  </si>
  <si>
    <t>ARN-307628</t>
  </si>
  <si>
    <t>DEESHA FINSERV PRIVATE LIMITED</t>
  </si>
  <si>
    <t>AAJCD9509M</t>
  </si>
  <si>
    <t>Shop No G 3 Basement Ashirwad</t>
  </si>
  <si>
    <t>Complex Opposite Drm</t>
  </si>
  <si>
    <t>Office Modern Market Bikaner</t>
  </si>
  <si>
    <t>7878504698</t>
  </si>
  <si>
    <t>services@deeshafinserv.com</t>
  </si>
  <si>
    <t>PAWANPURI</t>
  </si>
  <si>
    <t>667110110006054</t>
  </si>
  <si>
    <t>334013004</t>
  </si>
  <si>
    <t>BKID0007488</t>
  </si>
  <si>
    <t>BKN151</t>
  </si>
  <si>
    <t>1050222366</t>
  </si>
  <si>
    <t>Jeeva Damini Dhasan</t>
  </si>
  <si>
    <t>GJSPD8893R</t>
  </si>
  <si>
    <t>14 151 Zion Parai Harungal Devicode</t>
  </si>
  <si>
    <t>Vilavancode Udaya Marthandam</t>
  </si>
  <si>
    <t>Kanyakumari</t>
  </si>
  <si>
    <t>629178</t>
  </si>
  <si>
    <t>jeevadamini70@gmail.com</t>
  </si>
  <si>
    <t>+919384822719</t>
  </si>
  <si>
    <t>ARN-85213</t>
  </si>
  <si>
    <t>S RAJESH SATHIA JEBARAJ</t>
  </si>
  <si>
    <t>AKAPR9750J</t>
  </si>
  <si>
    <t>4- 116 Puthukaduvettivilai</t>
  </si>
  <si>
    <t>Midalakadu</t>
  </si>
  <si>
    <t>Palappalam -Post</t>
  </si>
  <si>
    <t>629159</t>
  </si>
  <si>
    <t>+919865772969</t>
  </si>
  <si>
    <t>rajeshsathiajebaraj@gmail.com</t>
  </si>
  <si>
    <t>BALAPALLAM</t>
  </si>
  <si>
    <t>TIRUNELVELI</t>
  </si>
  <si>
    <t>4124108002552</t>
  </si>
  <si>
    <t>CNRB0004124</t>
  </si>
  <si>
    <t>1050223794</t>
  </si>
  <si>
    <t>Ashish Ashok Surve</t>
  </si>
  <si>
    <t>CPDPS5674A</t>
  </si>
  <si>
    <t>NEW BDD CHAWL NO 6 ROOM NO 44 NAIGAON DAHIWALKAR</t>
  </si>
  <si>
    <t>BUVA MARG BEHIND APANA BAZAR DADAR EAST MUMBAI</t>
  </si>
  <si>
    <t>MAHARASHTRA 400014</t>
  </si>
  <si>
    <t>400014</t>
  </si>
  <si>
    <t>aashishsurve712@gmail.com</t>
  </si>
  <si>
    <t>+919773315766</t>
  </si>
  <si>
    <t>CHANDIVLI FARM ROAD</t>
  </si>
  <si>
    <t>14711040020457</t>
  </si>
  <si>
    <t>HDFC0001471</t>
  </si>
  <si>
    <t>1050224235</t>
  </si>
  <si>
    <t>OXXPK7168B</t>
  </si>
  <si>
    <t>C/O TIBHU THAKUR, VILL KAJRI,</t>
  </si>
  <si>
    <t>PO NAUDIHA, PS PANDWA, KAJRI</t>
  </si>
  <si>
    <t>DIST PALAMAU</t>
  </si>
  <si>
    <t>surajkumarsen29@gmail.com</t>
  </si>
  <si>
    <t>+917488147433</t>
  </si>
  <si>
    <t>ARN-167698</t>
  </si>
  <si>
    <t>Rekha Roushan</t>
  </si>
  <si>
    <t>CZJPR4406F</t>
  </si>
  <si>
    <t>149, ANKORHA, POST ANKORHA RS</t>
  </si>
  <si>
    <t>NABINAGAR</t>
  </si>
  <si>
    <t>DIST AURANGABAD</t>
  </si>
  <si>
    <t>824304</t>
  </si>
  <si>
    <t>+917079581657</t>
  </si>
  <si>
    <t>rekharous1@gmail.com</t>
  </si>
  <si>
    <t>BARIYATUJHARKHAND</t>
  </si>
  <si>
    <t>35830100009233</t>
  </si>
  <si>
    <t>BARB0BARIRD</t>
  </si>
  <si>
    <t>1050225430</t>
  </si>
  <si>
    <t>Subhash Verma</t>
  </si>
  <si>
    <t>AAXPV1836A</t>
  </si>
  <si>
    <t>E-393 MAYUR VIHAR PHASE-2</t>
  </si>
  <si>
    <t>MAYUR VIHAR PH-1</t>
  </si>
  <si>
    <t>svbarwala@gmail.com</t>
  </si>
  <si>
    <t>+919910227879</t>
  </si>
  <si>
    <t>AHMEDABAD  ASHRAM ROAD</t>
  </si>
  <si>
    <t>00691000145054</t>
  </si>
  <si>
    <t>HDFC0000069</t>
  </si>
  <si>
    <t>1050224972</t>
  </si>
  <si>
    <t>SNOWBER MANZOOR</t>
  </si>
  <si>
    <t>DXBPS0581K</t>
  </si>
  <si>
    <t>CO ABID MUSHTAQ MALIK QASBA BAGHAT</t>
  </si>
  <si>
    <t>NEW COLONY HAZRATBAL QASBA BAGHAT</t>
  </si>
  <si>
    <t>NEW COLONY HAZRATBAL ANANTNAG</t>
  </si>
  <si>
    <t>ANANTNAG</t>
  </si>
  <si>
    <t>192101</t>
  </si>
  <si>
    <t>snobermanzoor123@gmail.com</t>
  </si>
  <si>
    <t>+918082530619</t>
  </si>
  <si>
    <t>ARN-221502</t>
  </si>
  <si>
    <t>Nadeem Farooq Sofi</t>
  </si>
  <si>
    <t>AYHPS7235G</t>
  </si>
  <si>
    <t>C/O Farooq Ahmad Sofi</t>
  </si>
  <si>
    <t>Anchidoora Laizbal Anantnag</t>
  </si>
  <si>
    <t>Anantnag</t>
  </si>
  <si>
    <t>9419041886</t>
  </si>
  <si>
    <t>nadysufi@gmail.com</t>
  </si>
  <si>
    <t>NEW MARKET ANANTNAG, KASHMIR</t>
  </si>
  <si>
    <t>0161040100012393</t>
  </si>
  <si>
    <t>JAKA0BUBBLE</t>
  </si>
  <si>
    <t>1050235816</t>
  </si>
  <si>
    <t>Jagadeesha Jagadeesha</t>
  </si>
  <si>
    <t>1203320412836528</t>
  </si>
  <si>
    <t>ATIPJ8151C</t>
  </si>
  <si>
    <t>3 36 3 KOTATHATTU KOTATHATTU</t>
  </si>
  <si>
    <t>UDUPI KARNATAKA</t>
  </si>
  <si>
    <t>576221</t>
  </si>
  <si>
    <t>9789785864</t>
  </si>
  <si>
    <t>ggjagadeesha@gmail.com</t>
  </si>
  <si>
    <t>+919789785864</t>
  </si>
  <si>
    <t>NAGARBHAVI</t>
  </si>
  <si>
    <t>50100509638094</t>
  </si>
  <si>
    <t>HDFC0004178</t>
  </si>
  <si>
    <t>1050237374</t>
  </si>
  <si>
    <t>Ashish Singh</t>
  </si>
  <si>
    <t>1208160025129416</t>
  </si>
  <si>
    <t>IYQPS4950B</t>
  </si>
  <si>
    <t>VILLAGE BALIBHADRAPUR URF GOBR</t>
  </si>
  <si>
    <t>POST KARHI THANA GOLHAURA TEHS</t>
  </si>
  <si>
    <t>272153</t>
  </si>
  <si>
    <t>ashishsingh56531@gmail.com</t>
  </si>
  <si>
    <t>+918890759472</t>
  </si>
  <si>
    <t>JHUSI</t>
  </si>
  <si>
    <t>50100499935896</t>
  </si>
  <si>
    <t>HDFC0002434</t>
  </si>
  <si>
    <t>1050169056</t>
  </si>
  <si>
    <t>N Shivakumara</t>
  </si>
  <si>
    <t>1203320374340125</t>
  </si>
  <si>
    <t>BIFPS5114K</t>
  </si>
  <si>
    <t>GUBBI TALLUKU</t>
  </si>
  <si>
    <t>PATRAVATHANAHALLI TUMKUR</t>
  </si>
  <si>
    <t>GUBBI</t>
  </si>
  <si>
    <t>572117</t>
  </si>
  <si>
    <t>9880312169</t>
  </si>
  <si>
    <t>shivakumaraningaraju@gmail.com</t>
  </si>
  <si>
    <t>+919880312169</t>
  </si>
  <si>
    <t>BANGALORE  INDIRA NAGAR?</t>
  </si>
  <si>
    <t>016901555928</t>
  </si>
  <si>
    <t>ICIC0000169</t>
  </si>
  <si>
    <t>1050221314</t>
  </si>
  <si>
    <t>Anju Jatav</t>
  </si>
  <si>
    <t>AUKPJ0015A</t>
  </si>
  <si>
    <t>W/O UDHAN JATAV SUNDAR COLONY RAJSAMAND RAJSAMAND</t>
  </si>
  <si>
    <t>RAJASTHAN 313324</t>
  </si>
  <si>
    <t>RAJSAMAND</t>
  </si>
  <si>
    <t>313324</t>
  </si>
  <si>
    <t>anjunimesh0@gmail.com</t>
  </si>
  <si>
    <t>+919983012535</t>
  </si>
  <si>
    <t>177022010001673</t>
  </si>
  <si>
    <t>UBIN0917702</t>
  </si>
  <si>
    <t>1050170378</t>
  </si>
  <si>
    <t>Kalyan Kuna</t>
  </si>
  <si>
    <t>1203320268101194</t>
  </si>
  <si>
    <t>DTHPK1067E</t>
  </si>
  <si>
    <t>2489 1 VENKATADRI PET WARD8</t>
  </si>
  <si>
    <t>VENKATADRI PET NIRMAL ADILABAD</t>
  </si>
  <si>
    <t>ANDHRA PRADESH</t>
  </si>
  <si>
    <t>NIRMAL</t>
  </si>
  <si>
    <t>504106</t>
  </si>
  <si>
    <t>9182668199</t>
  </si>
  <si>
    <t>kunakalyan835@gmail.com</t>
  </si>
  <si>
    <t>+919182668199</t>
  </si>
  <si>
    <t>500101011013735</t>
  </si>
  <si>
    <t>CIUB0000497</t>
  </si>
  <si>
    <t>1050171497</t>
  </si>
  <si>
    <t>Lucky</t>
  </si>
  <si>
    <t>BMFPL9638D</t>
  </si>
  <si>
    <t>S/O: RAVINDER KUMAR, VILLAGE POST OFFICE USTEHAR TEH</t>
  </si>
  <si>
    <t>BAIJNATH USTEHAR BAIJNATH</t>
  </si>
  <si>
    <t>HIMACHAL PRADESH USTEHR (875) KANGRA 176125</t>
  </si>
  <si>
    <t>KANGRA</t>
  </si>
  <si>
    <t>176125</t>
  </si>
  <si>
    <t>bardhanlucky72@gmail.com</t>
  </si>
  <si>
    <t>+916230060889</t>
  </si>
  <si>
    <t>KANGRA NATEHR</t>
  </si>
  <si>
    <t>NATEHR</t>
  </si>
  <si>
    <t>3550486935</t>
  </si>
  <si>
    <t>KKBK0004402</t>
  </si>
  <si>
    <t>1050173710</t>
  </si>
  <si>
    <t>Tripti Vikram Singh Rawat</t>
  </si>
  <si>
    <t>BAIPR1703E</t>
  </si>
  <si>
    <t>A-3 JAGANNATH PURAM SOCIETY</t>
  </si>
  <si>
    <t>PANCHVATI REFINERY ROAD</t>
  </si>
  <si>
    <t>GORWA VADODARA NEAR NARMADA CANAL</t>
  </si>
  <si>
    <t>390016</t>
  </si>
  <si>
    <t>triptirawat05@gmail.com</t>
  </si>
  <si>
    <t>+919662064224</t>
  </si>
  <si>
    <t>PANCHVATI</t>
  </si>
  <si>
    <t>00000030428921615</t>
  </si>
  <si>
    <t>SBIN0010979</t>
  </si>
  <si>
    <t>1050152882</t>
  </si>
  <si>
    <t>Sanchali Bhattacharya</t>
  </si>
  <si>
    <t>BBCPB4876P</t>
  </si>
  <si>
    <t>C/O DIPANKAR ACHARYA</t>
  </si>
  <si>
    <t>BHARAT NAGAR NORTH</t>
  </si>
  <si>
    <t>PO RABINDRA SARANI</t>
  </si>
  <si>
    <t>sanchaliacharya@yahoo.com</t>
  </si>
  <si>
    <t>+918967354122</t>
  </si>
  <si>
    <t>ARN-258195</t>
  </si>
  <si>
    <t>MOUMITA KUMAR</t>
  </si>
  <si>
    <t>ILNPK1101G</t>
  </si>
  <si>
    <t>MahishgariaKumar Para,Jamalpur</t>
  </si>
  <si>
    <t>Jamalpur</t>
  </si>
  <si>
    <t>712402</t>
  </si>
  <si>
    <t>+919474596607</t>
  </si>
  <si>
    <t>moumita.kumar08@gmail.com</t>
  </si>
  <si>
    <t>DABGRAM</t>
  </si>
  <si>
    <t>574302010003799</t>
  </si>
  <si>
    <t>734026006</t>
  </si>
  <si>
    <t>UBIN0557439</t>
  </si>
  <si>
    <t>1050166622</t>
  </si>
  <si>
    <t>POONAM AGARWAL</t>
  </si>
  <si>
    <t>1208160035646872</t>
  </si>
  <si>
    <t>BBQPA7428E</t>
  </si>
  <si>
    <t>305 Vandana Jasmine Apartment, Venkatapura 8th Cross</t>
  </si>
  <si>
    <t>1st Main Venkatapura Venkatapura Venkatapura</t>
  </si>
  <si>
    <t>560034</t>
  </si>
  <si>
    <t>515402010016020</t>
  </si>
  <si>
    <t>1050169600</t>
  </si>
  <si>
    <t>Prerna Garg</t>
  </si>
  <si>
    <t>1208870432804641</t>
  </si>
  <si>
    <t>CRCPG3809C</t>
  </si>
  <si>
    <t>D/O: MANOJ KUMAR GARG,S - 56/5,,DLF</t>
  </si>
  <si>
    <t>PHASE -</t>
  </si>
  <si>
    <t>3,,GURGAON,,GURGAON,HARYANA,122001</t>
  </si>
  <si>
    <t>122001</t>
  </si>
  <si>
    <t>garg.prerna1997@gmail.com</t>
  </si>
  <si>
    <t>+919811210423</t>
  </si>
  <si>
    <t>CHITTARANJAN PARK</t>
  </si>
  <si>
    <t>50100053345223</t>
  </si>
  <si>
    <t>HDFC0000934</t>
  </si>
  <si>
    <t>1050183986</t>
  </si>
  <si>
    <t>Dinesh Saran</t>
  </si>
  <si>
    <t>CXZPS8223H</t>
  </si>
  <si>
    <t>SAMARDA,SAMARDHA,HARDA,MADHYA PRADESH</t>
  </si>
  <si>
    <t>HARDA</t>
  </si>
  <si>
    <t>461331</t>
  </si>
  <si>
    <t>sarandinesh336@gmail.com</t>
  </si>
  <si>
    <t>+919926423025</t>
  </si>
  <si>
    <t>613302010001538</t>
  </si>
  <si>
    <t>UBIN0561339</t>
  </si>
  <si>
    <t>1050217777</t>
  </si>
  <si>
    <t>Madhu Shekhara B S</t>
  </si>
  <si>
    <t>OWCPS7310R</t>
  </si>
  <si>
    <t>K R PETE TALLUKU</t>
  </si>
  <si>
    <t>571605</t>
  </si>
  <si>
    <t>madhubs89717@gmail.com</t>
  </si>
  <si>
    <t>+916362500361</t>
  </si>
  <si>
    <t>BANGALORE  BANASHANKARI</t>
  </si>
  <si>
    <t>17810100038523</t>
  </si>
  <si>
    <t>FDRL0001781</t>
  </si>
  <si>
    <t>1050180527</t>
  </si>
  <si>
    <t>PARTH YOGENDRA SHIRSAT</t>
  </si>
  <si>
    <t>JNHPS1191B</t>
  </si>
  <si>
    <t>FLAT NO 7A, MOONLITE, COSMOS HORIZON PHASE 2</t>
  </si>
  <si>
    <t>POKHARAN ROAD NO 2,,BEHIND BETHANY HOSPITAL,THANE WEST</t>
  </si>
  <si>
    <t>parthshirsat99@gmail.com</t>
  </si>
  <si>
    <t>+919969745134</t>
  </si>
  <si>
    <t>ANDHERI WEST- SHOPPERS STOP</t>
  </si>
  <si>
    <t>50100017278066</t>
  </si>
  <si>
    <t>HDFC0000114</t>
  </si>
  <si>
    <t>1050194713</t>
  </si>
  <si>
    <t>Vijay Laxmandas Galani</t>
  </si>
  <si>
    <t>1208870171746715</t>
  </si>
  <si>
    <t>BZOPG6568H</t>
  </si>
  <si>
    <t>S/O: LAXMANDAS GALANI,RADHAKRUSH WARD,</t>
  </si>
  <si>
    <t>SHRINAGAR WARD,</t>
  </si>
  <si>
    <t>GONDIYA,GONDIYA,GONDIYA,MAHARASHTRA,44</t>
  </si>
  <si>
    <t>441601</t>
  </si>
  <si>
    <t>vijaygalani2316@gmail.com</t>
  </si>
  <si>
    <t>+919021151520</t>
  </si>
  <si>
    <t>PAL CHOWK</t>
  </si>
  <si>
    <t>50100816316141</t>
  </si>
  <si>
    <t>HDFC0006327</t>
  </si>
  <si>
    <t>1050191760</t>
  </si>
  <si>
    <t>Ravichandran Ramya</t>
  </si>
  <si>
    <t>1203320207207503</t>
  </si>
  <si>
    <t>BWOPR9535G</t>
  </si>
  <si>
    <t>345 47 KARRUPANNA GOUNDER</t>
  </si>
  <si>
    <t>LAYOUT VK RD COIMBATORE SOUTH</t>
  </si>
  <si>
    <t>COIMBATORE TAMIL NADU</t>
  </si>
  <si>
    <t>641004</t>
  </si>
  <si>
    <t>9629411733</t>
  </si>
  <si>
    <t>ramyathiagarajan20@gmail.com</t>
  </si>
  <si>
    <t>+919629411733</t>
  </si>
  <si>
    <t>SIPCOT PERUNDURAI</t>
  </si>
  <si>
    <t>00000032432154588</t>
  </si>
  <si>
    <t>SBIN0010484</t>
  </si>
  <si>
    <t>1050200617</t>
  </si>
  <si>
    <t>Ish Kumar Sahu</t>
  </si>
  <si>
    <t>PMOPS4893E</t>
  </si>
  <si>
    <t>S/O: NILKANTH SAHU,WARD8,BAJAR PARA,DEOPUR,DHAMTARI</t>
  </si>
  <si>
    <t>CHHATTISGARH,493663</t>
  </si>
  <si>
    <t>DHAMTARI</t>
  </si>
  <si>
    <t>493663</t>
  </si>
  <si>
    <t>ishkumar345@gmail.com</t>
  </si>
  <si>
    <t>+919644460789</t>
  </si>
  <si>
    <t>936018210003472</t>
  </si>
  <si>
    <t>BKID0009360</t>
  </si>
  <si>
    <t>1050212060</t>
  </si>
  <si>
    <t>Monika</t>
  </si>
  <si>
    <t>AKYPP9908L</t>
  </si>
  <si>
    <t>6 44 WEST PUNJABI</t>
  </si>
  <si>
    <t>BAGH PUNJABI BAGH S O</t>
  </si>
  <si>
    <t>110026</t>
  </si>
  <si>
    <t>drchetanorth0@gmail.com</t>
  </si>
  <si>
    <t>+918010801021</t>
  </si>
  <si>
    <t>PUNJABI BAGH</t>
  </si>
  <si>
    <t>00911930012216</t>
  </si>
  <si>
    <t>HDFC0000091</t>
  </si>
  <si>
    <t>1050215747</t>
  </si>
  <si>
    <t>Jasbir Singh</t>
  </si>
  <si>
    <t>AOVPS3716C</t>
  </si>
  <si>
    <t>S/O NARINDER SINGH,HOUSE NO A1 153,JANAKPURI</t>
  </si>
  <si>
    <t>A-3,RAJOURI GARDEN,JANAKPURI B-1,WEST DELHI,DELHI</t>
  </si>
  <si>
    <t>110058</t>
  </si>
  <si>
    <t>jasbirriyat@gmail.com</t>
  </si>
  <si>
    <t>+919971998833</t>
  </si>
  <si>
    <t>BKCNAMAN CHAMBERS BRANCH</t>
  </si>
  <si>
    <t>10068825168</t>
  </si>
  <si>
    <t>1050216637</t>
  </si>
  <si>
    <t>Killo Roopnadh</t>
  </si>
  <si>
    <t>LYXPK1987J</t>
  </si>
  <si>
    <t>S/O DOMBU,1-10A,KOTHA BALLUGUDA,ARAKUVALLEY</t>
  </si>
  <si>
    <t>MANDAL,KOTHABALLUGUDA,ARAKU</t>
  </si>
  <si>
    <t>VALLEY,KOTHABALLUGUDA,VISAKHAPATNAM,ANDHRA PRADESH</t>
  </si>
  <si>
    <t>531149</t>
  </si>
  <si>
    <t>yt90249@gmail.com</t>
  </si>
  <si>
    <t>+916301523488</t>
  </si>
  <si>
    <t>SRUNGAVARAPUKOTA</t>
  </si>
  <si>
    <t>SRUNGAVARAPUK</t>
  </si>
  <si>
    <t>40945894879</t>
  </si>
  <si>
    <t>SBIN0001005</t>
  </si>
  <si>
    <t>1050227512</t>
  </si>
  <si>
    <t>Bhuvani Vengadesan</t>
  </si>
  <si>
    <t>FAHPB0631N</t>
  </si>
  <si>
    <t>NO A5 VALAMPURINAGAR, POOMPOOKAR SALAI, SENDANKUDI,</t>
  </si>
  <si>
    <t>MAYILADUDHURAI TALUK, MAYILADUTHURAI</t>
  </si>
  <si>
    <t>MAYILADUTHURAI</t>
  </si>
  <si>
    <t>609001</t>
  </si>
  <si>
    <t>bhuvani1996@gmail.com</t>
  </si>
  <si>
    <t>+918807941596</t>
  </si>
  <si>
    <t>PUDUKOTTAI</t>
  </si>
  <si>
    <t>PUDUKKOTTAI</t>
  </si>
  <si>
    <t>500101012359496</t>
  </si>
  <si>
    <t>CIUB0000040</t>
  </si>
  <si>
    <t>1050233537</t>
  </si>
  <si>
    <t>Anshu Yadav</t>
  </si>
  <si>
    <t>ACVPY3783B</t>
  </si>
  <si>
    <t>Pradeep Kumar Yadav</t>
  </si>
  <si>
    <t>ABXPY5490N</t>
  </si>
  <si>
    <t>251GZ</t>
  </si>
  <si>
    <t>Aditya Birla Sun Life Midcap Fund -PLAN - Growth-Direct Plan</t>
  </si>
  <si>
    <t>381/2 PRABHAT NAGAR NEAR BABULAL</t>
  </si>
  <si>
    <t>DHARAM SHALA PRABHAT NAGAR</t>
  </si>
  <si>
    <t>250001</t>
  </si>
  <si>
    <t>anshuyadavji@gmail.com</t>
  </si>
  <si>
    <t>+919808114677</t>
  </si>
  <si>
    <t>SAKET</t>
  </si>
  <si>
    <t>Meerut</t>
  </si>
  <si>
    <t>32108621000</t>
  </si>
  <si>
    <t>250002027</t>
  </si>
  <si>
    <t>SBIN0011460</t>
  </si>
  <si>
    <t>121</t>
  </si>
  <si>
    <t>1050238989</t>
  </si>
  <si>
    <t>Santhosh</t>
  </si>
  <si>
    <t>PLJPS3192A</t>
  </si>
  <si>
    <t>178, 2 ND CROSS , SAPTHAGIRI NAGAR</t>
  </si>
  <si>
    <t>VANUR TALUK, TIRUCHITRAMBALAM</t>
  </si>
  <si>
    <t>VILLUPURAM, TAMIL NADU</t>
  </si>
  <si>
    <t>TIRUCHITRAMBALAM</t>
  </si>
  <si>
    <t>605111</t>
  </si>
  <si>
    <t>santhoshstd434@gmail.com</t>
  </si>
  <si>
    <t>+916382941464</t>
  </si>
  <si>
    <t>VANUR</t>
  </si>
  <si>
    <t>41226236479</t>
  </si>
  <si>
    <t>SBIN0009586</t>
  </si>
  <si>
    <t>1050226820</t>
  </si>
  <si>
    <t>A D Jeyyekannen</t>
  </si>
  <si>
    <t>1209500011604643</t>
  </si>
  <si>
    <t>AYFPJ9634G</t>
  </si>
  <si>
    <t>100C</t>
  </si>
  <si>
    <t>Aditya Birla Sun Life Silver ETF Fund of Fund Regular IDCW Reinvestment</t>
  </si>
  <si>
    <t>C O DURAIRAJ NO D 42 3 NEITHAL 4TH CRO</t>
  </si>
  <si>
    <t>AMARJOTHI JAI NAGAR SULUR TOWARDS SUDHA</t>
  </si>
  <si>
    <t>SULUR TP SULUR SULUR COIMBATORE TAMIL N</t>
  </si>
  <si>
    <t>641402</t>
  </si>
  <si>
    <t>7702711109</t>
  </si>
  <si>
    <t>avpjk2009@gmail.com</t>
  </si>
  <si>
    <t>+917702711109</t>
  </si>
  <si>
    <t>PEEDAMPALLI</t>
  </si>
  <si>
    <t>50100031671791</t>
  </si>
  <si>
    <t>HDFC0003914</t>
  </si>
  <si>
    <t>1050228658</t>
  </si>
  <si>
    <t>Aarti Aggarwal</t>
  </si>
  <si>
    <t>AFEPA7495J</t>
  </si>
  <si>
    <t>H . NO . 49/16 H</t>
  </si>
  <si>
    <t>BEHIND GULMOHAR HOTEL</t>
  </si>
  <si>
    <t>SANDEEP NAGAR</t>
  </si>
  <si>
    <t>+919988819221</t>
  </si>
  <si>
    <t>ARN-8801</t>
  </si>
  <si>
    <t>Hamender Gupta</t>
  </si>
  <si>
    <t>ABFPG0741C</t>
  </si>
  <si>
    <t>B-XI-1624, Hussain Road</t>
  </si>
  <si>
    <t>Opp satija Ultra Sound Clinic</t>
  </si>
  <si>
    <t>141008</t>
  </si>
  <si>
    <t>+919814061962</t>
  </si>
  <si>
    <t>hamender.gupta76@gmail.com</t>
  </si>
  <si>
    <t>YES BANK LTD</t>
  </si>
  <si>
    <t>LUDHIANA, PUNJAB</t>
  </si>
  <si>
    <t>002399000004772</t>
  </si>
  <si>
    <t>141532002</t>
  </si>
  <si>
    <t>YESB0000023</t>
  </si>
  <si>
    <t>L2</t>
  </si>
  <si>
    <t>1050240355</t>
  </si>
  <si>
    <t>Rashmikaben P Shah</t>
  </si>
  <si>
    <t>BRUPS4288L</t>
  </si>
  <si>
    <t>C-400-1</t>
  </si>
  <si>
    <t>MOTO BHATWADO</t>
  </si>
  <si>
    <t>KHAMBHAT</t>
  </si>
  <si>
    <t>388620</t>
  </si>
  <si>
    <t>rashmikabenshah00@gmail.com</t>
  </si>
  <si>
    <t>+919426367272</t>
  </si>
  <si>
    <t>ARN-249212</t>
  </si>
  <si>
    <t>WE CARE FREEDOM WEALTH PRIVATE LIMITED</t>
  </si>
  <si>
    <t>AADCW0967A</t>
  </si>
  <si>
    <t>F-4/5, City Plaza,</t>
  </si>
  <si>
    <t>Nr. Badiadev Crossing</t>
  </si>
  <si>
    <t>Nr. Sardargunj</t>
  </si>
  <si>
    <t>Anand</t>
  </si>
  <si>
    <t>388001</t>
  </si>
  <si>
    <t>+919825425401</t>
  </si>
  <si>
    <t>nikhil21880@gmail.com</t>
  </si>
  <si>
    <t>Cambay</t>
  </si>
  <si>
    <t>Khambhat</t>
  </si>
  <si>
    <t>009110037725</t>
  </si>
  <si>
    <t>BARB0VJCAMB</t>
  </si>
  <si>
    <t>1050256650</t>
  </si>
  <si>
    <t>Gaurav Jaiswal</t>
  </si>
  <si>
    <t>BUCPJ0049R</t>
  </si>
  <si>
    <t>KHORABAR, KHORABAR SUBABAZAR</t>
  </si>
  <si>
    <t>KHORABAR URF SOOBABAZAR</t>
  </si>
  <si>
    <t>gj9794@gmail.com</t>
  </si>
  <si>
    <t>+917651861255</t>
  </si>
  <si>
    <t>KESHAVPURAM</t>
  </si>
  <si>
    <t>00000020304745532</t>
  </si>
  <si>
    <t>SBIN0006813</t>
  </si>
  <si>
    <t>1050142917</t>
  </si>
  <si>
    <t>Sunil Dulhanomal Anandani</t>
  </si>
  <si>
    <t>ABBPA3226G</t>
  </si>
  <si>
    <t>Aditya Birla Sun Life ELSS Tax Saver Fund- (ELSS U/S 80C of IT ACT) - IDCW-Regular Plan</t>
  </si>
  <si>
    <t>OPP. HANUMAN MANDIR</t>
  </si>
  <si>
    <t>NIMWADI CAMP</t>
  </si>
  <si>
    <t>NANAK NAGAR</t>
  </si>
  <si>
    <t>AKOLA</t>
  </si>
  <si>
    <t>444004</t>
  </si>
  <si>
    <t>sunilanandani7@gmail.com</t>
  </si>
  <si>
    <t>+919822461137</t>
  </si>
  <si>
    <t>ARN-30506</t>
  </si>
  <si>
    <t>Amit Radheshyam Murarka</t>
  </si>
  <si>
    <t>AHSPM3348J</t>
  </si>
  <si>
    <t>MURARKA INVESTMENT</t>
  </si>
  <si>
    <t>GURUKRUPA TOWER</t>
  </si>
  <si>
    <t>OLD CLOTH MARKET</t>
  </si>
  <si>
    <t>444001</t>
  </si>
  <si>
    <t>+919421744066</t>
  </si>
  <si>
    <t>amitrmurarka@gmail.com</t>
  </si>
  <si>
    <t>02211000068746</t>
  </si>
  <si>
    <t>444240001</t>
  </si>
  <si>
    <t>HDFC0000221</t>
  </si>
  <si>
    <t>AKO724</t>
  </si>
  <si>
    <t>1050152470</t>
  </si>
  <si>
    <t>Vaishnavi Charandas Lohi</t>
  </si>
  <si>
    <t>ALIPL8825B</t>
  </si>
  <si>
    <t>PLOT NO 42, KATOL RD, MAHADA COLONY</t>
  </si>
  <si>
    <t>NEAR FRIENDS COLONY</t>
  </si>
  <si>
    <t>KATOLROAD</t>
  </si>
  <si>
    <t>440013</t>
  </si>
  <si>
    <t>vaishnavilohi0810@gmail.com</t>
  </si>
  <si>
    <t>+917020904891</t>
  </si>
  <si>
    <t>CHHAONI</t>
  </si>
  <si>
    <t>31899002991</t>
  </si>
  <si>
    <t>SBIN0005999</t>
  </si>
  <si>
    <t>1050144167</t>
  </si>
  <si>
    <t>Aman Awasthi</t>
  </si>
  <si>
    <t>1208870415777719</t>
  </si>
  <si>
    <t>CFJPA0036E</t>
  </si>
  <si>
    <t>C O AKHILESH KUMAR AWASTHI BRAMHA NAGAR</t>
  </si>
  <si>
    <t>ATARRA ATARRA ATARRA ATARRA BANDA</t>
  </si>
  <si>
    <t>UTTAR PRADESH 210201</t>
  </si>
  <si>
    <t>BANDA</t>
  </si>
  <si>
    <t>210201</t>
  </si>
  <si>
    <t>amanawasthi80@gmail.com</t>
  </si>
  <si>
    <t>+918115048574</t>
  </si>
  <si>
    <t>ADB ATTARA</t>
  </si>
  <si>
    <t>00000038764548297</t>
  </si>
  <si>
    <t>SBIN0005395</t>
  </si>
  <si>
    <t>1050169191</t>
  </si>
  <si>
    <t>Shashvat Agarwal</t>
  </si>
  <si>
    <t>1208870399036343</t>
  </si>
  <si>
    <t>ATXPA4843P</t>
  </si>
  <si>
    <t>S O SHREE MANISH AGARWAL 84 BASANT</t>
  </si>
  <si>
    <t>VIHAR KAMLA NAGAR MAHARAJA AGARSEN</t>
  </si>
  <si>
    <t>SEWA SADAN KE PASS DAYAL BAGH S O AGRA</t>
  </si>
  <si>
    <t>shashvatagarwal7@gmail.com</t>
  </si>
  <si>
    <t>+916397659719</t>
  </si>
  <si>
    <t>KAMLA NAGAR AGRA</t>
  </si>
  <si>
    <t>28840100017529</t>
  </si>
  <si>
    <t>BARB0AGRABS</t>
  </si>
  <si>
    <t>1050160687</t>
  </si>
  <si>
    <t>Visal Medepalli</t>
  </si>
  <si>
    <t>CJMPM4182L</t>
  </si>
  <si>
    <t>FLAT NO.202 MARUTHI HEIGHTS, MANOJ NAGAR COLONY</t>
  </si>
  <si>
    <t>TADIGADAPA</t>
  </si>
  <si>
    <t>KRISHNA, ANDHRA PRADESH</t>
  </si>
  <si>
    <t>521137</t>
  </si>
  <si>
    <t>vishal.medepalli@gmail.com</t>
  </si>
  <si>
    <t>+919555029589</t>
  </si>
  <si>
    <t>SATNARAYANPURAM VIJAYAWADA</t>
  </si>
  <si>
    <t>KRISHNA</t>
  </si>
  <si>
    <t>20288789029</t>
  </si>
  <si>
    <t>SBIN0009001</t>
  </si>
  <si>
    <t>1050160959</t>
  </si>
  <si>
    <t>Payal Saini</t>
  </si>
  <si>
    <t>KGQPS0691B</t>
  </si>
  <si>
    <t>C O VIKAS KUMAR SAINI VILLAGE PONKH PONKH PONKH</t>
  </si>
  <si>
    <t>JHUNJHUNUN RAJASTHAN 333053</t>
  </si>
  <si>
    <t>JHUNJHUNUN</t>
  </si>
  <si>
    <t>333053</t>
  </si>
  <si>
    <t>sainipaya07@gmail.com</t>
  </si>
  <si>
    <t>+918829987442</t>
  </si>
  <si>
    <t>UDAIPURWATI(JHUNJHUNU) (RAJ)</t>
  </si>
  <si>
    <t>UDAIPURWATI(RAJ)</t>
  </si>
  <si>
    <t>6894001700020229</t>
  </si>
  <si>
    <t>PUNB0689400</t>
  </si>
  <si>
    <t>1050178063</t>
  </si>
  <si>
    <t>Tauheed Fatima</t>
  </si>
  <si>
    <t>AGJPF2198R</t>
  </si>
  <si>
    <t>D/O MUFIS AHMAD - SULTANPUR ROAD JAGDISH PUR PALPUR</t>
  </si>
  <si>
    <t>AMETHI UTTAR PRADESH 227809</t>
  </si>
  <si>
    <t>PALPUR</t>
  </si>
  <si>
    <t>227809</t>
  </si>
  <si>
    <t>tauheedfatima1996@gmail.com</t>
  </si>
  <si>
    <t>+916390767868</t>
  </si>
  <si>
    <t>ARN-176666</t>
  </si>
  <si>
    <t>INDIRA J UDANI FINSERVE LLP</t>
  </si>
  <si>
    <t>AAIFI5993A</t>
  </si>
  <si>
    <t>406 East Point 4th Floor,</t>
  </si>
  <si>
    <t>90 Feet Road Adjoining Ganesh Temple,</t>
  </si>
  <si>
    <t>Ghatkopar East</t>
  </si>
  <si>
    <t>400077</t>
  </si>
  <si>
    <t>+919820009578</t>
  </si>
  <si>
    <t>ijudani.finservellp1978@gmail.com</t>
  </si>
  <si>
    <t>JAGDISHPUR AMETHI</t>
  </si>
  <si>
    <t>AMETHI</t>
  </si>
  <si>
    <t>924010068633954</t>
  </si>
  <si>
    <t>UTIB0003744</t>
  </si>
  <si>
    <t>1050152904</t>
  </si>
  <si>
    <t>Anil Kumar</t>
  </si>
  <si>
    <t>IXZPK8500H</t>
  </si>
  <si>
    <t>S O SUBHASH CHAND V P O AMBHERA DHEERAJ TEHSIL</t>
  </si>
  <si>
    <t>BANGANA AMBHERA DHIRAJ 6 1 UNA HIMACHAL PRADESH</t>
  </si>
  <si>
    <t>174314</t>
  </si>
  <si>
    <t>UNA</t>
  </si>
  <si>
    <t>ak348893@gmail.com</t>
  </si>
  <si>
    <t>+917807456708</t>
  </si>
  <si>
    <t>KHURWAIN</t>
  </si>
  <si>
    <t>KHURWAIN (DISTT. UNA)</t>
  </si>
  <si>
    <t>2661001700012891</t>
  </si>
  <si>
    <t>PUNB0266100</t>
  </si>
  <si>
    <t>1050174915</t>
  </si>
  <si>
    <t>R Meenakshi</t>
  </si>
  <si>
    <t>ALWPR4017M</t>
  </si>
  <si>
    <t>3 63 F SPARTAN AVENUE THIRUVALLUVAR</t>
  </si>
  <si>
    <t>NAGAR MOGAPPAIR</t>
  </si>
  <si>
    <t>600037</t>
  </si>
  <si>
    <t>9600049011</t>
  </si>
  <si>
    <t>meenaramanan63@yahoo.com</t>
  </si>
  <si>
    <t>ARN-0002</t>
  </si>
  <si>
    <t>JM Financial Services Limited</t>
  </si>
  <si>
    <t>AAACJ5977A</t>
  </si>
  <si>
    <t>5Th Floor Cnergy</t>
  </si>
  <si>
    <t>Appasaheb Marathe</t>
  </si>
  <si>
    <t>Marg</t>
  </si>
  <si>
    <t>7977046348</t>
  </si>
  <si>
    <t>pradyumna.satpathy@jmfl.com</t>
  </si>
  <si>
    <t>MOGAPPAIR</t>
  </si>
  <si>
    <t>THIRUVALLUR</t>
  </si>
  <si>
    <t>132110023070571</t>
  </si>
  <si>
    <t>UBIN0813214</t>
  </si>
  <si>
    <t>1050183835</t>
  </si>
  <si>
    <t>Lini Nandkumar Bokil</t>
  </si>
  <si>
    <t>1206420017884927</t>
  </si>
  <si>
    <t>AAEPB8508Q</t>
  </si>
  <si>
    <t>202-TIRUPATI APARTMENT V S MARG THANE</t>
  </si>
  <si>
    <t>WEST THANE</t>
  </si>
  <si>
    <t>400602</t>
  </si>
  <si>
    <t>ngbokil59@yahoo.com</t>
  </si>
  <si>
    <t>+919869462232</t>
  </si>
  <si>
    <t>003501551235</t>
  </si>
  <si>
    <t>1050191729</t>
  </si>
  <si>
    <t>Dhatri Sunilkumar Gajjar</t>
  </si>
  <si>
    <t>1203320443758954</t>
  </si>
  <si>
    <t>BKXPG2825H</t>
  </si>
  <si>
    <t>BLOCK A A1 1701 GREEN GLADE BH</t>
  </si>
  <si>
    <t>CARMEL GODREJ GARDEN CITY</t>
  </si>
  <si>
    <t>JAGATPUR AHMEDABAD GUJARAT</t>
  </si>
  <si>
    <t>382470</t>
  </si>
  <si>
    <t>8380074595</t>
  </si>
  <si>
    <t>dhatrisunil1@gmail.com</t>
  </si>
  <si>
    <t>+918380074595</t>
  </si>
  <si>
    <t>50100036006991</t>
  </si>
  <si>
    <t>1050196046</t>
  </si>
  <si>
    <t>Vasant Madhukar</t>
  </si>
  <si>
    <t>1203320214982561</t>
  </si>
  <si>
    <t>AYWPM0392H</t>
  </si>
  <si>
    <t>ANCHAL DANAPUR GANGHARA PATNA</t>
  </si>
  <si>
    <t>801507</t>
  </si>
  <si>
    <t>9118235367</t>
  </si>
  <si>
    <t>basantmadhukar1987@gmail.com</t>
  </si>
  <si>
    <t>+919118235367</t>
  </si>
  <si>
    <t>2211260741264310</t>
  </si>
  <si>
    <t>AUBL0002607</t>
  </si>
  <si>
    <t>1050200582</t>
  </si>
  <si>
    <t>Yashaswini Raj</t>
  </si>
  <si>
    <t>BJCPR6260B</t>
  </si>
  <si>
    <t>D O RAJASHEKAR B G NO 936 ABHISHEK D BLOCK SAHAKAR</t>
  </si>
  <si>
    <t>NAGAR BANGALORE NORTH BANGALORE NORTH SAHAKARANAGAR P O</t>
  </si>
  <si>
    <t>BANGALORE KARNATAKA 560092</t>
  </si>
  <si>
    <t>raj.yashaswini@gmail.com</t>
  </si>
  <si>
    <t>+919035877718</t>
  </si>
  <si>
    <t>SAHAKARNAGAR</t>
  </si>
  <si>
    <t>50100509096017</t>
  </si>
  <si>
    <t>HDFC0001036</t>
  </si>
  <si>
    <t>1050200319</t>
  </si>
  <si>
    <t>Vikram Patel</t>
  </si>
  <si>
    <t>GNWPP8262E</t>
  </si>
  <si>
    <t>MASMASI MASMASI MASMASI</t>
  </si>
  <si>
    <t>KALAN</t>
  </si>
  <si>
    <t>485881</t>
  </si>
  <si>
    <t>vp3714392@gmail.com</t>
  </si>
  <si>
    <t>+919752257281</t>
  </si>
  <si>
    <t>RAMNAGAR</t>
  </si>
  <si>
    <t>33565362044</t>
  </si>
  <si>
    <t>SBIN0013109</t>
  </si>
  <si>
    <t>1050206269</t>
  </si>
  <si>
    <t>BHAVESH KUMAR (HUF)</t>
  </si>
  <si>
    <t>AAJHB4246E</t>
  </si>
  <si>
    <t>02G</t>
  </si>
  <si>
    <t>Aditya Birla Sun Life ELSS Tax Saver Fund- (ELSS U/S 80C of IT ACT) - Growth-Regular Plan</t>
  </si>
  <si>
    <t>B 10 397 NEEM WALA CHOWK</t>
  </si>
  <si>
    <t>VISHKARMA</t>
  </si>
  <si>
    <t>bhaveshkampaints@gmail.com</t>
  </si>
  <si>
    <t>+917009353646</t>
  </si>
  <si>
    <t>ARN-177630</t>
  </si>
  <si>
    <t>Animesh Jindal</t>
  </si>
  <si>
    <t>AQOPJ6162A</t>
  </si>
  <si>
    <t>M.I G. Flats-31-FF</t>
  </si>
  <si>
    <t>Ward No-55 Near Y Block</t>
  </si>
  <si>
    <t>Rishi Nagar</t>
  </si>
  <si>
    <t>+917837088088</t>
  </si>
  <si>
    <t>animeshjl27@gmail.com</t>
  </si>
  <si>
    <t>SDP HIGHER SECONDARY SCHOOL</t>
  </si>
  <si>
    <t>520602010109624</t>
  </si>
  <si>
    <t>141026003</t>
  </si>
  <si>
    <t>UBIN0552062</t>
  </si>
  <si>
    <t>1050207499</t>
  </si>
  <si>
    <t>Anil Kumar Vellangott</t>
  </si>
  <si>
    <t>IN30051314663743</t>
  </si>
  <si>
    <t>ADKPV0498E</t>
  </si>
  <si>
    <t>VELLANGOT HOUSE</t>
  </si>
  <si>
    <t>MALAPARAMBA PO</t>
  </si>
  <si>
    <t>CALICUT</t>
  </si>
  <si>
    <t>673009</t>
  </si>
  <si>
    <t>anilvraghav@yahoo.co.in</t>
  </si>
  <si>
    <t>+919846044077</t>
  </si>
  <si>
    <t>ARN-20669</t>
  </si>
  <si>
    <t>Sharekhan Limited</t>
  </si>
  <si>
    <t>AAECS5096H</t>
  </si>
  <si>
    <t>The Ruby,18th Floor,</t>
  </si>
  <si>
    <t>29 Senapati Bapat Marg,</t>
  </si>
  <si>
    <t>Dadar (West)</t>
  </si>
  <si>
    <t>+919136989914</t>
  </si>
  <si>
    <t>mf@sharekhan.com</t>
  </si>
  <si>
    <t>50100001492796</t>
  </si>
  <si>
    <t>HDFC0000125</t>
  </si>
  <si>
    <t>1050209969</t>
  </si>
  <si>
    <t>Biva Mandal</t>
  </si>
  <si>
    <t>BPCPM5346H</t>
  </si>
  <si>
    <t>3RD FLOOR,FLAT~~1,SEEMALA,DUMDUM</t>
  </si>
  <si>
    <t>CANT 82 INCINERATOR ROAD,</t>
  </si>
  <si>
    <t>DUMDUM KOLKATA, WEST BENGAL</t>
  </si>
  <si>
    <t>DUMDUM</t>
  </si>
  <si>
    <t>700028</t>
  </si>
  <si>
    <t>kundun649@gmail.com</t>
  </si>
  <si>
    <t>+919432426483</t>
  </si>
  <si>
    <t>DUM DUM</t>
  </si>
  <si>
    <t>0092104000182454</t>
  </si>
  <si>
    <t>700259007</t>
  </si>
  <si>
    <t>IBKL0000092</t>
  </si>
  <si>
    <t>1050194573</t>
  </si>
  <si>
    <t>ANIRBAN CHAKRABORTY</t>
  </si>
  <si>
    <t>BOPPC8970P</t>
  </si>
  <si>
    <t>Munshi Prem Chand Road Shyambandhi</t>
  </si>
  <si>
    <t>Asansol M Corp Burdwan</t>
  </si>
  <si>
    <t>Bardhaman</t>
  </si>
  <si>
    <t>713325</t>
  </si>
  <si>
    <t>anirban.2285@gmail.com</t>
  </si>
  <si>
    <t>+919434583749</t>
  </si>
  <si>
    <t>ARN-0006</t>
  </si>
  <si>
    <t>SKP SECURITIES LTD.</t>
  </si>
  <si>
    <t>AAECS3847A</t>
  </si>
  <si>
    <t>789 Anandapur</t>
  </si>
  <si>
    <t>Main Road</t>
  </si>
  <si>
    <t>700107</t>
  </si>
  <si>
    <t>+919830268322</t>
  </si>
  <si>
    <t>mutualfunds@skpsecurities.com</t>
  </si>
  <si>
    <t>BURNPUR</t>
  </si>
  <si>
    <t>BURDWAN WEST BENGAL</t>
  </si>
  <si>
    <t>423418210010065</t>
  </si>
  <si>
    <t>BKID0004234</t>
  </si>
  <si>
    <t>1050211683</t>
  </si>
  <si>
    <t>Saniya Samreen Zuberali Syed</t>
  </si>
  <si>
    <t>1208870244988433</t>
  </si>
  <si>
    <t>QCGPS0381N</t>
  </si>
  <si>
    <t>W/O ZUBERALI SYED,06,KOTHLAJ ROAD,AZAM</t>
  </si>
  <si>
    <t>COLONY,NEAR NAGAR PARISHAD</t>
  </si>
  <si>
    <t>COMPLEX,HINGOLI,HINGOLI,MAHARASHTRA,43</t>
  </si>
  <si>
    <t>HINGOLI</t>
  </si>
  <si>
    <t>431513</t>
  </si>
  <si>
    <t>zubairalisyed962@gmail.com</t>
  </si>
  <si>
    <t>+919637699313</t>
  </si>
  <si>
    <t>2148624407</t>
  </si>
  <si>
    <t>1050213451</t>
  </si>
  <si>
    <t>Manya Laxman Poojari</t>
  </si>
  <si>
    <t>IIXPP8360K</t>
  </si>
  <si>
    <t>GHAR NO 0234/6 RAJARAM SMRUTI</t>
  </si>
  <si>
    <t>NEAR NOCIL GUEST HOUSE TALAVALI GAON</t>
  </si>
  <si>
    <t>GHANSOLI S O</t>
  </si>
  <si>
    <t>400701</t>
  </si>
  <si>
    <t>pmanya0306@gmail.com</t>
  </si>
  <si>
    <t>+919082397693</t>
  </si>
  <si>
    <t>ARN-61546</t>
  </si>
  <si>
    <t>HEMENDRA L.DHULLA</t>
  </si>
  <si>
    <t>AAIPD5524E</t>
  </si>
  <si>
    <t>D-6,Lal Bungalow</t>
  </si>
  <si>
    <t>Upashraya Lane,</t>
  </si>
  <si>
    <t>+919167526162</t>
  </si>
  <si>
    <t>hemee_52@yahoo.co.in</t>
  </si>
  <si>
    <t>NAUPADA THANE</t>
  </si>
  <si>
    <t>43332487010</t>
  </si>
  <si>
    <t>400002095</t>
  </si>
  <si>
    <t>SBIN0005354</t>
  </si>
  <si>
    <t>1050216828</t>
  </si>
  <si>
    <t>Ankitaben Gunvantbhai Chotaliya</t>
  </si>
  <si>
    <t>BMQPC2319K</t>
  </si>
  <si>
    <t>Plot No.6A(RAAM), Gaytri Krupa Society</t>
  </si>
  <si>
    <t>Near S T workshop</t>
  </si>
  <si>
    <t>Valsad</t>
  </si>
  <si>
    <t>396001</t>
  </si>
  <si>
    <t>ankitachotaliya19@gmail.com</t>
  </si>
  <si>
    <t>+918866127144</t>
  </si>
  <si>
    <t>valsad</t>
  </si>
  <si>
    <t>20232007344</t>
  </si>
  <si>
    <t>396002001</t>
  </si>
  <si>
    <t>SBIN0000341</t>
  </si>
  <si>
    <t>2632</t>
  </si>
  <si>
    <t>1050245266</t>
  </si>
  <si>
    <t>Vishal Rawat</t>
  </si>
  <si>
    <t>1208870186410145</t>
  </si>
  <si>
    <t>CCYPR7063J</t>
  </si>
  <si>
    <t>S/O: BANWARI LAL,AMETHI,LUCKNOW,UTTAR</t>
  </si>
  <si>
    <t>PRADESH,227125</t>
  </si>
  <si>
    <t>227125</t>
  </si>
  <si>
    <t>79919vrawat@gmail.com</t>
  </si>
  <si>
    <t>+917991984371</t>
  </si>
  <si>
    <t>SSI AISH BAGH</t>
  </si>
  <si>
    <t>35735792423</t>
  </si>
  <si>
    <t>SBIN0002504</t>
  </si>
  <si>
    <t>1050245782</t>
  </si>
  <si>
    <t>Priyanka Kumari</t>
  </si>
  <si>
    <t>DDDPK1531B</t>
  </si>
  <si>
    <t>C/O: SUSHANT KUMAR QUARTER NO.-2338, SECTOR-8/B, POST</t>
  </si>
  <si>
    <t>OFFICE- SECTOR 9 BOKARO STEEL CITY BOKARO JHARKHAND</t>
  </si>
  <si>
    <t>827009</t>
  </si>
  <si>
    <t>BOKARO STEEL CITY</t>
  </si>
  <si>
    <t>sportypriyanka21101993@gmail.com</t>
  </si>
  <si>
    <t>+917004898829</t>
  </si>
  <si>
    <t>16620100037347</t>
  </si>
  <si>
    <t>FDRL0001662</t>
  </si>
  <si>
    <t>1050246442</t>
  </si>
  <si>
    <t>Pabbu Sai Kiran Goud</t>
  </si>
  <si>
    <t>DCEPG2815L</t>
  </si>
  <si>
    <t>S O P ANANTH GOUD 1 50 3 KANDI KANDI SANGAREDDY</t>
  </si>
  <si>
    <t>KANDI MEDAK TELANGANA 502285</t>
  </si>
  <si>
    <t>502285</t>
  </si>
  <si>
    <t>saikirangoud8864@gmail.com</t>
  </si>
  <si>
    <t>+917893613253</t>
  </si>
  <si>
    <t>SANGAREDDY  ANDHRA PRADESH</t>
  </si>
  <si>
    <t>50100354823453</t>
  </si>
  <si>
    <t>HDFC0000813</t>
  </si>
  <si>
    <t>1050218539</t>
  </si>
  <si>
    <t>Amit Joshi</t>
  </si>
  <si>
    <t>BSBPJ8255J</t>
  </si>
  <si>
    <t>S/O Nand Kishore Joshi 3 First Gali</t>
  </si>
  <si>
    <t>Adarsh Nagar Panchwati Colony</t>
  </si>
  <si>
    <t>amitjoshi.ajmr@gmail.com</t>
  </si>
  <si>
    <t>+919887380688</t>
  </si>
  <si>
    <t>ARN-337427</t>
  </si>
  <si>
    <t>Rajendra Prasad Joshi</t>
  </si>
  <si>
    <t>AAQPJ8854R</t>
  </si>
  <si>
    <t>C-577, niti path</t>
  </si>
  <si>
    <t>panch sheel,Ajmer</t>
  </si>
  <si>
    <t>9252060600</t>
  </si>
  <si>
    <t>rpjoshi111959@gmail.com</t>
  </si>
  <si>
    <t>STATION ROAD, AJMER</t>
  </si>
  <si>
    <t>30327412966</t>
  </si>
  <si>
    <t>SBIN0031104</t>
  </si>
  <si>
    <t>1050227454</t>
  </si>
  <si>
    <t>Nirmal Kumari</t>
  </si>
  <si>
    <t>FARPK7896C</t>
  </si>
  <si>
    <t>Hosue No 4496 Mohalla Kumhara Wala</t>
  </si>
  <si>
    <t>Ward No 13 Kharar</t>
  </si>
  <si>
    <t>Kharar</t>
  </si>
  <si>
    <t>nirmalkohli000@gmail.com</t>
  </si>
  <si>
    <t>+919988126797</t>
  </si>
  <si>
    <t>ARN-257906</t>
  </si>
  <si>
    <t>NURTURED FUNDSMART PRIVATE LIMITED</t>
  </si>
  <si>
    <t>AAICN5539J</t>
  </si>
  <si>
    <t>Scf 41 Top Floor</t>
  </si>
  <si>
    <t>High Street Market</t>
  </si>
  <si>
    <t>Vip Road Zirakpur</t>
  </si>
  <si>
    <t>ZIRAKPUR</t>
  </si>
  <si>
    <t>140603</t>
  </si>
  <si>
    <t>+919855433333</t>
  </si>
  <si>
    <t>nurturedfundsmart@gmail.com</t>
  </si>
  <si>
    <t>KHARAR ROPAR ROAD</t>
  </si>
  <si>
    <t>3526000100029424</t>
  </si>
  <si>
    <t>PUNB0352600</t>
  </si>
  <si>
    <t>1050230763</t>
  </si>
  <si>
    <t>Vivek Sharma</t>
  </si>
  <si>
    <t>1203320455826975</t>
  </si>
  <si>
    <t>CAZPS5627L</t>
  </si>
  <si>
    <t>SANJWAN</t>
  </si>
  <si>
    <t>184120</t>
  </si>
  <si>
    <t>8492000757</t>
  </si>
  <si>
    <t>vs6584362@gmail.com</t>
  </si>
  <si>
    <t>+918492000757</t>
  </si>
  <si>
    <t>SUPWAL</t>
  </si>
  <si>
    <t>00000020132080578</t>
  </si>
  <si>
    <t>SBIN0004625</t>
  </si>
  <si>
    <t>1050233273</t>
  </si>
  <si>
    <t>Sunaina Patel</t>
  </si>
  <si>
    <t>1208870134064423</t>
  </si>
  <si>
    <t>CEQPP1853L</t>
  </si>
  <si>
    <t>C/O: VIVEK KUMAR</t>
  </si>
  <si>
    <t>PATEL,N-9,NANDGAON,BAGMUGALIYA,HUZUR,B</t>
  </si>
  <si>
    <t>HOPAL,MADHYA PRADESH,462043</t>
  </si>
  <si>
    <t>462043</t>
  </si>
  <si>
    <t>sunainapatel34@gmail.com</t>
  </si>
  <si>
    <t>+917489205912</t>
  </si>
  <si>
    <t>DEEP COMPLEX REWA</t>
  </si>
  <si>
    <t>REWA</t>
  </si>
  <si>
    <t>00000032720185609</t>
  </si>
  <si>
    <t>SBIN0030251</t>
  </si>
  <si>
    <t>1050234917</t>
  </si>
  <si>
    <t>Arvindkumar Jayantilal Kothari</t>
  </si>
  <si>
    <t>1206420017064871</t>
  </si>
  <si>
    <t>ACAPK8081B</t>
  </si>
  <si>
    <t>MILAP NEAR JITESH APARTMENT JI</t>
  </si>
  <si>
    <t>NTAN ROAD SURENDRANAGAR STATIO</t>
  </si>
  <si>
    <t>N ROAD S O SURENDRANAGAR</t>
  </si>
  <si>
    <t>363002</t>
  </si>
  <si>
    <t>mak_7991@yahoo.com</t>
  </si>
  <si>
    <t>+919904034594</t>
  </si>
  <si>
    <t>SURENDRANAGAR [GUJARAT]</t>
  </si>
  <si>
    <t>326010100028121</t>
  </si>
  <si>
    <t>UTIB0000326</t>
  </si>
  <si>
    <t>1050235844</t>
  </si>
  <si>
    <t>1208870337167350</t>
  </si>
  <si>
    <t>BFEPK8440J</t>
  </si>
  <si>
    <t>S/O: RAMASHRESHTHA MISHRA,52,BAZIDPUR</t>
  </si>
  <si>
    <t>KARTAR,PATEPUR,KUMAR</t>
  </si>
  <si>
    <t>BAJITPUR,VAISHALI,BIHAR,843110</t>
  </si>
  <si>
    <t>843110</t>
  </si>
  <si>
    <t>subodhkumar051279@gmail.com</t>
  </si>
  <si>
    <t>+918051507118</t>
  </si>
  <si>
    <t>00000038713302875</t>
  </si>
  <si>
    <t>SBIN0001434</t>
  </si>
  <si>
    <t>1050239179</t>
  </si>
  <si>
    <t>Goutami Jit</t>
  </si>
  <si>
    <t>AOWPJ1614H</t>
  </si>
  <si>
    <t>WARD NO - 08,SAHARSAHI,BARIPADA,BARIPADA TOWN</t>
  </si>
  <si>
    <t>P.O.BOX BARIPADA(M),BARIPADA TOWN,MAYURBHANJ,ODISHA</t>
  </si>
  <si>
    <t>757001,INDIA</t>
  </si>
  <si>
    <t>MAYURBHANJ</t>
  </si>
  <si>
    <t>757001</t>
  </si>
  <si>
    <t>balaramjit@gmail.com</t>
  </si>
  <si>
    <t>+918763497015</t>
  </si>
  <si>
    <t>Baripada</t>
  </si>
  <si>
    <t>BARIPADA</t>
  </si>
  <si>
    <t>10103717461</t>
  </si>
  <si>
    <t>1050185774</t>
  </si>
  <si>
    <t>Harsh Janak Mistry</t>
  </si>
  <si>
    <t>1208870001012523</t>
  </si>
  <si>
    <t>GGSPM9945L</t>
  </si>
  <si>
    <t>S/O JANAK MISTRY,B-302,SWASTIK</t>
  </si>
  <si>
    <t>APPARTMENT,KAILASH ROAD,NEAR PATEL</t>
  </si>
  <si>
    <t>CHAMBERS,VALSAD,VALSAD,GUJARAT,396001</t>
  </si>
  <si>
    <t>VALSAD</t>
  </si>
  <si>
    <t>hmistry029@gmail.com</t>
  </si>
  <si>
    <t>+919265874992</t>
  </si>
  <si>
    <t>PARDI SANDHPOR</t>
  </si>
  <si>
    <t>39459103563</t>
  </si>
  <si>
    <t>SBIN0018937</t>
  </si>
  <si>
    <t>1050148184</t>
  </si>
  <si>
    <t>Navneeta Jayaprasad</t>
  </si>
  <si>
    <t>BGKPJ8585J</t>
  </si>
  <si>
    <t>52</t>
  </si>
  <si>
    <t>Aditya Birla Sun Life Flexi Cap Fund - IDCW-Regular Plan</t>
  </si>
  <si>
    <t>78 Ved Bunglows Airport Road</t>
  </si>
  <si>
    <t>382330</t>
  </si>
  <si>
    <t>nvijenny@gmail.com</t>
  </si>
  <si>
    <t>+919327269891</t>
  </si>
  <si>
    <t>KUBERNAGAR</t>
  </si>
  <si>
    <t>925010046494617</t>
  </si>
  <si>
    <t>380211058</t>
  </si>
  <si>
    <t>UTIB0003120</t>
  </si>
  <si>
    <t>1050172523</t>
  </si>
  <si>
    <t>Trilok Krishna Reddy</t>
  </si>
  <si>
    <t>HITPR0290F</t>
  </si>
  <si>
    <t>C/O H R KRISHNA REDDY,VILLA NO 73 PRESTIGE</t>
  </si>
  <si>
    <t>LAKESIDE HABITAT,GUNJUR,BANGALORE</t>
  </si>
  <si>
    <t>SOUTH,VARTUR,BENGALURU,KARNATAKA</t>
  </si>
  <si>
    <t>reddytrilok21@gmail.com</t>
  </si>
  <si>
    <t>+918904349683</t>
  </si>
  <si>
    <t>GUNJUR</t>
  </si>
  <si>
    <t>BANGLORE</t>
  </si>
  <si>
    <t>00000043938808649</t>
  </si>
  <si>
    <t>SBIN0061775</t>
  </si>
  <si>
    <t>1050147966</t>
  </si>
  <si>
    <t>Ratna Sukumar</t>
  </si>
  <si>
    <t>QAJPS5764N</t>
  </si>
  <si>
    <t>RATNA RAMESH,1-96/A,REDDY</t>
  </si>
  <si>
    <t>COLONY,ANGARAJPALLI,MANDALAMU</t>
  </si>
  <si>
    <t>CHENNUR,ANGARAJPALLE,ANG ARAJPALLY,MANCHERIAL,TEL</t>
  </si>
  <si>
    <t>MANCHERIAL</t>
  </si>
  <si>
    <t>504201</t>
  </si>
  <si>
    <t>ratnasukumar8677@gmail.com</t>
  </si>
  <si>
    <t>+917075818403</t>
  </si>
  <si>
    <t>ARN-189439</t>
  </si>
  <si>
    <t>Ganesh Neeli</t>
  </si>
  <si>
    <t>AFRPN6199M</t>
  </si>
  <si>
    <t>H No 3-408/14-27/A/1</t>
  </si>
  <si>
    <t>Rd No 24 Hitech City Colony</t>
  </si>
  <si>
    <t>Mancherial</t>
  </si>
  <si>
    <t>504208</t>
  </si>
  <si>
    <t>TL</t>
  </si>
  <si>
    <t>+919866191116</t>
  </si>
  <si>
    <t>ganeshneeli@gmail.com</t>
  </si>
  <si>
    <t>MERU BAZAR</t>
  </si>
  <si>
    <t>MERU</t>
  </si>
  <si>
    <t>43826836174</t>
  </si>
  <si>
    <t>825002501</t>
  </si>
  <si>
    <t>SBIN0002922</t>
  </si>
  <si>
    <t>1050150283</t>
  </si>
  <si>
    <t>Pandi Thangavelu</t>
  </si>
  <si>
    <t>IN30302883273590</t>
  </si>
  <si>
    <t>CKTPP6346P</t>
  </si>
  <si>
    <t>W/OTHANGAVELU,EAST6THSTREET</t>
  </si>
  <si>
    <t>,4648,PUDUKKOTTAITALUKA</t>
  </si>
  <si>
    <t>622001</t>
  </si>
  <si>
    <t>pandithangavelu1952@gmail.com</t>
  </si>
  <si>
    <t>+919994528846</t>
  </si>
  <si>
    <t>EAST MAIN STREET  PUDUKOTTAI?</t>
  </si>
  <si>
    <t>611401521428</t>
  </si>
  <si>
    <t>ICIC0006114</t>
  </si>
  <si>
    <t>1050176978</t>
  </si>
  <si>
    <t>Siddhartha Roy</t>
  </si>
  <si>
    <t>1208870206829416</t>
  </si>
  <si>
    <t>DBDPR2954H</t>
  </si>
  <si>
    <t>S/O: BAPI ROY,SUBHAS PALLY,SARADA</t>
  </si>
  <si>
    <t>LANE,BARDDHAMAN (M),BARDDHAMAN,WEST</t>
  </si>
  <si>
    <t>BENGAL,713101</t>
  </si>
  <si>
    <t>713101</t>
  </si>
  <si>
    <t>sidr204@gmail.com</t>
  </si>
  <si>
    <t>+919635412939</t>
  </si>
  <si>
    <t>97052010005771</t>
  </si>
  <si>
    <t>1050176949</t>
  </si>
  <si>
    <t>Tanvi Mittal</t>
  </si>
  <si>
    <t>1208870326270290</t>
  </si>
  <si>
    <t>DHYPM0135E</t>
  </si>
  <si>
    <t>D/O GHANSHYAM MITTAL,HOUSE NO.- C-</t>
  </si>
  <si>
    <t>7,C.B.R.I. COLONY, SHANTI</t>
  </si>
  <si>
    <t>NAGAR,ROORKEE,HARDWAR,UTTARAKHAND,2476</t>
  </si>
  <si>
    <t>HARDWAR</t>
  </si>
  <si>
    <t>247667</t>
  </si>
  <si>
    <t>tanvi.2997@gmail.com</t>
  </si>
  <si>
    <t>+917252017514</t>
  </si>
  <si>
    <t>922010010801079</t>
  </si>
  <si>
    <t>UTIB0000249</t>
  </si>
  <si>
    <t>1050175831</t>
  </si>
  <si>
    <t>Shashank Sindhi</t>
  </si>
  <si>
    <t>LQMPS1731B</t>
  </si>
  <si>
    <t>S/O S RAGHAVENDRA RAO,WARD NO 34,MARATI</t>
  </si>
  <si>
    <t>STREET,DEVI NAGAR,BELLARY,BALLARI,KARNATAKA</t>
  </si>
  <si>
    <t>583101</t>
  </si>
  <si>
    <t>shashanksonu92@gmail.com</t>
  </si>
  <si>
    <t>+918217651702</t>
  </si>
  <si>
    <t>DEVI NAGAR BELLARY</t>
  </si>
  <si>
    <t>00000038469200074</t>
  </si>
  <si>
    <t>SBIN0017793</t>
  </si>
  <si>
    <t>1050176728</t>
  </si>
  <si>
    <t>Pratik Arvind Gada</t>
  </si>
  <si>
    <t>1208160003511693</t>
  </si>
  <si>
    <t>AMMPG8874C</t>
  </si>
  <si>
    <t>S/O ARVIND GADA 76 - C, MANGAL</t>
  </si>
  <si>
    <t>BLOCK NO. 6, MATUNGA RAFI AHME</t>
  </si>
  <si>
    <t>NEAR AMULAKH AMICHAND SCHOOL M</t>
  </si>
  <si>
    <t>400019</t>
  </si>
  <si>
    <t>pratikagada@gmail.com</t>
  </si>
  <si>
    <t>+919773530485</t>
  </si>
  <si>
    <t>MUMBAI  CST (MUMBAI VT)</t>
  </si>
  <si>
    <t>03551140013624</t>
  </si>
  <si>
    <t>HDFC0000355</t>
  </si>
  <si>
    <t>1050165784</t>
  </si>
  <si>
    <t>Nikhil Shahaji Patil</t>
  </si>
  <si>
    <t>AWOPP5686R</t>
  </si>
  <si>
    <t>R.N- 512  Sai Ganesh sadan,Senapati bapat marg</t>
  </si>
  <si>
    <t>Opp Shirdi nasik bus stop,Dadar,dadar west</t>
  </si>
  <si>
    <t>acnniks@gmail.com</t>
  </si>
  <si>
    <t>+919819521141</t>
  </si>
  <si>
    <t>ARN-334187</t>
  </si>
  <si>
    <t>FINARTHA INVEST PRIVATE LIMITED</t>
  </si>
  <si>
    <t>AAGCF4777N</t>
  </si>
  <si>
    <t>Office Number- 415, Brand Square</t>
  </si>
  <si>
    <t>Pimple Saudagar</t>
  </si>
  <si>
    <t>411027</t>
  </si>
  <si>
    <t>9881009501</t>
  </si>
  <si>
    <t>finarthainvest.ops@gmail.com</t>
  </si>
  <si>
    <t>02911140038812</t>
  </si>
  <si>
    <t>400240046</t>
  </si>
  <si>
    <t>1050217640</t>
  </si>
  <si>
    <t>Mohan Bala Mohture</t>
  </si>
  <si>
    <t>1208870431835402</t>
  </si>
  <si>
    <t>AUFPM4096H</t>
  </si>
  <si>
    <t>,84,,AT TONDALI POST INDORA</t>
  </si>
  <si>
    <t>TALUKA-MAUDA,JILHA-NAGPUR,DEVSUKLI,TON</t>
  </si>
  <si>
    <t>DALI,,NAGPUR,MAHARASHTRA,441401</t>
  </si>
  <si>
    <t>441401</t>
  </si>
  <si>
    <t>mohanmohature45@gmail.com</t>
  </si>
  <si>
    <t>+918975151933</t>
  </si>
  <si>
    <t>PIMPRICHINCHWAD (PUNE)</t>
  </si>
  <si>
    <t>911010018100235</t>
  </si>
  <si>
    <t>UTIB0000103</t>
  </si>
  <si>
    <t>1050188997</t>
  </si>
  <si>
    <t>Goutam De</t>
  </si>
  <si>
    <t>BABPD5329R</t>
  </si>
  <si>
    <t>S/O GOPAL SANKAR DE, DE-290/1,GIRIDHARI APARTMENT 5</t>
  </si>
  <si>
    <t>,FLAT-2A,2ND FLOOR, NEAR BYAM SAMITI CLUB, BAGUIATI</t>
  </si>
  <si>
    <t>,KOLKATA-700159, NARAYANTALA (EAST), 700159</t>
  </si>
  <si>
    <t>ASWINI NAGAR</t>
  </si>
  <si>
    <t>700159</t>
  </si>
  <si>
    <t>goutamde555@gmail.com</t>
  </si>
  <si>
    <t>+919874987120</t>
  </si>
  <si>
    <t>RAJARHAT GOPALPUR</t>
  </si>
  <si>
    <t>50100026052894</t>
  </si>
  <si>
    <t>HDFC0002058</t>
  </si>
  <si>
    <t>1050188295</t>
  </si>
  <si>
    <t>Yuvraj Sharma</t>
  </si>
  <si>
    <t>LGEPS6178L</t>
  </si>
  <si>
    <t>S/O KRISHN KANT</t>
  </si>
  <si>
    <t>0 GAON POST BHAINSA</t>
  </si>
  <si>
    <t>JILA BHAINSA CHHATA BHAINSA</t>
  </si>
  <si>
    <t>281005</t>
  </si>
  <si>
    <t>sharmayuvraj353@gmail.com</t>
  </si>
  <si>
    <t>+917455049422</t>
  </si>
  <si>
    <t>ARN-111233</t>
  </si>
  <si>
    <t>Nirmal Bang Wealth Private Limited</t>
  </si>
  <si>
    <t>AAGCB7050E</t>
  </si>
  <si>
    <t>201,2nd Floor</t>
  </si>
  <si>
    <t>Khandelwal House</t>
  </si>
  <si>
    <t>Poddar Road,Malad East</t>
  </si>
  <si>
    <t>+917738380315</t>
  </si>
  <si>
    <t>mfcontact@nirmalbang.com</t>
  </si>
  <si>
    <t>MATHURA REFINERY</t>
  </si>
  <si>
    <t>39435349313</t>
  </si>
  <si>
    <t>SBIN0006228</t>
  </si>
  <si>
    <t>1050241723</t>
  </si>
  <si>
    <t>Ruby Furrokh Sanjana</t>
  </si>
  <si>
    <t>APHPS2511Q</t>
  </si>
  <si>
    <t>231D</t>
  </si>
  <si>
    <t>Aditya Birla Sun Life Tax Plan - (ELSS U/S 80C of IT ACT) - IDCW-Regular Plan</t>
  </si>
  <si>
    <t>HARBOUR HEIGHTS A BLDG FLAT 10E</t>
  </si>
  <si>
    <t>N A SAWANT MARG COLABA</t>
  </si>
  <si>
    <t>furrokhs@gmail.com</t>
  </si>
  <si>
    <t>+919819259202</t>
  </si>
  <si>
    <t>ARN-61119</t>
  </si>
  <si>
    <t>ANIL M LIMAYE</t>
  </si>
  <si>
    <t>AACPL0141K</t>
  </si>
  <si>
    <t>Bldg No-12,Room No-191/192,Komal Chs</t>
  </si>
  <si>
    <t>Kannamwar 1,Vikhroli (East)</t>
  </si>
  <si>
    <t>400083</t>
  </si>
  <si>
    <t>+919833702963</t>
  </si>
  <si>
    <t>anilmlimaye52@gmail.com</t>
  </si>
  <si>
    <t>SPECIALISED PERSONAL BANKING BRANCH, MUM</t>
  </si>
  <si>
    <t>11209159837</t>
  </si>
  <si>
    <t>400002146</t>
  </si>
  <si>
    <t>SBIN0004205</t>
  </si>
  <si>
    <t>ACH</t>
  </si>
  <si>
    <t>BMUMGHA</t>
  </si>
  <si>
    <t>1050192773</t>
  </si>
  <si>
    <t>Palanivelmurugan Raja</t>
  </si>
  <si>
    <t>BYOPR0067H</t>
  </si>
  <si>
    <t>32 JASMIN NAGAR NAGAMANGALAM OP BUS</t>
  </si>
  <si>
    <t>STOP -</t>
  </si>
  <si>
    <t>NAGAMANGALAM</t>
  </si>
  <si>
    <t>620012</t>
  </si>
  <si>
    <t>rkbsiraja2110@gmail.com</t>
  </si>
  <si>
    <t>+918608655097</t>
  </si>
  <si>
    <t>WALAJAPET</t>
  </si>
  <si>
    <t>VELLORE</t>
  </si>
  <si>
    <t>510909010275035</t>
  </si>
  <si>
    <t>CIUB0000812</t>
  </si>
  <si>
    <t>1050201993</t>
  </si>
  <si>
    <t>Kiran Sampath</t>
  </si>
  <si>
    <t>AZMPS9858F</t>
  </si>
  <si>
    <t>B-105 JAY AARADHANA CHS MAROAD SHRI</t>
  </si>
  <si>
    <t>AMBIKA NAGAR DOMBIVALI WEST KALYAN</t>
  </si>
  <si>
    <t>VISHNUNAGAR THANE</t>
  </si>
  <si>
    <t>kiransampath501@gmail.com</t>
  </si>
  <si>
    <t>+919167275915</t>
  </si>
  <si>
    <t>ARN-72606</t>
  </si>
  <si>
    <t>MINAL SECURITIES PVT LTD</t>
  </si>
  <si>
    <t>AABCM9157C</t>
  </si>
  <si>
    <t>C503-504,Bank Of Inida Staff</t>
  </si>
  <si>
    <t>Nandanvan CHS LTd,136</t>
  </si>
  <si>
    <t>S.V.Road.Behind Shoppers Stop</t>
  </si>
  <si>
    <t>400058</t>
  </si>
  <si>
    <t>+919920350000</t>
  </si>
  <si>
    <t>rajannmehta9@gmail.com</t>
  </si>
  <si>
    <t>30308514845</t>
  </si>
  <si>
    <t>400002062</t>
  </si>
  <si>
    <t>SBIN0006945</t>
  </si>
  <si>
    <t>ADH22</t>
  </si>
  <si>
    <t>1050207980</t>
  </si>
  <si>
    <t>Arumugam Pavithra</t>
  </si>
  <si>
    <t>1208870385647977</t>
  </si>
  <si>
    <t>FCEPP3978M</t>
  </si>
  <si>
    <t>C/O ARUMUGAM,39 A,VETRI NAGAR,P AND T</t>
  </si>
  <si>
    <t>COLONY,COIMBATORE NORTH,COIMBATORE</t>
  </si>
  <si>
    <t>NORTH,KAVUNDAMPALAYAM,COIMBATORE,TAMIL</t>
  </si>
  <si>
    <t>641030</t>
  </si>
  <si>
    <t>pavithraarumugam102@gmail.com</t>
  </si>
  <si>
    <t>+918220064777</t>
  </si>
  <si>
    <t>VELANDIPALAYAM</t>
  </si>
  <si>
    <t>00000038418038951</t>
  </si>
  <si>
    <t>SBIN0040541</t>
  </si>
  <si>
    <t>1050210131</t>
  </si>
  <si>
    <t>Rahul Kumar</t>
  </si>
  <si>
    <t>CCOPK4405R</t>
  </si>
  <si>
    <t>PO- BAIDMARA , PS- HARLA ,,RANIPOKHAR</t>
  </si>
  <si>
    <t>rahulkumar52145@gmail.com</t>
  </si>
  <si>
    <t>+919693694960</t>
  </si>
  <si>
    <t>ARN-321293</t>
  </si>
  <si>
    <t>Satish Kumar Chaudhary</t>
  </si>
  <si>
    <t>AJSPC6334Q</t>
  </si>
  <si>
    <t>q.no.-33/d type 1 railway colony,</t>
  </si>
  <si>
    <t>Po-Dugda, Ps- dugda,</t>
  </si>
  <si>
    <t>Dugdha Coal washery So</t>
  </si>
  <si>
    <t>828404</t>
  </si>
  <si>
    <t>8434203420</t>
  </si>
  <si>
    <t>chaudharysatish873@gmail.com</t>
  </si>
  <si>
    <t>BSC SEC-, BOKARO</t>
  </si>
  <si>
    <t>32908682350</t>
  </si>
  <si>
    <t>827002010</t>
  </si>
  <si>
    <t>SBIN0006651</t>
  </si>
  <si>
    <t>1050220885</t>
  </si>
  <si>
    <t>Anchala Haneef Khan</t>
  </si>
  <si>
    <t>1208870431609302</t>
  </si>
  <si>
    <t>IQCPK1721G</t>
  </si>
  <si>
    <t>C O ANCHALA VALI KHAN 1 1861L</t>
  </si>
  <si>
    <t>DHATATREYA TEMPLE STREET REVENUE WARD</t>
  </si>
  <si>
    <t>1 PAMIDI PAMIDI</t>
  </si>
  <si>
    <t>PAMIDI</t>
  </si>
  <si>
    <t>515775</t>
  </si>
  <si>
    <t>haneefanchala@gmail.com</t>
  </si>
  <si>
    <t>+919666042498</t>
  </si>
  <si>
    <t>MARATHAHALLI [BANGALORE]</t>
  </si>
  <si>
    <t>925010035139006</t>
  </si>
  <si>
    <t>UTIB0000300</t>
  </si>
  <si>
    <t>1050214501</t>
  </si>
  <si>
    <t>Spandanpal</t>
  </si>
  <si>
    <t>DUSPP1443K</t>
  </si>
  <si>
    <t>77 ST XAVIERS MARG C-ZONE DURGAPUR STEEL TOWN EAST</t>
  </si>
  <si>
    <t>DURGAPUR M CORP</t>
  </si>
  <si>
    <t>DURGAPUR (M CORP.)</t>
  </si>
  <si>
    <t>i.me.ronny@gmail.com</t>
  </si>
  <si>
    <t>+919641732101</t>
  </si>
  <si>
    <t>CAT-1-EOP-0004</t>
  </si>
  <si>
    <t>Smallcase Technologies Private Limited</t>
  </si>
  <si>
    <t>AAWCS1488D</t>
  </si>
  <si>
    <t>51, 3rd Floor, Le Parc Richmonde,</t>
  </si>
  <si>
    <t>Richmond Rd, Shanthala Nagar</t>
  </si>
  <si>
    <t>Richmond Town, Bengaluru</t>
  </si>
  <si>
    <t>560025</t>
  </si>
  <si>
    <t>+919500952161</t>
  </si>
  <si>
    <t>camsmailback@smallcase.com</t>
  </si>
  <si>
    <t>C ZONE DURGAPUR</t>
  </si>
  <si>
    <t>00000020429241077</t>
  </si>
  <si>
    <t>713002215</t>
  </si>
  <si>
    <t>SBIN0014545</t>
  </si>
  <si>
    <t>1050222469</t>
  </si>
  <si>
    <t>Neelakandaraja Sivakumar</t>
  </si>
  <si>
    <t>BXEPS1396D</t>
  </si>
  <si>
    <t>1180Y</t>
  </si>
  <si>
    <t>Aditya Birla Sun Life Banking And Financial Services Fund - Gr. DIRECT</t>
  </si>
  <si>
    <t>S O NEELAKANDARAJA 43 3 KULALAR</t>
  </si>
  <si>
    <t>STREET UTHAMAPALAYAM</t>
  </si>
  <si>
    <t>KAMAYAGOUNDANPATTI</t>
  </si>
  <si>
    <t>Theni</t>
  </si>
  <si>
    <t>625521</t>
  </si>
  <si>
    <t>shivashas2000@gmail.com</t>
  </si>
  <si>
    <t>+919962077156</t>
  </si>
  <si>
    <t>CUMBUM</t>
  </si>
  <si>
    <t>THENI</t>
  </si>
  <si>
    <t>0203301000055263</t>
  </si>
  <si>
    <t>DBSS0IN0203</t>
  </si>
  <si>
    <t>1050216607</t>
  </si>
  <si>
    <t>Rajitha Kalluru</t>
  </si>
  <si>
    <t>IROPK8996Q</t>
  </si>
  <si>
    <t>D/O LATE KALLURU RAGHU RAMI REDDY 13/65 THIMMAREDDY</t>
  </si>
  <si>
    <t>PALLI PORUMAMILLA THIMMAREDDY PALLI TEKURPET</t>
  </si>
  <si>
    <t>CHERLOPALLE</t>
  </si>
  <si>
    <t>516505</t>
  </si>
  <si>
    <t>rajithakalluru26@gmail.com</t>
  </si>
  <si>
    <t>+918277909629</t>
  </si>
  <si>
    <t>NEW HORIZON COLLEGE OF ENGINEERING BANG</t>
  </si>
  <si>
    <t>6756016177</t>
  </si>
  <si>
    <t>IDIB000N112</t>
  </si>
  <si>
    <t>1050233978</t>
  </si>
  <si>
    <t>Rakhi Bhatia</t>
  </si>
  <si>
    <t>1208870253881852</t>
  </si>
  <si>
    <t>AWEPB0460D</t>
  </si>
  <si>
    <t>W/O: VIMAL BHATIA,HOUSE NO.868-F,SECTOR</t>
  </si>
  <si>
    <t>22-B,NEAR ANAND</t>
  </si>
  <si>
    <t>FARM,MOLAHERA(65),FARRUKHNAGAR,PALAM</t>
  </si>
  <si>
    <t>122015</t>
  </si>
  <si>
    <t>rakhibhatia708@gmail.com</t>
  </si>
  <si>
    <t>+919582532713</t>
  </si>
  <si>
    <t>GURGAON DAV SCHOOL SECT14</t>
  </si>
  <si>
    <t>1610000100208849</t>
  </si>
  <si>
    <t>PUNB0409900</t>
  </si>
  <si>
    <t>1050234818</t>
  </si>
  <si>
    <t>Arup Ghosh</t>
  </si>
  <si>
    <t>1203320283045398</t>
  </si>
  <si>
    <t>AHMPG1023A</t>
  </si>
  <si>
    <t>NANDAN NAGAR KALAGACHHIA SOUTH</t>
  </si>
  <si>
    <t>24 PARGANAS WEST BENGAL</t>
  </si>
  <si>
    <t>700063</t>
  </si>
  <si>
    <t>9674461579</t>
  </si>
  <si>
    <t>arup2200@gmail.com</t>
  </si>
  <si>
    <t>+919674461579</t>
  </si>
  <si>
    <t>BEHALA DISTT CALCUTTA (WEST</t>
  </si>
  <si>
    <t>1427000100137730</t>
  </si>
  <si>
    <t>PUNB0142700</t>
  </si>
  <si>
    <t>1050236707</t>
  </si>
  <si>
    <t>Vasava Yogeshbhai Rupsingbhai</t>
  </si>
  <si>
    <t>1208870428903026</t>
  </si>
  <si>
    <t>GKOPR1565K</t>
  </si>
  <si>
    <t>S O VASAVA RUPSINGBHAI KATHUD FALIYU</t>
  </si>
  <si>
    <t>POST KUIDA TA UCHCHHAL VADGAM TAPI</t>
  </si>
  <si>
    <t>GUJARAT 394375</t>
  </si>
  <si>
    <t>VADGAM</t>
  </si>
  <si>
    <t>394375</t>
  </si>
  <si>
    <t>vy5213838@gmail.com</t>
  </si>
  <si>
    <t>+916355829178</t>
  </si>
  <si>
    <t>3648276486</t>
  </si>
  <si>
    <t>1050235521</t>
  </si>
  <si>
    <t>Aiswarya Arumughan Manghat</t>
  </si>
  <si>
    <t>1208180036483891</t>
  </si>
  <si>
    <t>DCHPM6895R</t>
  </si>
  <si>
    <t>ROOM NO 2, ASHWINI APARTMENTPUNE LINK RO</t>
  </si>
  <si>
    <t>AD, NEAR DATTATEMPLE, TISGAON NAKA, KALY</t>
  </si>
  <si>
    <t>AN</t>
  </si>
  <si>
    <t>8454052445</t>
  </si>
  <si>
    <t>aishwarya.m1812@gmail.com</t>
  </si>
  <si>
    <t>+918454052445</t>
  </si>
  <si>
    <t>50100298341378</t>
  </si>
  <si>
    <t>1050249741</t>
  </si>
  <si>
    <t>Vidula Gurudatta Pawar</t>
  </si>
  <si>
    <t>1208870432459265</t>
  </si>
  <si>
    <t>HYXPP7481N</t>
  </si>
  <si>
    <t>SARVE NO 77 2 1 PATHARI WASTI TAMBE</t>
  </si>
  <si>
    <t>POLTRY PUNE CITY PUNE</t>
  </si>
  <si>
    <t>411047</t>
  </si>
  <si>
    <t>pawarvidu10@gmail.com</t>
  </si>
  <si>
    <t>+918767948415</t>
  </si>
  <si>
    <t>PORWAL ROAD LOHEGAON</t>
  </si>
  <si>
    <t>50100821985420</t>
  </si>
  <si>
    <t>HDFC0009848</t>
  </si>
  <si>
    <t>1050250383</t>
  </si>
  <si>
    <t>Khunt Niral Shamajibhai</t>
  </si>
  <si>
    <t>1203320159435841</t>
  </si>
  <si>
    <t>EYIPK3580F</t>
  </si>
  <si>
    <t>MOTI KHILORI</t>
  </si>
  <si>
    <t>364465</t>
  </si>
  <si>
    <t>7046938227</t>
  </si>
  <si>
    <t>niralkhut567@gmail.com</t>
  </si>
  <si>
    <t>+917046938227</t>
  </si>
  <si>
    <t>DERDI</t>
  </si>
  <si>
    <t>314702010031375</t>
  </si>
  <si>
    <t>UBIN0531472</t>
  </si>
  <si>
    <t>1050256953</t>
  </si>
  <si>
    <t>Kansara Abha Uday</t>
  </si>
  <si>
    <t>DYLPA6461F</t>
  </si>
  <si>
    <t>101B</t>
  </si>
  <si>
    <t>Aditya Birla Sun Life Nifty Next 50 Index Fund Regular Growth</t>
  </si>
  <si>
    <t>Bunglow no 08 Karnavati Homes opp</t>
  </si>
  <si>
    <t>Girivar Bunglow Vastral Vastral</t>
  </si>
  <si>
    <t>abha281002@gmail.com</t>
  </si>
  <si>
    <t>+916394160368</t>
  </si>
  <si>
    <t>VASTRAL</t>
  </si>
  <si>
    <t>595502010023244</t>
  </si>
  <si>
    <t>UBIN0559555</t>
  </si>
  <si>
    <t>1050167595</t>
  </si>
  <si>
    <t>Nammi Navya</t>
  </si>
  <si>
    <t>1208160192757822</t>
  </si>
  <si>
    <t>BFKPN2141D</t>
  </si>
  <si>
    <t>NAMMI NAGESWARA RAO 5822325 SUSARLA COLO</t>
  </si>
  <si>
    <t>NY BAJI JUNCTION NAD KOTHA RD OPP DAV PU</t>
  </si>
  <si>
    <t>BLIC SCHOOL GOPALAPATNAM</t>
  </si>
  <si>
    <t>VISAKHAPATNAM URBAN</t>
  </si>
  <si>
    <t>530027</t>
  </si>
  <si>
    <t>archithanavya88@gmail.com</t>
  </si>
  <si>
    <t>+919133416193</t>
  </si>
  <si>
    <t>NAD KOTHA ROAD</t>
  </si>
  <si>
    <t>50100406712117</t>
  </si>
  <si>
    <t>HDFC0001604</t>
  </si>
  <si>
    <t>1050170139</t>
  </si>
  <si>
    <t>Raj Kiran Rao Iddya</t>
  </si>
  <si>
    <t>1208160091983779</t>
  </si>
  <si>
    <t>AMFPR0386R</t>
  </si>
  <si>
    <t>C/O S/O UDAYASHANKAR RAO IDDYA</t>
  </si>
  <si>
    <t>KASAVANAHALLI 17TH CROSS KPCL</t>
  </si>
  <si>
    <t>KASAVANAHALLI KASAVANAHALLI</t>
  </si>
  <si>
    <t>rajkiranrao@yahoo.com</t>
  </si>
  <si>
    <t>+918971505505</t>
  </si>
  <si>
    <t>HYDERABAD  JUBILEE HILLS</t>
  </si>
  <si>
    <t>03171140056576</t>
  </si>
  <si>
    <t>HDFC0000317</t>
  </si>
  <si>
    <t>1050145316</t>
  </si>
  <si>
    <t>Shankar Chettri</t>
  </si>
  <si>
    <t>1208870008119416</t>
  </si>
  <si>
    <t>AHBPC8763E</t>
  </si>
  <si>
    <t>RAN BAHADUR CHETTRI MOTINAGAR FRUIT</t>
  </si>
  <si>
    <t>GARDEN, LUMPYNGAD, OPPOSITE A.G</t>
  </si>
  <si>
    <t>QUARTERS LUMPYNGAD A.G QUARTERS,</t>
  </si>
  <si>
    <t>EAST KHASI HILLS</t>
  </si>
  <si>
    <t>ME</t>
  </si>
  <si>
    <t>793014</t>
  </si>
  <si>
    <t>shankar.chettri@gmail.com</t>
  </si>
  <si>
    <t>+919916901986</t>
  </si>
  <si>
    <t>K H ROAD</t>
  </si>
  <si>
    <t>50100284239271</t>
  </si>
  <si>
    <t>HDFC0001206</t>
  </si>
  <si>
    <t>1050146815</t>
  </si>
  <si>
    <t>Pawan Kumar Gupta</t>
  </si>
  <si>
    <t>AKSPG2867M</t>
  </si>
  <si>
    <t>S/O SANTOSH KUMAR GUPTA,A-170 MAA VAISHNO</t>
  </si>
  <si>
    <t>RESIDENCY,HATHOJ KALWAR ROAD,JAIPUR,HATHOD,JAIPU</t>
  </si>
  <si>
    <t>R,HATHOJ,JAIPUR,RAJASTHA N</t>
  </si>
  <si>
    <t>pawankhandelwal761@gmail.com</t>
  </si>
  <si>
    <t>+917611907672</t>
  </si>
  <si>
    <t>SARDAR KHANDAKA HOSPITAL</t>
  </si>
  <si>
    <t>50474710757</t>
  </si>
  <si>
    <t>IDIB000S578</t>
  </si>
  <si>
    <t>1050173868</t>
  </si>
  <si>
    <t>Pooja</t>
  </si>
  <si>
    <t>BOCPP6701A</t>
  </si>
  <si>
    <t>W O TARUN UPPAL 25 B MANDIR</t>
  </si>
  <si>
    <t>ROAD GOBIND NAGAR AMBALA BARARA</t>
  </si>
  <si>
    <t>AMBALA G P O AMBALA HARYANA 133001</t>
  </si>
  <si>
    <t>AMBALA</t>
  </si>
  <si>
    <t>133001</t>
  </si>
  <si>
    <t>nehauppal476@gmail.com</t>
  </si>
  <si>
    <t>+919541396027</t>
  </si>
  <si>
    <t>MANAV CHOWK AMBALA CITY</t>
  </si>
  <si>
    <t>50100508577207</t>
  </si>
  <si>
    <t>HDFC0003645</t>
  </si>
  <si>
    <t>1050173594</t>
  </si>
  <si>
    <t>Nitigya Soni</t>
  </si>
  <si>
    <t>GLGPS6255G</t>
  </si>
  <si>
    <t>B-281321 Shaheed Karnail Singh Na</t>
  </si>
  <si>
    <t>gar Lane-9 Ph Ludhiana Ludhiana</t>
  </si>
  <si>
    <t>nitigyasoni95@gmail.com</t>
  </si>
  <si>
    <t>+919885200010</t>
  </si>
  <si>
    <t>PHULLANWAL (PUNJAB)</t>
  </si>
  <si>
    <t>PHULLANWALA</t>
  </si>
  <si>
    <t>915010017276401</t>
  </si>
  <si>
    <t>UTIB0000196</t>
  </si>
  <si>
    <t>1050175974</t>
  </si>
  <si>
    <t>Bakul Krishana</t>
  </si>
  <si>
    <t>ANYPK4035C</t>
  </si>
  <si>
    <t>2-103, TRINITY TOWERS GERA</t>
  </si>
  <si>
    <t>GREEN VILLE, NEAR EON IT PARK</t>
  </si>
  <si>
    <t>411014</t>
  </si>
  <si>
    <t>0120-4558782</t>
  </si>
  <si>
    <t>bakulkrishana@gmail.com</t>
  </si>
  <si>
    <t>+918800629911</t>
  </si>
  <si>
    <t>Kharadi</t>
  </si>
  <si>
    <t>004801526856</t>
  </si>
  <si>
    <t>ICIC0005823</t>
  </si>
  <si>
    <t>1050175058</t>
  </si>
  <si>
    <t>Mohammed Arif Hussain</t>
  </si>
  <si>
    <t>AWMPH8735M</t>
  </si>
  <si>
    <t>S/O MOHAMMED SHOUKATH HUSSAIN 9-4-61</t>
  </si>
  <si>
    <t>TOLICHOWKI, SHAIKPET MEHRAJ COLONY,</t>
  </si>
  <si>
    <t>GOLCONDA</t>
  </si>
  <si>
    <t>500008</t>
  </si>
  <si>
    <t>mohammedhussain2743@gmail.com</t>
  </si>
  <si>
    <t>+917989562400</t>
  </si>
  <si>
    <t>ARN-246671</t>
  </si>
  <si>
    <t>SBNRI TECHNOLOGIES PRIVATE LIMITED</t>
  </si>
  <si>
    <t>ABDCS2844K</t>
  </si>
  <si>
    <t>8th Floor, Unit no 8111</t>
  </si>
  <si>
    <t>Vipul Square, Sushant Lok Rd</t>
  </si>
  <si>
    <t>Sushant Lok Phase I, Sector 43</t>
  </si>
  <si>
    <t>9717176673</t>
  </si>
  <si>
    <t>mf@sbnri.com</t>
  </si>
  <si>
    <t>TOLICHOWKI</t>
  </si>
  <si>
    <t>925010054403047</t>
  </si>
  <si>
    <t>UTIB0001628</t>
  </si>
  <si>
    <t>1050150156</t>
  </si>
  <si>
    <t>Bhatt Deny Chimanlal</t>
  </si>
  <si>
    <t>IN30611466955799</t>
  </si>
  <si>
    <t>FATCA not available for Investor/Guardian-DLMPB1317P</t>
  </si>
  <si>
    <t>DLMPB1317P</t>
  </si>
  <si>
    <t>D 603 SHREE HARIVATIKA NEAR SHIMA COLONY</t>
  </si>
  <si>
    <t>NEAR SHIMA COLONY GERATPUR</t>
  </si>
  <si>
    <t>DASCROI</t>
  </si>
  <si>
    <t>382445</t>
  </si>
  <si>
    <t>denibhatt9898@gmail.com</t>
  </si>
  <si>
    <t>+919624214997</t>
  </si>
  <si>
    <t>KHOKHARA MAHEMDABAD</t>
  </si>
  <si>
    <t>43108151700</t>
  </si>
  <si>
    <t>SBIN0002661</t>
  </si>
  <si>
    <t>1050155743</t>
  </si>
  <si>
    <t>Vinod Meena</t>
  </si>
  <si>
    <t>1203510000538791</t>
  </si>
  <si>
    <t>FATCA not available for Investor/Guardian-FBKPM2871K</t>
  </si>
  <si>
    <t>FBKPM2871K</t>
  </si>
  <si>
    <t>S / O HAJARAM MEENA GHATA TEH SEMAARI</t>
  </si>
  <si>
    <t>SALKAWATON-KA-GURHA UDAIPUR RAJASTHAN -</t>
  </si>
  <si>
    <t>313026</t>
  </si>
  <si>
    <t>aaharivinod58@gmail.com</t>
  </si>
  <si>
    <t>+917300189940</t>
  </si>
  <si>
    <t>UNIVERSITY CAMPUS AREA AHMEDABAD</t>
  </si>
  <si>
    <t>43606991506</t>
  </si>
  <si>
    <t>SBIN0001063</t>
  </si>
  <si>
    <t>1050179342</t>
  </si>
  <si>
    <t>Neha Pathania</t>
  </si>
  <si>
    <t>ALIPP5839K</t>
  </si>
  <si>
    <t>W O Baljinder Singh Pathania 466 d B</t>
  </si>
  <si>
    <t>R S NAGAR Rajguru Nagar Rajguru</t>
  </si>
  <si>
    <t>Nagar Punjab 1410</t>
  </si>
  <si>
    <t>141012</t>
  </si>
  <si>
    <t>bharat.paints@yahoo.co.in</t>
  </si>
  <si>
    <t>+919779499001</t>
  </si>
  <si>
    <t>12381050022797</t>
  </si>
  <si>
    <t>HDFC0001238</t>
  </si>
  <si>
    <t>1050182347</t>
  </si>
  <si>
    <t>Rahul Johnson</t>
  </si>
  <si>
    <t>1208870061271489</t>
  </si>
  <si>
    <t>CYJPR7122M</t>
  </si>
  <si>
    <t>43NZ</t>
  </si>
  <si>
    <t>Aditya Birla Sun Life Low Duration Fund - Growth-Direct Plan</t>
  </si>
  <si>
    <t>S/O JOY</t>
  </si>
  <si>
    <t>JOHNSON,MAPPILETHU,NANGIARKULANGARA,PA</t>
  </si>
  <si>
    <t>LLIPPAD,PALLIPPAD,KARTHIKAPPALLY,AKAMKU</t>
  </si>
  <si>
    <t>ALAPPUZHA</t>
  </si>
  <si>
    <t>690513</t>
  </si>
  <si>
    <t>rahulmjohnson@gmail.com</t>
  </si>
  <si>
    <t>+919544550300</t>
  </si>
  <si>
    <t>22911446989</t>
  </si>
  <si>
    <t>SCBL0036050</t>
  </si>
  <si>
    <t>1050178993</t>
  </si>
  <si>
    <t>Girija Kumar Majhi</t>
  </si>
  <si>
    <t>AORPM6396J</t>
  </si>
  <si>
    <t>C/O D 404, ASHISH JK APTS THUB</t>
  </si>
  <si>
    <t>ARAHALLI WHITEFIELD BEHIND TRU</t>
  </si>
  <si>
    <t>E BOUNCE TENNIS ACADEMY THUBAR</t>
  </si>
  <si>
    <t>560066</t>
  </si>
  <si>
    <t>girijamajhi@gmail.com</t>
  </si>
  <si>
    <t>+919886435638</t>
  </si>
  <si>
    <t>ARN-202058</t>
  </si>
  <si>
    <t>HIGHLIFE FINSERV PRIVATE LIMITED</t>
  </si>
  <si>
    <t>AAECH8563Q</t>
  </si>
  <si>
    <t>1202 12Th Floor Pearl Omaxe</t>
  </si>
  <si>
    <t>Plot No -B1 Netaji Subhas Place</t>
  </si>
  <si>
    <t>110054</t>
  </si>
  <si>
    <t>+919999881557</t>
  </si>
  <si>
    <t>highlifefinserv202058@gmail.com</t>
  </si>
  <si>
    <t>BANGALOREKORAMANGALA</t>
  </si>
  <si>
    <t>004701538085</t>
  </si>
  <si>
    <t>560229003</t>
  </si>
  <si>
    <t>ICIC0000047</t>
  </si>
  <si>
    <t>1050183198</t>
  </si>
  <si>
    <t>Dev Bisht</t>
  </si>
  <si>
    <t>FJUPB4887E</t>
  </si>
  <si>
    <t>490, ANOOP NAGAR, GADHWALI COLONY</t>
  </si>
  <si>
    <t>MEERUT, UTTAR PRADESH</t>
  </si>
  <si>
    <t>devbisht724828@gmail.com</t>
  </si>
  <si>
    <t>+917248282752</t>
  </si>
  <si>
    <t>KRISHA NAGAR BRANCH DELHI</t>
  </si>
  <si>
    <t>3950806845</t>
  </si>
  <si>
    <t>KKBK0004599</t>
  </si>
  <si>
    <t>1050240603</t>
  </si>
  <si>
    <t>Maneesh Kumar Mishra</t>
  </si>
  <si>
    <t>1208870363145531</t>
  </si>
  <si>
    <t>DGWPM1162G</t>
  </si>
  <si>
    <t>S/O RAJDEV</t>
  </si>
  <si>
    <t>MISHRA,3/855,AMBEDKARPURAM,KALYANPUR,A</t>
  </si>
  <si>
    <t>WAS VIKAS</t>
  </si>
  <si>
    <t>208017</t>
  </si>
  <si>
    <t>maneesh3044@gmail.com</t>
  </si>
  <si>
    <t>+917054355619</t>
  </si>
  <si>
    <t>PANKI KALYANPUR</t>
  </si>
  <si>
    <t>KALYANPUR</t>
  </si>
  <si>
    <t>25750110005767</t>
  </si>
  <si>
    <t>UCBA0002575</t>
  </si>
  <si>
    <t>1050194375</t>
  </si>
  <si>
    <t>Rajan Ekanath Yadav</t>
  </si>
  <si>
    <t>ANHPY7364F</t>
  </si>
  <si>
    <t>C/o Eknath Mukunda Yadav Banawadi</t>
  </si>
  <si>
    <t>At Post Tal Karad Karad P Po</t>
  </si>
  <si>
    <t>Banawadi Colony Satara</t>
  </si>
  <si>
    <t>satara</t>
  </si>
  <si>
    <t>415124</t>
  </si>
  <si>
    <t>prasadyadav.happy1@gmail.com</t>
  </si>
  <si>
    <t>+919309126592</t>
  </si>
  <si>
    <t>ARN-107978</t>
  </si>
  <si>
    <t>Shahaji Shankar Babar</t>
  </si>
  <si>
    <t>AHGPB7672N</t>
  </si>
  <si>
    <t>Ayodhyanagari</t>
  </si>
  <si>
    <t>Agashiv Nagar</t>
  </si>
  <si>
    <t>Malkapur</t>
  </si>
  <si>
    <t>+919422600298</t>
  </si>
  <si>
    <t>drbabarss@gmail.com</t>
  </si>
  <si>
    <t>54102200122300</t>
  </si>
  <si>
    <t>415015353</t>
  </si>
  <si>
    <t>CNRB0015410</t>
  </si>
  <si>
    <t>1050193361</t>
  </si>
  <si>
    <t>Pulivarthi Jithendranath</t>
  </si>
  <si>
    <t>HSGPP2131C</t>
  </si>
  <si>
    <t>S/O Srinuvasa Maruthi,9-14,CHEBROLU,NEAR SRIMANTH</t>
  </si>
  <si>
    <t>MAHAL,Chebrolu,Guntur,Andhra Pradesh</t>
  </si>
  <si>
    <t>Guntur</t>
  </si>
  <si>
    <t>522212</t>
  </si>
  <si>
    <t>jithendrnath116@gmail.com</t>
  </si>
  <si>
    <t>+919014274116</t>
  </si>
  <si>
    <t>GUJJANAGUNDLA GUNTUR</t>
  </si>
  <si>
    <t>00000041886582041</t>
  </si>
  <si>
    <t>SBIN0021210</t>
  </si>
  <si>
    <t>1050189560</t>
  </si>
  <si>
    <t>Kaliaperumal Rajasundari</t>
  </si>
  <si>
    <t>AEDPR2297H</t>
  </si>
  <si>
    <t>9 ROYAL SHELTERS</t>
  </si>
  <si>
    <t>PHASE-3</t>
  </si>
  <si>
    <t>DEVARACHIKANAHALLI</t>
  </si>
  <si>
    <t>560076</t>
  </si>
  <si>
    <t>rajasundarik@gmail.com</t>
  </si>
  <si>
    <t>+919008011990</t>
  </si>
  <si>
    <t>BANGALORE - M G ROAD</t>
  </si>
  <si>
    <t>00761130003966</t>
  </si>
  <si>
    <t>HDFC0000076</t>
  </si>
  <si>
    <t>1050196165</t>
  </si>
  <si>
    <t>Rohitbhai Rakeshbhai Halpati</t>
  </si>
  <si>
    <t>1208870431918453</t>
  </si>
  <si>
    <t>BQFPH4628P</t>
  </si>
  <si>
    <t>,,,,SATADIYU</t>
  </si>
  <si>
    <t>FALIYU,SADLAV,,NAVSARI,GUJARAT,396463</t>
  </si>
  <si>
    <t>396463</t>
  </si>
  <si>
    <t>rohitlaxmi1012@gmail.com</t>
  </si>
  <si>
    <t>+917096996556</t>
  </si>
  <si>
    <t>MUNSAD</t>
  </si>
  <si>
    <t>MUNSAD - GUJARAT</t>
  </si>
  <si>
    <t>06500110066713</t>
  </si>
  <si>
    <t>UCBA0000650</t>
  </si>
  <si>
    <t>1050201713</t>
  </si>
  <si>
    <t>Jamanbhai Shingala</t>
  </si>
  <si>
    <t>DMWPS6602D</t>
  </si>
  <si>
    <t>navagam tal vistar Thoriyali Rajkot</t>
  </si>
  <si>
    <t>360110</t>
  </si>
  <si>
    <t>jamanrinashingada@gmail.com</t>
  </si>
  <si>
    <t>+917016381204</t>
  </si>
  <si>
    <t>RANJIT SAGAR ROAD</t>
  </si>
  <si>
    <t>JAMNAGAR</t>
  </si>
  <si>
    <t>50100513819268</t>
  </si>
  <si>
    <t>HDFC0005911</t>
  </si>
  <si>
    <t>1050180672</t>
  </si>
  <si>
    <t>SANEESH SUNNY</t>
  </si>
  <si>
    <t>LIOPS8493J</t>
  </si>
  <si>
    <t>CHERUVATHUR HOUSE</t>
  </si>
  <si>
    <t>MUNDATHICODE</t>
  </si>
  <si>
    <t>680601</t>
  </si>
  <si>
    <t>max4saneesh@gmail.com</t>
  </si>
  <si>
    <t>9605048366</t>
  </si>
  <si>
    <t>ARN-243986</t>
  </si>
  <si>
    <t>UNNITHAN JAYADEVAN</t>
  </si>
  <si>
    <t>AKIPJ7935K</t>
  </si>
  <si>
    <t>Thazhakara partMavelikkara</t>
  </si>
  <si>
    <t>Mavelikkara</t>
  </si>
  <si>
    <t>690108</t>
  </si>
  <si>
    <t>+919446862339</t>
  </si>
  <si>
    <t>jayadevanunnithan1@gmail.com</t>
  </si>
  <si>
    <t>MARAR ROAD THRISSUR</t>
  </si>
  <si>
    <t>394301000814</t>
  </si>
  <si>
    <t>ICIC0003943</t>
  </si>
  <si>
    <t>481</t>
  </si>
  <si>
    <t>Kottayam</t>
  </si>
  <si>
    <t>1050219396</t>
  </si>
  <si>
    <t>Ishwar Suravi Shetty</t>
  </si>
  <si>
    <t>1208870101218181</t>
  </si>
  <si>
    <t>KIZPS4760N</t>
  </si>
  <si>
    <t>D/O ISHWAR SHETTY CHITPADY,2-79 M</t>
  </si>
  <si>
    <t>SUDHAMA,SUBRAMANYA NAGAR 2ND CROSS</t>
  </si>
  <si>
    <t>ROAD,PUTTUR,UDUPI,UDUPI,KARNATAKA,5761</t>
  </si>
  <si>
    <t>576105</t>
  </si>
  <si>
    <t>suravishetty15@gmail.com</t>
  </si>
  <si>
    <t>+919538449667</t>
  </si>
  <si>
    <t>016901649688</t>
  </si>
  <si>
    <t>1050211754</t>
  </si>
  <si>
    <t>Pravin Sekar</t>
  </si>
  <si>
    <t>1203320453351179</t>
  </si>
  <si>
    <t>TQKPS2061A</t>
  </si>
  <si>
    <t>KOOTHADIPATTI VILLAGE</t>
  </si>
  <si>
    <t>KONGAVEMBU HARUR</t>
  </si>
  <si>
    <t>HARUR</t>
  </si>
  <si>
    <t>636902</t>
  </si>
  <si>
    <t>9345066028</t>
  </si>
  <si>
    <t>pravinsekar07@gmail.com</t>
  </si>
  <si>
    <t>+919345066028</t>
  </si>
  <si>
    <t>7798986650</t>
  </si>
  <si>
    <t>IDIB000H005</t>
  </si>
  <si>
    <t>1050215955</t>
  </si>
  <si>
    <t>Nasreen Imran</t>
  </si>
  <si>
    <t>BGBPN3428D</t>
  </si>
  <si>
    <t>CO IMRAN NO 39 MOSQUE ROAD CROSS FRA</t>
  </si>
  <si>
    <t>560005</t>
  </si>
  <si>
    <t>nasreenneha61@gmail.com</t>
  </si>
  <si>
    <t>+919639178596</t>
  </si>
  <si>
    <t>BANGALORE LAVELLE ROAD</t>
  </si>
  <si>
    <t>3449894919</t>
  </si>
  <si>
    <t>KKBK0000422</t>
  </si>
  <si>
    <t>1050222174</t>
  </si>
  <si>
    <t>Arumugaraja Sivaperumal</t>
  </si>
  <si>
    <t>COLPS3725K</t>
  </si>
  <si>
    <t>SHIVA PERUMAL FLAT NO. 501, 5TH FLOOR, A</t>
  </si>
  <si>
    <t>WING, DATTAKIRAN RESIDENCY</t>
  </si>
  <si>
    <t>DOMBIVLI</t>
  </si>
  <si>
    <t>konarraja7@gmail.com</t>
  </si>
  <si>
    <t>+918097566648</t>
  </si>
  <si>
    <t>LBS ROAD BHANDUP BRANCH</t>
  </si>
  <si>
    <t>7212169464</t>
  </si>
  <si>
    <t>KKBK0001346</t>
  </si>
  <si>
    <t>1050245400</t>
  </si>
  <si>
    <t>Kirtiprashad Kaushikbhai Solanki</t>
  </si>
  <si>
    <t>1203510000482549</t>
  </si>
  <si>
    <t>FATCA not available for Investor/Guardian-KFDPS0343E</t>
  </si>
  <si>
    <t>KFDPS0343E</t>
  </si>
  <si>
    <t>S O KAUSIKBHAI SOLANKI 201</t>
  </si>
  <si>
    <t>VALMIKI VAS DEHGAM GANDHINA</t>
  </si>
  <si>
    <t>GAR DEHGAM GUJARAT</t>
  </si>
  <si>
    <t>DEHGAM</t>
  </si>
  <si>
    <t>382305</t>
  </si>
  <si>
    <t>kirtisolanki481994@gmail.com</t>
  </si>
  <si>
    <t>+919724117275</t>
  </si>
  <si>
    <t>HIMATNAGAR</t>
  </si>
  <si>
    <t>33233756343</t>
  </si>
  <si>
    <t>SBIN0000381</t>
  </si>
  <si>
    <t>1050246288</t>
  </si>
  <si>
    <t>Nitesh Soliya</t>
  </si>
  <si>
    <t>REEPS1087A</t>
  </si>
  <si>
    <t>S/O ISHWAR SINGH PATIDAR GRAM HIRPURBAJJA HIRPURBAJJA</t>
  </si>
  <si>
    <t>Shajapur</t>
  </si>
  <si>
    <t>465001</t>
  </si>
  <si>
    <t>govindpatidar78283@gmail.com</t>
  </si>
  <si>
    <t>+917828330674</t>
  </si>
  <si>
    <t>10202028547</t>
  </si>
  <si>
    <t>1050227240</t>
  </si>
  <si>
    <t>Rohit Aaseri</t>
  </si>
  <si>
    <t>1208180123666921</t>
  </si>
  <si>
    <t>FATCA not available for Investor/Guardian-CSLPA4399H</t>
  </si>
  <si>
    <t>CSLPA4399H</t>
  </si>
  <si>
    <t>WARD NO 06 MOCHI MOHALLA TARANAGAR</t>
  </si>
  <si>
    <t>CHURU</t>
  </si>
  <si>
    <t>331304</t>
  </si>
  <si>
    <t>9521060770</t>
  </si>
  <si>
    <t>drrohitaaseri98@gmail.com</t>
  </si>
  <si>
    <t>+919521060770</t>
  </si>
  <si>
    <t>TARANAGAR</t>
  </si>
  <si>
    <t>00000061273274261</t>
  </si>
  <si>
    <t>SBIN0031143</t>
  </si>
  <si>
    <t>1050228015</t>
  </si>
  <si>
    <t>Shailaja R Borwankar</t>
  </si>
  <si>
    <t>AKTPB1664Q</t>
  </si>
  <si>
    <t>SUNITA SUNIL KELKAR</t>
  </si>
  <si>
    <t>AEOPK2168R</t>
  </si>
  <si>
    <t>701 HEMLATA AVENUE</t>
  </si>
  <si>
    <t>267/B JAYRAJ NAGAR</t>
  </si>
  <si>
    <t>BORIVALI (W)</t>
  </si>
  <si>
    <t>400091</t>
  </si>
  <si>
    <t>shailajaborwankar@gmail.com</t>
  </si>
  <si>
    <t>ARN-109375</t>
  </si>
  <si>
    <t>AMOL DILIP BORWANKAR</t>
  </si>
  <si>
    <t>AUSPB5999B</t>
  </si>
  <si>
    <t>701 Hemalata Avenue</t>
  </si>
  <si>
    <t>267B Jayraj Nagar</t>
  </si>
  <si>
    <t>Borivali West</t>
  </si>
  <si>
    <t>+919773452889</t>
  </si>
  <si>
    <t>borwankar.amol@gmail.com</t>
  </si>
  <si>
    <t>Bank of Baroda</t>
  </si>
  <si>
    <t>SHIMPOLI</t>
  </si>
  <si>
    <t>20260100010801</t>
  </si>
  <si>
    <t>BARB0SHIBOR</t>
  </si>
  <si>
    <t>1050229131</t>
  </si>
  <si>
    <t>Jai Prakash Lakhani</t>
  </si>
  <si>
    <t>ABHPL4356Q</t>
  </si>
  <si>
    <t>B-2/401, ANMOL HEIGHTS</t>
  </si>
  <si>
    <t>NEW RAMNAGAR, NEAR LITTLE KINDOM SCHOOL</t>
  </si>
  <si>
    <t>ADHARTAL</t>
  </si>
  <si>
    <t>482004</t>
  </si>
  <si>
    <t>jplakhani.2020@gmail.com</t>
  </si>
  <si>
    <t>+919981635236</t>
  </si>
  <si>
    <t>ARN-247956</t>
  </si>
  <si>
    <t>RUPAL PACHORI</t>
  </si>
  <si>
    <t>CVBPP2270D</t>
  </si>
  <si>
    <t>1127/A-2Andhuwa,JP Nagar,Jabalpur</t>
  </si>
  <si>
    <t>Jabalpur</t>
  </si>
  <si>
    <t>+919425163383</t>
  </si>
  <si>
    <t>gsharma8867145@gmail.com</t>
  </si>
  <si>
    <t>JNKVV JABALPUR</t>
  </si>
  <si>
    <t>20030100001776</t>
  </si>
  <si>
    <t>482028009</t>
  </si>
  <si>
    <t>UCBA0002003</t>
  </si>
  <si>
    <t>761</t>
  </si>
  <si>
    <t>1050246718</t>
  </si>
  <si>
    <t>Ritu Rawat</t>
  </si>
  <si>
    <t>BZBPR3142M</t>
  </si>
  <si>
    <t>37A ROSEBANK AVENUE, SUDBURY H</t>
  </si>
  <si>
    <t>ILL</t>
  </si>
  <si>
    <t>WEMBLEY</t>
  </si>
  <si>
    <t>000000</t>
  </si>
  <si>
    <t>heyritu2905@gmail.com</t>
  </si>
  <si>
    <t>NARODA BRANCH</t>
  </si>
  <si>
    <t>10234147943</t>
  </si>
  <si>
    <t>IDFB0040314</t>
  </si>
  <si>
    <t>1050246704</t>
  </si>
  <si>
    <t>Dileep Kumar Gupta</t>
  </si>
  <si>
    <t>CMLPG4050P</t>
  </si>
  <si>
    <t>HOUSE NO 108 WARD NO 05, KOILSA NAGAR PANCHAYAT</t>
  </si>
  <si>
    <t>BUDHANPUR AURADAND AZAMGARH, UTTAR PRADESH</t>
  </si>
  <si>
    <t>AURADAND</t>
  </si>
  <si>
    <t>276142</t>
  </si>
  <si>
    <t>dileepgupta7844@gmail.com</t>
  </si>
  <si>
    <t>+917236062361</t>
  </si>
  <si>
    <t>BURHANPUR</t>
  </si>
  <si>
    <t>AZAMGARH</t>
  </si>
  <si>
    <t>00000038036975135</t>
  </si>
  <si>
    <t>SBIN0013156</t>
  </si>
  <si>
    <t>1050246989</t>
  </si>
  <si>
    <t>Santosh Kumari Patidar</t>
  </si>
  <si>
    <t>EEYPP7828K</t>
  </si>
  <si>
    <t>C O VIJESH PATIDAR JETHANA JETHANA RURAL SAGWARA</t>
  </si>
  <si>
    <t>JETHANA DUNGARPUR RAJASTHAN 314031</t>
  </si>
  <si>
    <t>DUNGARPUR</t>
  </si>
  <si>
    <t>314031</t>
  </si>
  <si>
    <t>patidarsantosh387@gmail.com</t>
  </si>
  <si>
    <t>+918003078160</t>
  </si>
  <si>
    <t>CHITRI DIST DUNGARPUR RAJASTHAN</t>
  </si>
  <si>
    <t>CHITRI</t>
  </si>
  <si>
    <t>10240100019963</t>
  </si>
  <si>
    <t>BARB0CHITRI</t>
  </si>
  <si>
    <t>1050239849</t>
  </si>
  <si>
    <t>Pushpadevi Kishanlal Banka</t>
  </si>
  <si>
    <t>AHEPB4782H</t>
  </si>
  <si>
    <t>36 SOMESHWARA COMPLEX 2 SATELITE RD</t>
  </si>
  <si>
    <t>JODHPUR CHAR RASTA OPP STAR BAZAR</t>
  </si>
  <si>
    <t>SATELLITE AHMEDABAD CITY</t>
  </si>
  <si>
    <t>ishabanka9@gmail.com</t>
  </si>
  <si>
    <t>+919825013041</t>
  </si>
  <si>
    <t>ARN-42154</t>
  </si>
  <si>
    <t>Platinum Fin Cap</t>
  </si>
  <si>
    <t>ADGPM8616D</t>
  </si>
  <si>
    <t>Sf-4,2Nd Floor,Block-A</t>
  </si>
  <si>
    <t>Millennium Plaza, Nr Mansi Ccross Rd</t>
  </si>
  <si>
    <t>Opp Swaminarayan Temple, Vastrapur</t>
  </si>
  <si>
    <t>+919377755204</t>
  </si>
  <si>
    <t>platinumfincap@gmail.com</t>
  </si>
  <si>
    <t>PRERNATIRTH</t>
  </si>
  <si>
    <t>JODHPUR</t>
  </si>
  <si>
    <t>231301001716</t>
  </si>
  <si>
    <t>380229044</t>
  </si>
  <si>
    <t>ICIC0002313</t>
  </si>
  <si>
    <t>1050249316</t>
  </si>
  <si>
    <t>Usha Mahajan</t>
  </si>
  <si>
    <t>AKCPM7878C</t>
  </si>
  <si>
    <t>THAKORJI NAGAR , R.H.NO. 6 ,</t>
  </si>
  <si>
    <t>SULOCHANA ROW HOUSE ,</t>
  </si>
  <si>
    <t>CIVIL ROAD , NANAKWADA ,</t>
  </si>
  <si>
    <t>usmahajan30@gmail.com</t>
  </si>
  <si>
    <t>+919426160972</t>
  </si>
  <si>
    <t>VALSAD - TITHAL ROAD</t>
  </si>
  <si>
    <t>02111000090053</t>
  </si>
  <si>
    <t>396240001</t>
  </si>
  <si>
    <t>HDFC0000211</t>
  </si>
  <si>
    <t>1050167948</t>
  </si>
  <si>
    <t>1050168105</t>
  </si>
  <si>
    <t>Kamla Aggarwal</t>
  </si>
  <si>
    <t>AFRPA7977E</t>
  </si>
  <si>
    <t>48</t>
  </si>
  <si>
    <t>Aditya Birla Sun Life Cash Manager - Daily IDCW - Closed for FV change</t>
  </si>
  <si>
    <t>H NO 67 H BLOCK SEC-25</t>
  </si>
  <si>
    <t>kapsgoa@gmail.com</t>
  </si>
  <si>
    <t>+919986003165</t>
  </si>
  <si>
    <t>ARN-59586</t>
  </si>
  <si>
    <t>Sift Capital</t>
  </si>
  <si>
    <t>ABKFS8712N</t>
  </si>
  <si>
    <t>Flat No 207 2nd Floor</t>
  </si>
  <si>
    <t>29 Link Road</t>
  </si>
  <si>
    <t>lajpat Nagar III</t>
  </si>
  <si>
    <t>110024</t>
  </si>
  <si>
    <t>+919891777311</t>
  </si>
  <si>
    <t>service@siftcapital.com</t>
  </si>
  <si>
    <t>NOIDA SECTOR 20 BRANCH</t>
  </si>
  <si>
    <t>705501500063</t>
  </si>
  <si>
    <t>201229010</t>
  </si>
  <si>
    <t>ICIC0007055</t>
  </si>
  <si>
    <t>1050168783</t>
  </si>
  <si>
    <t>Subrahmanyam Koutharapu</t>
  </si>
  <si>
    <t>1208870213979028</t>
  </si>
  <si>
    <t>AZDPK7261K</t>
  </si>
  <si>
    <t>S/O KOUTHARAPU PANDU RANGA</t>
  </si>
  <si>
    <t>RAO,MIG-55/4,LIG 3RD PHASE,K P H B</t>
  </si>
  <si>
    <t>COLONY,GANESH</t>
  </si>
  <si>
    <t>500072</t>
  </si>
  <si>
    <t>ksubrahmanyam17@gmail.com</t>
  </si>
  <si>
    <t>+919652479578</t>
  </si>
  <si>
    <t>HYDERABAD  KUKATPALLY EXT COUNTER</t>
  </si>
  <si>
    <t>03641050068782</t>
  </si>
  <si>
    <t>HDFC0000364</t>
  </si>
  <si>
    <t>1050144422</t>
  </si>
  <si>
    <t>Swayam Rupesh Gupte</t>
  </si>
  <si>
    <t>1208870394066717</t>
  </si>
  <si>
    <t>EXGPG7709K</t>
  </si>
  <si>
    <t>S/O: RUPESH GUPTE,BUILDING NO-115/ FLAT</t>
  </si>
  <si>
    <t>NO-303/ LEO C.H.S.,EVERSHINE</t>
  </si>
  <si>
    <t>CITY,SECTOR-3,VASAI EAST,NEAR</t>
  </si>
  <si>
    <t>gupteswayam9c@gmail.com</t>
  </si>
  <si>
    <t>+918766404887</t>
  </si>
  <si>
    <t>MIRA ROAD EAST</t>
  </si>
  <si>
    <t>158766404887</t>
  </si>
  <si>
    <t>INDB0001835</t>
  </si>
  <si>
    <t>1050172113</t>
  </si>
  <si>
    <t>Aashish Kumar Jha</t>
  </si>
  <si>
    <t>AKQPA4157Q</t>
  </si>
  <si>
    <t>CO Ganesh Chandra Jha,E-305 Parsvanath Majestic</t>
  </si>
  <si>
    <t>Floors,Indirapuram,Ghaziabad,Near Shipra</t>
  </si>
  <si>
    <t>Mall,Indirapuram,Shipra Sun C,Ghaziabad,Uttar</t>
  </si>
  <si>
    <t>201014</t>
  </si>
  <si>
    <t>aashishjha.dce@gmail.com</t>
  </si>
  <si>
    <t>+919771438740</t>
  </si>
  <si>
    <t>GURGAON (SEC 15)</t>
  </si>
  <si>
    <t>103101504275</t>
  </si>
  <si>
    <t>ICIC0001031</t>
  </si>
  <si>
    <t>1050150892</t>
  </si>
  <si>
    <t>Bhoomit Narendrabhai Masani</t>
  </si>
  <si>
    <t>1208870307544518</t>
  </si>
  <si>
    <t>EPSPM5755K</t>
  </si>
  <si>
    <t>STREET NO.06, OPP. JAY</t>
  </si>
  <si>
    <t>CHAMUNDA,KHAD-KHAD,</t>
  </si>
  <si>
    <t>KRUSHNNAGAR,VERAVAL(RURAL AREA)</t>
  </si>
  <si>
    <t>JUNAGADH</t>
  </si>
  <si>
    <t>362265</t>
  </si>
  <si>
    <t>ankushmasani@gmail.com</t>
  </si>
  <si>
    <t>+919898415159</t>
  </si>
  <si>
    <t>VERAVALGUJARAT</t>
  </si>
  <si>
    <t>VERAVAL</t>
  </si>
  <si>
    <t>50100351371972</t>
  </si>
  <si>
    <t>HDFC0000230</t>
  </si>
  <si>
    <t>1050162068</t>
  </si>
  <si>
    <t>R Sowmia</t>
  </si>
  <si>
    <t>KDBPS4233R</t>
  </si>
  <si>
    <t>271 YESUVADIAN STREET</t>
  </si>
  <si>
    <t>AGASTEESWARAM</t>
  </si>
  <si>
    <t>629001</t>
  </si>
  <si>
    <t>rsowmiya1979@gmail.com</t>
  </si>
  <si>
    <t>+919789214298</t>
  </si>
  <si>
    <t>ARN-256510</t>
  </si>
  <si>
    <t>S Arvindnarayan</t>
  </si>
  <si>
    <t>AHXPA5985C</t>
  </si>
  <si>
    <t>Old No.52, New No 8</t>
  </si>
  <si>
    <t>Ozhuginasery Gramam</t>
  </si>
  <si>
    <t>Ozhuginasery, Nagercoil</t>
  </si>
  <si>
    <t>+919447577405</t>
  </si>
  <si>
    <t>finvestngl@gmail.com</t>
  </si>
  <si>
    <t>PERSONAL BANKING BRANCH NAGERCOIL</t>
  </si>
  <si>
    <t>67036113427</t>
  </si>
  <si>
    <t>629002091</t>
  </si>
  <si>
    <t>SBIN0070686</t>
  </si>
  <si>
    <t>NAGE629</t>
  </si>
  <si>
    <t>Nagercoil</t>
  </si>
  <si>
    <t>1050227997</t>
  </si>
  <si>
    <t>Madhu</t>
  </si>
  <si>
    <t>ALTPM5437H</t>
  </si>
  <si>
    <t>C-303 Leon Orbit Society Near Park</t>
  </si>
  <si>
    <t>Royale Rahatani Road Near Kokane</t>
  </si>
  <si>
    <t>chowk Pimple Saudagar Pimpale</t>
  </si>
  <si>
    <t>madhugupta5067@gmail.com</t>
  </si>
  <si>
    <t>+919219511421</t>
  </si>
  <si>
    <t>JMD Regent Plaza</t>
  </si>
  <si>
    <t>12031020000183</t>
  </si>
  <si>
    <t>HDFC0001203</t>
  </si>
  <si>
    <t>1050184396</t>
  </si>
  <si>
    <t>Pradeep Kumar Yadav Munilal Yadav</t>
  </si>
  <si>
    <t>HASPP2845B</t>
  </si>
  <si>
    <t>MUNILAL YADAV 1 459 EAST STREET NEELAMBUR NEELAMBUR</t>
  </si>
  <si>
    <t>CHINNIAMPALYAM COIMBATORE TAMIL NADU 641062</t>
  </si>
  <si>
    <t>641062</t>
  </si>
  <si>
    <t>pradeepkumar5112003@gmail.com</t>
  </si>
  <si>
    <t>+919344267852</t>
  </si>
  <si>
    <t>NEELAMBUR</t>
  </si>
  <si>
    <t>5891000100015383</t>
  </si>
  <si>
    <t>PUNB0589100</t>
  </si>
  <si>
    <t>1050187893</t>
  </si>
  <si>
    <t>Ashish Ashish</t>
  </si>
  <si>
    <t>1203320398528339</t>
  </si>
  <si>
    <t>EOQPA2481M</t>
  </si>
  <si>
    <t>596 SECTOR 12 A PANCHKULA</t>
  </si>
  <si>
    <t>PANCHKULA HARYANA</t>
  </si>
  <si>
    <t>PANCHKULA</t>
  </si>
  <si>
    <t>134112</t>
  </si>
  <si>
    <t>7087513183</t>
  </si>
  <si>
    <t>chochuashish84@gmail.com</t>
  </si>
  <si>
    <t>+917087513183</t>
  </si>
  <si>
    <t>PANCHKULA SEC</t>
  </si>
  <si>
    <t>00000040578985650</t>
  </si>
  <si>
    <t>SBIN0050726</t>
  </si>
  <si>
    <t>1050190789</t>
  </si>
  <si>
    <t>Supravat Kar</t>
  </si>
  <si>
    <t>CNJPK3159C</t>
  </si>
  <si>
    <t>So Sunirmalbikash Kar</t>
  </si>
  <si>
    <t>Balichak</t>
  </si>
  <si>
    <t>Paschim Medinipurbalichak Ctb</t>
  </si>
  <si>
    <t>West Midnapore</t>
  </si>
  <si>
    <t>721124</t>
  </si>
  <si>
    <t>917001104932</t>
  </si>
  <si>
    <t>babaikar1987bck@gmail.com</t>
  </si>
  <si>
    <t>+917001104932</t>
  </si>
  <si>
    <t>DEBRA WB</t>
  </si>
  <si>
    <t>DEBRA</t>
  </si>
  <si>
    <t>918010098598295</t>
  </si>
  <si>
    <t>721211804</t>
  </si>
  <si>
    <t>UTIB0003912</t>
  </si>
  <si>
    <t>1050194190</t>
  </si>
  <si>
    <t>Alokananda Chatterjee</t>
  </si>
  <si>
    <t>AEHPC9240D</t>
  </si>
  <si>
    <t>F 32 GROUND FLOOR</t>
  </si>
  <si>
    <t>SARITA VIHAR</t>
  </si>
  <si>
    <t>SOUTH DELHI</t>
  </si>
  <si>
    <t>110076</t>
  </si>
  <si>
    <t>alokananda.rakhi@gmail.com</t>
  </si>
  <si>
    <t>+918851795103</t>
  </si>
  <si>
    <t>ARN-35323</t>
  </si>
  <si>
    <t>THE DHANALAKSHMI BANK LIMITED</t>
  </si>
  <si>
    <t>AABCT0019J</t>
  </si>
  <si>
    <t>Dhanlaxmi Bank Ltd</t>
  </si>
  <si>
    <t>Pb No.9 Corporate Office</t>
  </si>
  <si>
    <t>Naikanal</t>
  </si>
  <si>
    <t>680001</t>
  </si>
  <si>
    <t>+919539004580</t>
  </si>
  <si>
    <t>dlb.wealth@dhanbank.co.in</t>
  </si>
  <si>
    <t>Standard Chartered Bank Ltd</t>
  </si>
  <si>
    <t>53010670771</t>
  </si>
  <si>
    <t>SCBL0036024</t>
  </si>
  <si>
    <t>1050242747</t>
  </si>
  <si>
    <t>1203320103454543</t>
  </si>
  <si>
    <t>KTGPK2105F</t>
  </si>
  <si>
    <t>SO LEKH RAJ VILLAGE NANOT PO</t>
  </si>
  <si>
    <t>UHAI TEHSII BAMSON TAUNI DEVI</t>
  </si>
  <si>
    <t>NANOT 62 11 HAMIRPUR</t>
  </si>
  <si>
    <t>177022</t>
  </si>
  <si>
    <t>7807158734</t>
  </si>
  <si>
    <t>kajay96514@gmail.com</t>
  </si>
  <si>
    <t>+917807158734</t>
  </si>
  <si>
    <t>SECTOR XVIIII</t>
  </si>
  <si>
    <t>50100501221043</t>
  </si>
  <si>
    <t>HDFC0009034</t>
  </si>
  <si>
    <t>1050220589</t>
  </si>
  <si>
    <t>Siraj Rashid Patel</t>
  </si>
  <si>
    <t>1208160013688302</t>
  </si>
  <si>
    <t>DUHPP2535M</t>
  </si>
  <si>
    <t>LONDHAR MLA</t>
  </si>
  <si>
    <t>412411</t>
  </si>
  <si>
    <t>7841030306</t>
  </si>
  <si>
    <t>patelsiraj77@gmail.com</t>
  </si>
  <si>
    <t>KOREGAON PARK</t>
  </si>
  <si>
    <t>50100331738100</t>
  </si>
  <si>
    <t>HDFC0002054</t>
  </si>
  <si>
    <t>1050243845</t>
  </si>
  <si>
    <t>Aarush Sharma</t>
  </si>
  <si>
    <t>1208870011436756</t>
  </si>
  <si>
    <t>HPSPS5304R</t>
  </si>
  <si>
    <t>S/O: TEJBEER SHARMA, D-20, L.I.G, FLAT,</t>
  </si>
  <si>
    <t>GTB ENCLAVE, NAND NAGRI,, NORTH EAST</t>
  </si>
  <si>
    <t>DELHI, , DELHI, 110093</t>
  </si>
  <si>
    <t>110093</t>
  </si>
  <si>
    <t>aarushshrm9@gmail.com</t>
  </si>
  <si>
    <t>+918010843178</t>
  </si>
  <si>
    <t>SEC62 NOIDA</t>
  </si>
  <si>
    <t>50100294736662</t>
  </si>
  <si>
    <t>HDFC0002649</t>
  </si>
  <si>
    <t>1050244705</t>
  </si>
  <si>
    <t>Priyanka Halder</t>
  </si>
  <si>
    <t>1203320456004271</t>
  </si>
  <si>
    <t>ACQPH8783B</t>
  </si>
  <si>
    <t>60Y</t>
  </si>
  <si>
    <t>Aditya Birla Sun Life Pharma &amp; Healthcare Fund Direct Growth</t>
  </si>
  <si>
    <t>ASHWINIPALLY SCHOOL ROAD NEAR</t>
  </si>
  <si>
    <t>RATION SHOP NORTH 24 PARA</t>
  </si>
  <si>
    <t>GANAS</t>
  </si>
  <si>
    <t>700124</t>
  </si>
  <si>
    <t>8584914460</t>
  </si>
  <si>
    <t>priyankahalder2005@gmail.com</t>
  </si>
  <si>
    <t>+918584914460</t>
  </si>
  <si>
    <t>BARASAT BRANCH</t>
  </si>
  <si>
    <t>BARASAT</t>
  </si>
  <si>
    <t>27400100031451</t>
  </si>
  <si>
    <t>BARB0BARASA</t>
  </si>
  <si>
    <t>1050214236</t>
  </si>
  <si>
    <t>Jei Bharathi</t>
  </si>
  <si>
    <t>AWXPJ7709A</t>
  </si>
  <si>
    <t>SAMPATH KUMAR 3/11 G N KRISHNA NAGAR</t>
  </si>
  <si>
    <t>MUTTIYANKINARU PERUMANALLUR</t>
  </si>
  <si>
    <t>ETTIVEERAMPALAYAM</t>
  </si>
  <si>
    <t>TIRUPPUR</t>
  </si>
  <si>
    <t>641666</t>
  </si>
  <si>
    <t>jeibharathi84@gmail.com</t>
  </si>
  <si>
    <t>+919566882579</t>
  </si>
  <si>
    <t>PERUMANALLUR</t>
  </si>
  <si>
    <t>PERUMALNALLUR</t>
  </si>
  <si>
    <t>500101012031060</t>
  </si>
  <si>
    <t>CIUB0000552</t>
  </si>
  <si>
    <t>1050222480</t>
  </si>
  <si>
    <t>Neeraj Kumar</t>
  </si>
  <si>
    <t>FFVPK0791B</t>
  </si>
  <si>
    <t>S/O ASHOK KUMAR SINGH 59 A/244 A</t>
  </si>
  <si>
    <t>CHIRAYATAR DEVI STHAN PACHIM</t>
  </si>
  <si>
    <t>GALI PATNA PO PATNA</t>
  </si>
  <si>
    <t>neerajkumarsingh354@gmail.com</t>
  </si>
  <si>
    <t>+919122900503</t>
  </si>
  <si>
    <t>ARN-127851</t>
  </si>
  <si>
    <t>MY INVESTMENT MART</t>
  </si>
  <si>
    <t>ARUPK2233J</t>
  </si>
  <si>
    <t>Shop No-203,2nd Floor</t>
  </si>
  <si>
    <t>Maharaja Kameshwar</t>
  </si>
  <si>
    <t>Complex</t>
  </si>
  <si>
    <t>+919708899650</t>
  </si>
  <si>
    <t>mispatna1@gmail.com</t>
  </si>
  <si>
    <t>CHIRAIANTAUR PATNA</t>
  </si>
  <si>
    <t>5442874265</t>
  </si>
  <si>
    <t>CBIN0282213</t>
  </si>
  <si>
    <t>1050217492</t>
  </si>
  <si>
    <t>R Kalavathi</t>
  </si>
  <si>
    <t>AEMPR8092P</t>
  </si>
  <si>
    <t>D No 45 58 17/2/8 Flat C 1 Raj Paradise Apartment</t>
  </si>
  <si>
    <t>Near Rythu Bazar</t>
  </si>
  <si>
    <t>Narasimhanagar</t>
  </si>
  <si>
    <t>530024</t>
  </si>
  <si>
    <t>kalavathir95@gmail.com</t>
  </si>
  <si>
    <t>+919703796121</t>
  </si>
  <si>
    <t>ARN-265473</t>
  </si>
  <si>
    <t>KANTHA BALIREDDI</t>
  </si>
  <si>
    <t>AGBPB0251B</t>
  </si>
  <si>
    <t>21-3/3,4th laneVisakhapatnam Urban</t>
  </si>
  <si>
    <t>,vimannagar west,Visakhapatnam urban</t>
  </si>
  <si>
    <t>Visakhapatnam urban</t>
  </si>
  <si>
    <t>530009</t>
  </si>
  <si>
    <t>+919848133142</t>
  </si>
  <si>
    <t>kanthafinservices@gmail.com</t>
  </si>
  <si>
    <t>KAILASAPURAM</t>
  </si>
  <si>
    <t>30964262231</t>
  </si>
  <si>
    <t>530002013</t>
  </si>
  <si>
    <t>SBIN0008014</t>
  </si>
  <si>
    <t>V2</t>
  </si>
  <si>
    <t>1050229424</t>
  </si>
  <si>
    <t>Laxmana Surendra Rathore</t>
  </si>
  <si>
    <t>1208870379782125</t>
  </si>
  <si>
    <t>BXQPR5138C</t>
  </si>
  <si>
    <t>9,SIDDHESHWAR HOMES-2,OPP</t>
  </si>
  <si>
    <t>GIPS,RANDHEJA,GANDHINAGAR,RANDHEJA,GAN</t>
  </si>
  <si>
    <t>DHINAGAR,GUJARAT,382620</t>
  </si>
  <si>
    <t>382620</t>
  </si>
  <si>
    <t>nainarathore1967@gmail.com</t>
  </si>
  <si>
    <t>+918320957829</t>
  </si>
  <si>
    <t>RANDHEJA</t>
  </si>
  <si>
    <t>00000039009933484</t>
  </si>
  <si>
    <t>SBIN0002678</t>
  </si>
  <si>
    <t>1050230623</t>
  </si>
  <si>
    <t>Umesh Kumar Bhagat</t>
  </si>
  <si>
    <t>1208870142448740</t>
  </si>
  <si>
    <t>FBWPB3005A</t>
  </si>
  <si>
    <t>S/O: MOHAN RAM BHAGAT,HOUSE</t>
  </si>
  <si>
    <t>NO.115,KHALPARA,DHARAMJAIGARH,LIPTI,LI</t>
  </si>
  <si>
    <t>PTI,RAIGARH,CHHATTISGARH,496118</t>
  </si>
  <si>
    <t>496118</t>
  </si>
  <si>
    <t>6265099670</t>
  </si>
  <si>
    <t>umeshbhagat764@gmail.com</t>
  </si>
  <si>
    <t>+916265099670</t>
  </si>
  <si>
    <t>PATTHALGAON</t>
  </si>
  <si>
    <t>PATHALGAON</t>
  </si>
  <si>
    <t>39597978810</t>
  </si>
  <si>
    <t>SBIN0010837</t>
  </si>
  <si>
    <t>1050171046</t>
  </si>
  <si>
    <t>Smita Mayuresh Gadre</t>
  </si>
  <si>
    <t>AHMPG8779P</t>
  </si>
  <si>
    <t>Room No 202 Maitri Deepak Chs</t>
  </si>
  <si>
    <t>Near Panchayat Well Pendse Nagar</t>
  </si>
  <si>
    <t>Dombivali</t>
  </si>
  <si>
    <t>421201</t>
  </si>
  <si>
    <t>smitagadre8@gmail.com</t>
  </si>
  <si>
    <t>+919819503469</t>
  </si>
  <si>
    <t>ARN-118266</t>
  </si>
  <si>
    <t>SRS FINANCIAL SERVICES LLP</t>
  </si>
  <si>
    <t>ADEFS7319D</t>
  </si>
  <si>
    <t>No.209,Shree janki Harl CHS</t>
  </si>
  <si>
    <t>Near ganpati Mandir,Phadke Road</t>
  </si>
  <si>
    <t>Dombivli</t>
  </si>
  <si>
    <t>9702288816</t>
  </si>
  <si>
    <t>srsfinservices@gmail.com</t>
  </si>
  <si>
    <t>DOMBIVLI NAGARI SAHAKARI BANK LIMITED</t>
  </si>
  <si>
    <t>NMP</t>
  </si>
  <si>
    <t>DOMBIVLI EAST</t>
  </si>
  <si>
    <t>051010100004669</t>
  </si>
  <si>
    <t>DNSB0000018</t>
  </si>
  <si>
    <t>1050171558</t>
  </si>
  <si>
    <t>Naresh Dua</t>
  </si>
  <si>
    <t>ABYPD8525G</t>
  </si>
  <si>
    <t>S/O JIWAN DASS DUA,HOUSE NO .38,VIRAT N</t>
  </si>
  <si>
    <t>AGAR,BEHIND HOTEL SHANTIPALACE,PANIPAT,P</t>
  </si>
  <si>
    <t>ANIPAT,HARYANA,132103, PANIPAT</t>
  </si>
  <si>
    <t>PANIPAT</t>
  </si>
  <si>
    <t>132103</t>
  </si>
  <si>
    <t>nareshdua72@gmail.com</t>
  </si>
  <si>
    <t>+919416277258</t>
  </si>
  <si>
    <t>MODEL TOWN PANIPAT</t>
  </si>
  <si>
    <t>33833512190</t>
  </si>
  <si>
    <t>SBIN0002421</t>
  </si>
  <si>
    <t>1050146700</t>
  </si>
  <si>
    <t>Thummar Priyansh Kalpeshbhai</t>
  </si>
  <si>
    <t>CVNPT0902J</t>
  </si>
  <si>
    <t>F 406 KRISH RESIDENCY NIKOL NIKOL GUJARAT</t>
  </si>
  <si>
    <t>NIKOL GUJARAT</t>
  </si>
  <si>
    <t>NIKOL</t>
  </si>
  <si>
    <t>priyanshthummar0702@gmail.com</t>
  </si>
  <si>
    <t>+916354882864</t>
  </si>
  <si>
    <t>NIKOL BRANCH</t>
  </si>
  <si>
    <t>2549924816</t>
  </si>
  <si>
    <t>KKBK0002603</t>
  </si>
  <si>
    <t>1050166507</t>
  </si>
  <si>
    <t>Ranjana Agrawal</t>
  </si>
  <si>
    <t>ADGPA5638K</t>
  </si>
  <si>
    <t>C O ANIL KUMAR AGARWAL KV 01 SECTOR 4</t>
  </si>
  <si>
    <t>KAVERI APARTMENT BLOCK A</t>
  </si>
  <si>
    <t>GOMTI NAGAR EXTENSION</t>
  </si>
  <si>
    <t>dranilagarwal15@gmail.com</t>
  </si>
  <si>
    <t>+919412602952</t>
  </si>
  <si>
    <t>ARN-26059</t>
  </si>
  <si>
    <t>Pravin Anand</t>
  </si>
  <si>
    <t>AETPA3633E</t>
  </si>
  <si>
    <t>House NO.444, Block-A</t>
  </si>
  <si>
    <t>Lane No.1 BEHIND MADHAV TEMPLE</t>
  </si>
  <si>
    <t>MADHAV GREEN CITY</t>
  </si>
  <si>
    <t>+919838804642</t>
  </si>
  <si>
    <t>wealthanand@gmail.com</t>
  </si>
  <si>
    <t>VIBHAV KHAND GOMTINAGAR LUCKNOW</t>
  </si>
  <si>
    <t>2315104000000338</t>
  </si>
  <si>
    <t>IBKL0002315</t>
  </si>
  <si>
    <t>1050163700</t>
  </si>
  <si>
    <t>Ashok Kumar Panda</t>
  </si>
  <si>
    <t>1208160182771080</t>
  </si>
  <si>
    <t>BEEPP2460Q</t>
  </si>
  <si>
    <t>S/O UPENDRA PANDA HOUSE NO 19/930 COSMOS</t>
  </si>
  <si>
    <t>GREEN SAIDPUR GUJJAR ALWAR BYPASS ROAD</t>
  </si>
  <si>
    <t>BHIWADI BHIWADI</t>
  </si>
  <si>
    <t>BHIWADI</t>
  </si>
  <si>
    <t>301019</t>
  </si>
  <si>
    <t>ashok061274@gmail.com</t>
  </si>
  <si>
    <t>+919001568125</t>
  </si>
  <si>
    <t>0773104000022570</t>
  </si>
  <si>
    <t>IBKL0000773</t>
  </si>
  <si>
    <t>1050154464</t>
  </si>
  <si>
    <t>Debadutta Dey</t>
  </si>
  <si>
    <t>BDMPD3328Q</t>
  </si>
  <si>
    <t>NO 98/1 SAI PEARL SEVA VIKAS BANK PIMPLE SAUDAGAR</t>
  </si>
  <si>
    <t>PUNE CITY PUNE WING S/404</t>
  </si>
  <si>
    <t>dev.dey009@gmail.com</t>
  </si>
  <si>
    <t>+918237150150</t>
  </si>
  <si>
    <t>ARN-120734</t>
  </si>
  <si>
    <t>GITANJALI MISHRA</t>
  </si>
  <si>
    <t>AKYPM8792R</t>
  </si>
  <si>
    <t>At-Baunsaput</t>
  </si>
  <si>
    <t>P.O-Chanditala</t>
  </si>
  <si>
    <t>P.S-Barchana</t>
  </si>
  <si>
    <t>Jajpur</t>
  </si>
  <si>
    <t>754024</t>
  </si>
  <si>
    <t>+919937014652</t>
  </si>
  <si>
    <t>gitanjali1979@gmail.com</t>
  </si>
  <si>
    <t>BALASORE</t>
  </si>
  <si>
    <t>Balasore</t>
  </si>
  <si>
    <t>102212010003141</t>
  </si>
  <si>
    <t>756026006</t>
  </si>
  <si>
    <t>UBIN0810223</t>
  </si>
  <si>
    <t>1050179462</t>
  </si>
  <si>
    <t>Sangeeta Parag Bansode</t>
  </si>
  <si>
    <t>AGBPB3484E</t>
  </si>
  <si>
    <t>31/2123 ABHYUDAYA NAGAR</t>
  </si>
  <si>
    <t>KALACHOWKI</t>
  </si>
  <si>
    <t>COTTON GREEN</t>
  </si>
  <si>
    <t>400033</t>
  </si>
  <si>
    <t>b.sangeeta9959@gmail.com</t>
  </si>
  <si>
    <t>+919004648466</t>
  </si>
  <si>
    <t>1123193369</t>
  </si>
  <si>
    <t>400016044</t>
  </si>
  <si>
    <t>CBIN0281067</t>
  </si>
  <si>
    <t>1050150925</t>
  </si>
  <si>
    <t>Dave Rakshit Kiritbhai</t>
  </si>
  <si>
    <t>1203320443192384</t>
  </si>
  <si>
    <t>BATPD9218H</t>
  </si>
  <si>
    <t>C 103 PAYAL PARK SOC SAIJPUR</t>
  </si>
  <si>
    <t>BOGHA NARODA AHMEDABAD CITY</t>
  </si>
  <si>
    <t>382345</t>
  </si>
  <si>
    <t>7567562950</t>
  </si>
  <si>
    <t>daverakshit1991@gmail.com</t>
  </si>
  <si>
    <t>+917567562950</t>
  </si>
  <si>
    <t>ASHRAM ROAD</t>
  </si>
  <si>
    <t>00000020411224040</t>
  </si>
  <si>
    <t>SBIN0002628</t>
  </si>
  <si>
    <t>1050153264</t>
  </si>
  <si>
    <t>Mahadev Roy</t>
  </si>
  <si>
    <t>ACYPR7095L</t>
  </si>
  <si>
    <t>Chhaya Roy</t>
  </si>
  <si>
    <t>AGJPR2519N</t>
  </si>
  <si>
    <t>Simanta Pally Rupnarayanpur</t>
  </si>
  <si>
    <t>Bazar Benag Arya Barddhaman</t>
  </si>
  <si>
    <t>Burdwan</t>
  </si>
  <si>
    <t>713364</t>
  </si>
  <si>
    <t>modern.mahadevroy@gmail.com</t>
  </si>
  <si>
    <t>+919434124264</t>
  </si>
  <si>
    <t>ARN-111267</t>
  </si>
  <si>
    <t>SIKHA BHATTACHARJEE</t>
  </si>
  <si>
    <t>APXPB4371H</t>
  </si>
  <si>
    <t>Kalyangram-2 Rajendrapally</t>
  </si>
  <si>
    <t>Po-Hindustan Cables Dist-Burdwan</t>
  </si>
  <si>
    <t>713335</t>
  </si>
  <si>
    <t>+919046907103</t>
  </si>
  <si>
    <t>crj.sikha@gmail.com</t>
  </si>
  <si>
    <t>RUPNARAYANPUR</t>
  </si>
  <si>
    <t>Chittaranjan</t>
  </si>
  <si>
    <t>99998250333636</t>
  </si>
  <si>
    <t>713240008</t>
  </si>
  <si>
    <t>HDFC0006290</t>
  </si>
  <si>
    <t>1050165931</t>
  </si>
  <si>
    <t>Dhara Srivastava</t>
  </si>
  <si>
    <t>DBQPS0098C</t>
  </si>
  <si>
    <t>737 CHAKSA HUSEN WARD NO 24 GORAKHPUR  RAMBHA SCHOOL -</t>
  </si>
  <si>
    <t>273004</t>
  </si>
  <si>
    <t>dharasrivastava5@gmail.com</t>
  </si>
  <si>
    <t>+918303942025</t>
  </si>
  <si>
    <t>Gorakhpur 2</t>
  </si>
  <si>
    <t>J3764</t>
  </si>
  <si>
    <t>159111071992</t>
  </si>
  <si>
    <t>INDB0001504</t>
  </si>
  <si>
    <t>1050151785</t>
  </si>
  <si>
    <t>Sankar Acharjya</t>
  </si>
  <si>
    <t>APEPA3630D</t>
  </si>
  <si>
    <t>C O BISHNU ACHARJYA HABIPAL TALAKA BARI SONITPUR</t>
  </si>
  <si>
    <t>ASSAM 784180</t>
  </si>
  <si>
    <t>SONITPUR</t>
  </si>
  <si>
    <t>784180</t>
  </si>
  <si>
    <t>acharjya331@gmail.com</t>
  </si>
  <si>
    <t>+919085310770</t>
  </si>
  <si>
    <t>KARCHANTALA</t>
  </si>
  <si>
    <t>00000003416843416</t>
  </si>
  <si>
    <t>CBIN0282709</t>
  </si>
  <si>
    <t>1050187042</t>
  </si>
  <si>
    <t>Raghupathi Rao Beerkuri</t>
  </si>
  <si>
    <t>1208870433258651</t>
  </si>
  <si>
    <t>APPPB4463G</t>
  </si>
  <si>
    <t>W/O LATE BEERKURI RAMAIAH,1-21-285,RAMA</t>
  </si>
  <si>
    <t>CHANDRAIAH COLONY,WEST</t>
  </si>
  <si>
    <t>VENKATAPURAM,,ALWAL,,RANGAREDDI,ANDHRA</t>
  </si>
  <si>
    <t>RANGAREDDI</t>
  </si>
  <si>
    <t>raghu.beerkuri@gmail.com</t>
  </si>
  <si>
    <t>+919989031690</t>
  </si>
  <si>
    <t>VENKATAPURAM</t>
  </si>
  <si>
    <t>00000062002800786</t>
  </si>
  <si>
    <t>SBIN0021269</t>
  </si>
  <si>
    <t>1050188840</t>
  </si>
  <si>
    <t>Aurobinda Tripathy</t>
  </si>
  <si>
    <t>APTPT2899G</t>
  </si>
  <si>
    <t>S/O ARTATRANA TRIPATHY</t>
  </si>
  <si>
    <t>ANANDA NAGAR, KATHAGADA</t>
  </si>
  <si>
    <t>DHENKANAL SADAR</t>
  </si>
  <si>
    <t>DHENKANAL</t>
  </si>
  <si>
    <t>759001</t>
  </si>
  <si>
    <t>aurobindadkl1990@gmail.com</t>
  </si>
  <si>
    <t>KOTAKBANK</t>
  </si>
  <si>
    <t>Kotak Mahindra Bank Ltd</t>
  </si>
  <si>
    <t>Dhenkanal</t>
  </si>
  <si>
    <t>5145504598</t>
  </si>
  <si>
    <t>DCKOTAK</t>
  </si>
  <si>
    <t>1050189892</t>
  </si>
  <si>
    <t>Senthilkumar Mahalingam</t>
  </si>
  <si>
    <t>CHDPS7718D</t>
  </si>
  <si>
    <t>3/71 MOOVENDAR NAGAR KOMALI</t>
  </si>
  <si>
    <t>THOTTAM KANNAMPALAYAM</t>
  </si>
  <si>
    <t>SULUR TALUK COIMBATORE</t>
  </si>
  <si>
    <t>senthil34@gmail.com</t>
  </si>
  <si>
    <t>+918056794148</t>
  </si>
  <si>
    <t>SULUR</t>
  </si>
  <si>
    <t>921010012480671</t>
  </si>
  <si>
    <t>641211025</t>
  </si>
  <si>
    <t>UTIB0003767</t>
  </si>
  <si>
    <t>1050190142</t>
  </si>
  <si>
    <t>Padmini Chandrasekhar</t>
  </si>
  <si>
    <t>1208870415502087</t>
  </si>
  <si>
    <t>BEHPS0377E</t>
  </si>
  <si>
    <t>A 806 FOUNTAIN HEIGHTS AKURTI ROAD</t>
  </si>
  <si>
    <t>LOKHANDWWALA TOWNSHIP KANDIVALI EAST</t>
  </si>
  <si>
    <t>dr.psekhar1@gmail.com</t>
  </si>
  <si>
    <t>+919920483733</t>
  </si>
  <si>
    <t>KANDIVILI LOKHANDWALA</t>
  </si>
  <si>
    <t>50100132682212</t>
  </si>
  <si>
    <t>HDFC0001123</t>
  </si>
  <si>
    <t>1050192115</t>
  </si>
  <si>
    <t>Arshad Neyaz</t>
  </si>
  <si>
    <t>CBHPN0183K</t>
  </si>
  <si>
    <t>Nawada Chowk Ara Dabba Gali P S Nawada Ara</t>
  </si>
  <si>
    <t>Arrah Po Arrah</t>
  </si>
  <si>
    <t>Bihar</t>
  </si>
  <si>
    <t>802301</t>
  </si>
  <si>
    <t>arshadneyaz88@gmail.com</t>
  </si>
  <si>
    <t>+918235577624</t>
  </si>
  <si>
    <t>ARN-172988</t>
  </si>
  <si>
    <t>RIGHT MF INVESTMENT PRIVATE LIMITED</t>
  </si>
  <si>
    <t>AAKCR3483K</t>
  </si>
  <si>
    <t>Trust House 2nd floor 32A</t>
  </si>
  <si>
    <t>Chittaranjan Avenue</t>
  </si>
  <si>
    <t>700012</t>
  </si>
  <si>
    <t>+919836284949</t>
  </si>
  <si>
    <t>rightmutualfundinvestment@gmail.com</t>
  </si>
  <si>
    <t>GOLPARK</t>
  </si>
  <si>
    <t>924010074916665</t>
  </si>
  <si>
    <t>UTIB0000011</t>
  </si>
  <si>
    <t>1050193014</t>
  </si>
  <si>
    <t>Jagadeesha C V</t>
  </si>
  <si>
    <t>AKCPC7683H</t>
  </si>
  <si>
    <t>SO VENKATAPPA,GUBBI TALUK,C N</t>
  </si>
  <si>
    <t>PALYA,TUMKUR,KARNATAKA</t>
  </si>
  <si>
    <t>572213</t>
  </si>
  <si>
    <t>cvjagadeesha@gmail.com</t>
  </si>
  <si>
    <t>+919945949550</t>
  </si>
  <si>
    <t>10024303640</t>
  </si>
  <si>
    <t>1050193905</t>
  </si>
  <si>
    <t>SMITA GURUPRASAD CHUBE</t>
  </si>
  <si>
    <t>1206420014226142</t>
  </si>
  <si>
    <t>ADBPC4011F</t>
  </si>
  <si>
    <t>FLAT NO 9 PLOT NO A-1/65</t>
  </si>
  <si>
    <t>SNEHDHAM FILM CITY ROAD OPP</t>
  </si>
  <si>
    <t>BPCL COLONY GOKULDHAM GOREGAON</t>
  </si>
  <si>
    <t>315502010111438</t>
  </si>
  <si>
    <t>1050193887</t>
  </si>
  <si>
    <t>VIKRAM KISHOR DANGE (HUF)</t>
  </si>
  <si>
    <t>AAOHV9238B</t>
  </si>
  <si>
    <t>FLAT NO 3 NO 64 PURVA APT CDC CHIKHALI</t>
  </si>
  <si>
    <t>BEHIND OLD RTO OFFICE PURNA NAGAR</t>
  </si>
  <si>
    <t>CHINCHWAD EAST PUNE</t>
  </si>
  <si>
    <t>411019</t>
  </si>
  <si>
    <t>7722046742</t>
  </si>
  <si>
    <t>917722046742</t>
  </si>
  <si>
    <t>vikramdange12013@gmail.com</t>
  </si>
  <si>
    <t>+917722046742</t>
  </si>
  <si>
    <t>ARN-284322</t>
  </si>
  <si>
    <t>KAMLESH RAMESH RODE HUF</t>
  </si>
  <si>
    <t>AAOHK9373E</t>
  </si>
  <si>
    <t>M4-401 Nakshatram Society</t>
  </si>
  <si>
    <t>Premlok Park Chinchwad</t>
  </si>
  <si>
    <t>+919096113854</t>
  </si>
  <si>
    <t>rekha@chaitanyainvestment.com</t>
  </si>
  <si>
    <t>NKGSB COOPERATIVE BANK LIMITED</t>
  </si>
  <si>
    <t>CHIKHLI</t>
  </si>
  <si>
    <t>"CHINCHWAD</t>
  </si>
  <si>
    <t>049100100003519</t>
  </si>
  <si>
    <t>411086004</t>
  </si>
  <si>
    <t>NKGS0000049</t>
  </si>
  <si>
    <t>1050196420</t>
  </si>
  <si>
    <t>Pragati Sunil Gaikwad</t>
  </si>
  <si>
    <t>1203320452350165</t>
  </si>
  <si>
    <t>DDYPG3675P</t>
  </si>
  <si>
    <t>SATARAROAD KOREGAON</t>
  </si>
  <si>
    <t>KOREGAON</t>
  </si>
  <si>
    <t>415010</t>
  </si>
  <si>
    <t>8975101260</t>
  </si>
  <si>
    <t>pragatigaikwad978@gmail.com</t>
  </si>
  <si>
    <t>+918975101260</t>
  </si>
  <si>
    <t>0451104000138536</t>
  </si>
  <si>
    <t>IBKL0000451</t>
  </si>
  <si>
    <t>1050189025</t>
  </si>
  <si>
    <t>Tanmoy Ghosh</t>
  </si>
  <si>
    <t>BJGPG3519Q</t>
  </si>
  <si>
    <t>KIRNAHAR, KIRNAHAR KIRNAHAR</t>
  </si>
  <si>
    <t>BIRBHUM</t>
  </si>
  <si>
    <t>731302</t>
  </si>
  <si>
    <t>tghosh890@gmail.com</t>
  </si>
  <si>
    <t>+919851506070</t>
  </si>
  <si>
    <t>ARN-124276</t>
  </si>
  <si>
    <t>SOMNATH SEN</t>
  </si>
  <si>
    <t>ATTPS1274L</t>
  </si>
  <si>
    <t>Kirnahar</t>
  </si>
  <si>
    <t>Birbhum</t>
  </si>
  <si>
    <t>Dt-Birbhum</t>
  </si>
  <si>
    <t>KIRNAHAR</t>
  </si>
  <si>
    <t>+919434487668</t>
  </si>
  <si>
    <t>somsen98@gmail.com</t>
  </si>
  <si>
    <t>143522010001847</t>
  </si>
  <si>
    <t>UBIN0914355</t>
  </si>
  <si>
    <t>1050201382</t>
  </si>
  <si>
    <t>Chanchal Gupta</t>
  </si>
  <si>
    <t>ALVPG6389E</t>
  </si>
  <si>
    <t>UCD3</t>
  </si>
  <si>
    <t>Aditya Birla Sun Life Unclaimed IDCW- Direct - Growth Plan (up to 3 years)</t>
  </si>
  <si>
    <t>RAJESHWAR NAGAR PHASE-4</t>
  </si>
  <si>
    <t>DHORANKHAS 473 OM ENCLAVE</t>
  </si>
  <si>
    <t>SAHASTRADHARA ROAD</t>
  </si>
  <si>
    <t>248001</t>
  </si>
  <si>
    <t>chanchal.gupta3@gmail.com</t>
  </si>
  <si>
    <t>+918107025510</t>
  </si>
  <si>
    <t>B 6/3, SAFDARJUNG ENCLAVE,OPP. DEER PARK</t>
  </si>
  <si>
    <t>05031020004267</t>
  </si>
  <si>
    <t>110240021</t>
  </si>
  <si>
    <t>HDFC0000503</t>
  </si>
  <si>
    <t>1050208246</t>
  </si>
  <si>
    <t>Harikrishna Addanki</t>
  </si>
  <si>
    <t>1203320085929186</t>
  </si>
  <si>
    <t>BCOPA0018F</t>
  </si>
  <si>
    <t>SO VENKATESWARLU AMMAVARIPALEM</t>
  </si>
  <si>
    <t>AMMAVARIPALEM PODALAKURU</t>
  </si>
  <si>
    <t>524345</t>
  </si>
  <si>
    <t>8317637613</t>
  </si>
  <si>
    <t>hari4314@gmail.com</t>
  </si>
  <si>
    <t>+918317637613</t>
  </si>
  <si>
    <t>ADB PODALAKUR</t>
  </si>
  <si>
    <t>PODALAKUR</t>
  </si>
  <si>
    <t>00000030566830047</t>
  </si>
  <si>
    <t>SBIN0006052</t>
  </si>
  <si>
    <t>1050212327</t>
  </si>
  <si>
    <t>Shweta Parcha</t>
  </si>
  <si>
    <t>1208870392049065</t>
  </si>
  <si>
    <t>FUXPP4954E</t>
  </si>
  <si>
    <t>D O RAJ KUMAR HOUSE NO 126 GHONDLI</t>
  </si>
  <si>
    <t>VILLAGE NEAR GEETA COLONY POLICE</t>
  </si>
  <si>
    <t>STATION KRISHNA NAGAR GANDHI NAGAR</t>
  </si>
  <si>
    <t>110051</t>
  </si>
  <si>
    <t>parchashweta328@gmail.com</t>
  </si>
  <si>
    <t>+919990630219</t>
  </si>
  <si>
    <t>GURGAON DLF CYBER CITY</t>
  </si>
  <si>
    <t>50100578342332</t>
  </si>
  <si>
    <t>HDFC0000929</t>
  </si>
  <si>
    <t>1050211878</t>
  </si>
  <si>
    <t>Vasanth Balakrishnan</t>
  </si>
  <si>
    <t>1203320454247821</t>
  </si>
  <si>
    <t>HIGPB5011K</t>
  </si>
  <si>
    <t>225 ANNA STREET THIRUVALLUVAR</t>
  </si>
  <si>
    <t>NAGAR AYANAVARAM AYANAVAR AM</t>
  </si>
  <si>
    <t>600023</t>
  </si>
  <si>
    <t>6379584799</t>
  </si>
  <si>
    <t>vasanthrzwan@gmail.com</t>
  </si>
  <si>
    <t>+916379584799</t>
  </si>
  <si>
    <t>PANDVARMANGALAM RAJIV NAGAR</t>
  </si>
  <si>
    <t>KOVILPATTI</t>
  </si>
  <si>
    <t>266001000010697</t>
  </si>
  <si>
    <t>IOBA0002660</t>
  </si>
  <si>
    <t>1050203251</t>
  </si>
  <si>
    <t>Rajeshkumar Laxmikant Thakkar</t>
  </si>
  <si>
    <t>AGAPT3501F</t>
  </si>
  <si>
    <t>S/O LAXMIKANT THAKKAR,B-1,PRERNA SOSA. VIBHAG 1,VATVA ROAD,PAR</t>
  </si>
  <si>
    <t>AS NAGAR PASE,AHMADABAD CITY,ISANPUR,AHMADABAD,GUJARAT,382443</t>
  </si>
  <si>
    <t>382443</t>
  </si>
  <si>
    <t>rajeshlthakkar20@gmail.com</t>
  </si>
  <si>
    <t>+919979887527</t>
  </si>
  <si>
    <t>GHODASAR</t>
  </si>
  <si>
    <t>50100560271438</t>
  </si>
  <si>
    <t>HDFC0009656</t>
  </si>
  <si>
    <t>1050243772</t>
  </si>
  <si>
    <t>Janardhana Janardhana</t>
  </si>
  <si>
    <t>1203320443139467</t>
  </si>
  <si>
    <t>ADLPJ0353K</t>
  </si>
  <si>
    <t>65 BIDARAHALLI BENGALURU</t>
  </si>
  <si>
    <t>560049</t>
  </si>
  <si>
    <t>9886693632</t>
  </si>
  <si>
    <t>jtechpack@gmail.com</t>
  </si>
  <si>
    <t>+919886693632</t>
  </si>
  <si>
    <t>HIRANDAHALLI</t>
  </si>
  <si>
    <t>21630100055416</t>
  </si>
  <si>
    <t>FDRL0002163</t>
  </si>
  <si>
    <t>1050235081</t>
  </si>
  <si>
    <t>Mentinaro Longkumer</t>
  </si>
  <si>
    <t>1208870346437657</t>
  </si>
  <si>
    <t>ANKPL2016L</t>
  </si>
  <si>
    <t>D/O IMLI LONGKUMER,H/NO-435,,,BLOCK</t>
  </si>
  <si>
    <t>1,PADAMPUKHURI,CHUMUKEDIMA,PADAMPUKHUR</t>
  </si>
  <si>
    <t>I,DIMAPUR,NAGALAND,797116</t>
  </si>
  <si>
    <t>DIMAPUR</t>
  </si>
  <si>
    <t>NA</t>
  </si>
  <si>
    <t>797116</t>
  </si>
  <si>
    <t>narotilkr93@gmail.com</t>
  </si>
  <si>
    <t>+918837051826</t>
  </si>
  <si>
    <t>PURANA BAZAR DIMAPUR</t>
  </si>
  <si>
    <t>50100221317282</t>
  </si>
  <si>
    <t>HDFC0004368</t>
  </si>
  <si>
    <t>1050237604</t>
  </si>
  <si>
    <t>Patel Mansi Sureshbhai</t>
  </si>
  <si>
    <t>1208870215947668</t>
  </si>
  <si>
    <t>QXTPS1014N</t>
  </si>
  <si>
    <t>D/O: SURESHBHAI,PATEL</t>
  </si>
  <si>
    <t>FALIYU,MUNPUR,MUNPUR</t>
  </si>
  <si>
    <t>(RANGPUR),HIMATNAGAR,KADOLI,SABARKANTH</t>
  </si>
  <si>
    <t>patelmansis3124@gmail.com</t>
  </si>
  <si>
    <t>+918780208246</t>
  </si>
  <si>
    <t>MITHAKALI AHMEDABAD</t>
  </si>
  <si>
    <t>923010002529421</t>
  </si>
  <si>
    <t>UTIB0004742</t>
  </si>
  <si>
    <t>1050253793</t>
  </si>
  <si>
    <t>Reddi Rani Nagirimadugu</t>
  </si>
  <si>
    <t>1208870301487550</t>
  </si>
  <si>
    <t>AGNPN2609M</t>
  </si>
  <si>
    <t>C/O BUSIREDDY SEKHAR</t>
  </si>
  <si>
    <t>REDDY,3-145-B-7-7-1,PRASANTH NAGAR,9</t>
  </si>
  <si>
    <t>TH</t>
  </si>
  <si>
    <t>517325</t>
  </si>
  <si>
    <t>reddiranigroww@gmail.com</t>
  </si>
  <si>
    <t>+919494743190</t>
  </si>
  <si>
    <t>MADANAPALLE</t>
  </si>
  <si>
    <t>11008263846</t>
  </si>
  <si>
    <t>SBIN0000868</t>
  </si>
  <si>
    <t>Person</t>
  </si>
  <si>
    <t>PAN 4th Letter</t>
  </si>
  <si>
    <t>P</t>
  </si>
  <si>
    <t>Trust</t>
  </si>
  <si>
    <t>T</t>
  </si>
  <si>
    <t>H</t>
  </si>
  <si>
    <t>Private Limited Company</t>
  </si>
  <si>
    <t>Sole Proprietorship</t>
  </si>
  <si>
    <t>Letter</t>
  </si>
  <si>
    <t>Number</t>
  </si>
  <si>
    <t>Bank / Financial Institution</t>
  </si>
  <si>
    <t>Person of Indian Origin [PIO] - NRO</t>
  </si>
  <si>
    <t>Body Corporate</t>
  </si>
  <si>
    <t>Partnership Firm</t>
  </si>
  <si>
    <t>Firm</t>
  </si>
  <si>
    <t>F</t>
  </si>
  <si>
    <t>Limited Liability Partnership</t>
  </si>
  <si>
    <t>Super Annuation/Pension Fund</t>
  </si>
  <si>
    <t>OCI - Non Repatriation</t>
  </si>
  <si>
    <t>Society</t>
  </si>
  <si>
    <t>NRI - Minor (NRO)</t>
  </si>
  <si>
    <t>Financial Institutions</t>
  </si>
  <si>
    <t>Person of Indian Origin</t>
  </si>
  <si>
    <t>NRI - Minor</t>
  </si>
  <si>
    <t>Unlisted Company</t>
  </si>
  <si>
    <t>OCI - Repatriation</t>
  </si>
  <si>
    <t>Association of Person / AOP</t>
  </si>
  <si>
    <t>AOP</t>
  </si>
  <si>
    <t>A</t>
  </si>
  <si>
    <t>Qualified Foreign Individual [QFIN]</t>
  </si>
  <si>
    <t>Non-Profit organization [NPO]</t>
  </si>
  <si>
    <t>FCRA</t>
  </si>
  <si>
    <t>FPI - Category I</t>
  </si>
  <si>
    <t>Pension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</si>
</sst>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5" fontId="3" fillId="0" borderId="0" xfId="0" applyNumberFormat="1" applyFont="1"/>
    <xf numFmtId="0" fontId="4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3" borderId="8" xfId="0" applyFont="1" applyFill="1" applyBorder="1"/>
    <xf numFmtId="9" fontId="2" fillId="3" borderId="8" xfId="1" applyFont="1" applyFill="1" applyBorder="1"/>
    <xf numFmtId="0" fontId="0" fillId="0" borderId="6" xfId="0" applyBorder="1"/>
    <xf numFmtId="1" fontId="0" fillId="0" borderId="6" xfId="0" applyNumberFormat="1" applyBorder="1"/>
    <xf numFmtId="15" fontId="0" fillId="0" borderId="6" xfId="0" applyNumberFormat="1" applyBorder="1"/>
    <xf numFmtId="4" fontId="0" fillId="0" borderId="6" xfId="0" applyNumberFormat="1" applyBorder="1"/>
    <xf numFmtId="0" fontId="0" fillId="0" borderId="0" xfId="0" quotePrefix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6" xfId="0" applyFont="1" applyBorder="1"/>
    <xf numFmtId="0" fontId="0" fillId="0" borderId="6" xfId="0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Working\Jan%20to%20Mar%202026\KYC\KYC%20New%20Folio%20Report%20Jan%202026%20%20Working.xlsx" TargetMode="External"/><Relationship Id="rId1" Type="http://schemas.openxmlformats.org/officeDocument/2006/relationships/externalLinkPath" Target="file:///Z:\Working\Jan%20to%20Mar%202026\KYC\KYC%20New%20Folio%20Report%20Jan%202026%20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lerts"/>
      <sheetName val="Investor Master"/>
      <sheetName val="Sheet2"/>
      <sheetName val="Not verified"/>
      <sheetName val="Pending"/>
    </sheetNames>
    <sheetDataSet>
      <sheetData sheetId="0"/>
      <sheetData sheetId="1"/>
      <sheetData sheetId="2">
        <row r="2">
          <cell r="B2" t="str">
            <v>TAX_STATU1</v>
          </cell>
          <cell r="C2" t="str">
            <v>Person</v>
          </cell>
          <cell r="D2" t="str">
            <v>PAN 4th Letter</v>
          </cell>
        </row>
        <row r="3">
          <cell r="B3" t="str">
            <v>Individual</v>
          </cell>
          <cell r="C3" t="str">
            <v>Individual</v>
          </cell>
          <cell r="D3" t="str">
            <v>P</v>
          </cell>
        </row>
        <row r="4">
          <cell r="B4" t="str">
            <v>NRI - Repatriable (NRE)</v>
          </cell>
          <cell r="C4" t="str">
            <v>Individual</v>
          </cell>
          <cell r="D4" t="str">
            <v>P</v>
          </cell>
        </row>
        <row r="5">
          <cell r="B5" t="str">
            <v>NRI - Non-Repartriable (NRO)</v>
          </cell>
          <cell r="C5" t="str">
            <v>Individual</v>
          </cell>
          <cell r="D5" t="str">
            <v>P</v>
          </cell>
        </row>
        <row r="6">
          <cell r="B6" t="str">
            <v>Trust</v>
          </cell>
          <cell r="C6" t="str">
            <v>Trust</v>
          </cell>
          <cell r="D6" t="str">
            <v>T</v>
          </cell>
        </row>
        <row r="7">
          <cell r="B7" t="str">
            <v>HUF</v>
          </cell>
          <cell r="C7" t="str">
            <v>HUF</v>
          </cell>
          <cell r="D7" t="str">
            <v>H</v>
          </cell>
        </row>
        <row r="8">
          <cell r="B8" t="str">
            <v>Company</v>
          </cell>
          <cell r="C8" t="str">
            <v>Company</v>
          </cell>
          <cell r="D8" t="str">
            <v>C</v>
          </cell>
        </row>
        <row r="9">
          <cell r="B9" t="str">
            <v>Private Limited Company</v>
          </cell>
          <cell r="C9" t="str">
            <v>Company</v>
          </cell>
          <cell r="D9" t="str">
            <v>C</v>
          </cell>
        </row>
        <row r="10">
          <cell r="B10" t="str">
            <v>Public Limited Company</v>
          </cell>
          <cell r="C10" t="str">
            <v>Company</v>
          </cell>
          <cell r="D10" t="str">
            <v>C</v>
          </cell>
        </row>
        <row r="11">
          <cell r="B11" t="str">
            <v>On Behalf Of Minor</v>
          </cell>
          <cell r="C11" t="str">
            <v>Individual</v>
          </cell>
          <cell r="D11" t="str">
            <v>P</v>
          </cell>
        </row>
        <row r="12">
          <cell r="B12" t="str">
            <v>Sole Proprietorship</v>
          </cell>
          <cell r="C12" t="str">
            <v>Individual</v>
          </cell>
          <cell r="D12" t="str">
            <v>P</v>
          </cell>
        </row>
        <row r="13">
          <cell r="B13" t="str">
            <v>NRI - Others</v>
          </cell>
          <cell r="C13" t="str">
            <v>Individual</v>
          </cell>
          <cell r="D13" t="str">
            <v>P</v>
          </cell>
        </row>
        <row r="14">
          <cell r="B14" t="str">
            <v>Bank / Financial Institution</v>
          </cell>
        </row>
        <row r="15">
          <cell r="B15" t="str">
            <v>Person of Indian Origin [PIO] - NRO</v>
          </cell>
          <cell r="C15" t="str">
            <v>Individual</v>
          </cell>
          <cell r="D15" t="str">
            <v>P</v>
          </cell>
        </row>
        <row r="16">
          <cell r="B16" t="str">
            <v>Body Corporate</v>
          </cell>
          <cell r="C16" t="str">
            <v>Company</v>
          </cell>
          <cell r="D16" t="str">
            <v>C</v>
          </cell>
        </row>
        <row r="17">
          <cell r="B17" t="str">
            <v>Partnership Firm</v>
          </cell>
          <cell r="C17" t="str">
            <v>Firm</v>
          </cell>
          <cell r="D17" t="str">
            <v>F</v>
          </cell>
        </row>
        <row r="18">
          <cell r="B18" t="str">
            <v>Limited Liability Partnership</v>
          </cell>
          <cell r="C18" t="str">
            <v>Firm</v>
          </cell>
          <cell r="D18" t="str">
            <v>F</v>
          </cell>
        </row>
        <row r="19">
          <cell r="B19" t="str">
            <v>Super Annuation/Pension Fund</v>
          </cell>
          <cell r="C19" t="str">
            <v>Trust</v>
          </cell>
          <cell r="D19" t="str">
            <v>T</v>
          </cell>
        </row>
        <row r="20">
          <cell r="B20" t="str">
            <v>OCI - Non Repatriation</v>
          </cell>
          <cell r="C20" t="str">
            <v>Individual</v>
          </cell>
          <cell r="D20" t="str">
            <v>P</v>
          </cell>
        </row>
        <row r="21">
          <cell r="B21" t="str">
            <v>Society</v>
          </cell>
        </row>
        <row r="22">
          <cell r="B22" t="str">
            <v>NRI - Minor (NRO)</v>
          </cell>
          <cell r="C22" t="str">
            <v>Individual</v>
          </cell>
          <cell r="D22" t="str">
            <v>P</v>
          </cell>
        </row>
        <row r="23">
          <cell r="B23" t="str">
            <v>Financial Institutions</v>
          </cell>
          <cell r="C23" t="str">
            <v>Company</v>
          </cell>
          <cell r="D23" t="str">
            <v>C</v>
          </cell>
        </row>
        <row r="24">
          <cell r="B24" t="str">
            <v>Person of Indian Origin</v>
          </cell>
          <cell r="C24" t="str">
            <v>Individual</v>
          </cell>
          <cell r="D24" t="str">
            <v>P</v>
          </cell>
        </row>
        <row r="25">
          <cell r="B25" t="str">
            <v>NRI - Minor</v>
          </cell>
          <cell r="C25" t="str">
            <v>Individual</v>
          </cell>
          <cell r="D25" t="str">
            <v>P</v>
          </cell>
        </row>
        <row r="26">
          <cell r="B26" t="str">
            <v>Unlisted Company</v>
          </cell>
          <cell r="C26" t="str">
            <v>Company</v>
          </cell>
          <cell r="D26" t="str">
            <v>C</v>
          </cell>
        </row>
        <row r="27">
          <cell r="B27" t="str">
            <v>OCI - Repatriation</v>
          </cell>
          <cell r="C27" t="str">
            <v>Individual</v>
          </cell>
          <cell r="D27" t="str">
            <v>P</v>
          </cell>
        </row>
        <row r="28">
          <cell r="B28" t="str">
            <v>Association of Person / AOP</v>
          </cell>
          <cell r="C28" t="str">
            <v>AOP</v>
          </cell>
          <cell r="D28" t="str">
            <v>A</v>
          </cell>
        </row>
        <row r="29">
          <cell r="B29" t="str">
            <v>Qualified Foreign Individual [QFIN]</v>
          </cell>
          <cell r="C29" t="str">
            <v>Individual</v>
          </cell>
          <cell r="D29" t="str">
            <v>P</v>
          </cell>
        </row>
        <row r="30">
          <cell r="B30" t="str">
            <v>Non-Profit organization [NPO]</v>
          </cell>
          <cell r="C30" t="str">
            <v>Trust</v>
          </cell>
          <cell r="D30" t="str">
            <v>T</v>
          </cell>
        </row>
        <row r="31">
          <cell r="B31" t="str">
            <v>Artificial Juridical Person</v>
          </cell>
          <cell r="C31" t="str">
            <v>Individual</v>
          </cell>
          <cell r="D31" t="str">
            <v>P</v>
          </cell>
        </row>
        <row r="32">
          <cell r="B32" t="str">
            <v>FCRA</v>
          </cell>
        </row>
        <row r="33">
          <cell r="B33" t="str">
            <v>FPI - Category I</v>
          </cell>
        </row>
        <row r="34">
          <cell r="B34" t="str">
            <v>Pension Fund</v>
          </cell>
          <cell r="C34" t="str">
            <v>Company</v>
          </cell>
          <cell r="D34" t="str">
            <v>C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2BEA-C32F-4627-ACDD-F3D72F7D39B9}">
  <dimension ref="A1:CU750"/>
  <sheetViews>
    <sheetView tabSelected="1" topLeftCell="BA1" workbookViewId="0">
      <selection activeCell="BQ10" sqref="BQ10"/>
    </sheetView>
  </sheetViews>
  <sheetFormatPr defaultRowHeight="15" x14ac:dyDescent="0.25"/>
  <sheetData>
    <row r="1" spans="1:99" x14ac:dyDescent="0.25">
      <c r="V1" s="1"/>
      <c r="BQ1" t="s">
        <v>0</v>
      </c>
      <c r="CC1" s="2" t="str">
        <f>IF(N1="","Ok",IF(VLOOKUP(Z1,[1]Sheet2!$B$2:$D$34,3,0)=MID(N1,4,1),"Ok","Check"))</f>
        <v>Ok</v>
      </c>
      <c r="CD1" t="s">
        <v>0</v>
      </c>
    </row>
    <row r="2" spans="1:99" x14ac:dyDescent="0.25">
      <c r="A2" s="3"/>
      <c r="B2" s="3"/>
      <c r="C2" s="3"/>
      <c r="D2" s="3"/>
      <c r="E2" s="3"/>
      <c r="F2" s="3"/>
      <c r="G2" s="3"/>
      <c r="H2" s="3"/>
      <c r="I2" s="3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>
        <v>1</v>
      </c>
      <c r="BI2" s="3"/>
      <c r="BJ2" s="3"/>
      <c r="BK2" s="3"/>
      <c r="BL2" s="3"/>
      <c r="BM2" s="3"/>
      <c r="BN2" s="3"/>
      <c r="BO2" s="3"/>
      <c r="BP2" s="3"/>
      <c r="BQ2" s="5" t="s">
        <v>1</v>
      </c>
      <c r="BR2" s="5"/>
      <c r="BS2" s="5"/>
      <c r="BT2" s="5"/>
      <c r="BU2" s="6" t="s">
        <v>2</v>
      </c>
      <c r="BV2" s="6"/>
      <c r="BW2" s="6"/>
      <c r="BX2" s="7"/>
      <c r="BY2" s="8" t="s">
        <v>3</v>
      </c>
      <c r="BZ2" s="9"/>
      <c r="CA2" s="9"/>
      <c r="CB2" s="10"/>
      <c r="CC2" s="11" t="s">
        <v>4</v>
      </c>
      <c r="CD2" s="11"/>
      <c r="CE2" s="11"/>
      <c r="CF2" s="11"/>
      <c r="CG2" s="12" t="s">
        <v>5</v>
      </c>
      <c r="CH2" s="13"/>
      <c r="CI2" s="13"/>
      <c r="CJ2" s="13"/>
      <c r="CK2" s="14" t="s">
        <v>6</v>
      </c>
      <c r="CL2" s="14"/>
      <c r="CM2" s="14"/>
      <c r="CN2" s="14"/>
      <c r="CO2" s="3"/>
      <c r="CP2" s="3"/>
      <c r="CQ2" s="3"/>
      <c r="CR2" s="3"/>
      <c r="CS2" s="3"/>
      <c r="CT2" s="3"/>
      <c r="CU2" s="3"/>
    </row>
    <row r="3" spans="1:99" x14ac:dyDescent="0.25">
      <c r="A3" s="15" t="s">
        <v>7</v>
      </c>
      <c r="B3" s="15" t="s">
        <v>8</v>
      </c>
      <c r="C3" s="15" t="s">
        <v>9</v>
      </c>
      <c r="D3" s="15" t="s">
        <v>10</v>
      </c>
      <c r="E3" s="15" t="s">
        <v>11</v>
      </c>
      <c r="F3" s="15" t="s">
        <v>12</v>
      </c>
      <c r="G3" s="15" t="s">
        <v>13</v>
      </c>
      <c r="H3" s="15" t="s">
        <v>14</v>
      </c>
      <c r="I3" s="15" t="s">
        <v>15</v>
      </c>
      <c r="J3" s="15" t="s">
        <v>16</v>
      </c>
      <c r="K3" s="15" t="s">
        <v>17</v>
      </c>
      <c r="L3" s="15" t="s">
        <v>18</v>
      </c>
      <c r="M3" s="15" t="s">
        <v>19</v>
      </c>
      <c r="N3" s="15" t="s">
        <v>20</v>
      </c>
      <c r="O3" s="15" t="s">
        <v>21</v>
      </c>
      <c r="P3" s="15" t="s">
        <v>22</v>
      </c>
      <c r="Q3" s="15" t="s">
        <v>23</v>
      </c>
      <c r="R3" s="15" t="s">
        <v>24</v>
      </c>
      <c r="S3" s="15" t="s">
        <v>25</v>
      </c>
      <c r="T3" s="15" t="s">
        <v>26</v>
      </c>
      <c r="U3" s="15" t="s">
        <v>27</v>
      </c>
      <c r="V3" s="15" t="s">
        <v>28</v>
      </c>
      <c r="W3" s="15" t="s">
        <v>29</v>
      </c>
      <c r="X3" s="15" t="s">
        <v>30</v>
      </c>
      <c r="Y3" s="15" t="s">
        <v>31</v>
      </c>
      <c r="Z3" s="15" t="s">
        <v>32</v>
      </c>
      <c r="AA3" s="15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5" t="s">
        <v>39</v>
      </c>
      <c r="AH3" s="15" t="s">
        <v>40</v>
      </c>
      <c r="AI3" s="15" t="s">
        <v>41</v>
      </c>
      <c r="AJ3" s="15" t="s">
        <v>42</v>
      </c>
      <c r="AK3" s="15" t="s">
        <v>43</v>
      </c>
      <c r="AL3" s="15" t="s">
        <v>44</v>
      </c>
      <c r="AM3" s="15" t="s">
        <v>45</v>
      </c>
      <c r="AN3" s="15" t="s">
        <v>46</v>
      </c>
      <c r="AO3" s="15" t="s">
        <v>47</v>
      </c>
      <c r="AP3" s="15" t="s">
        <v>48</v>
      </c>
      <c r="AQ3" s="15" t="s">
        <v>49</v>
      </c>
      <c r="AR3" s="15" t="s">
        <v>50</v>
      </c>
      <c r="AS3" s="15" t="s">
        <v>51</v>
      </c>
      <c r="AT3" s="15" t="s">
        <v>52</v>
      </c>
      <c r="AU3" s="15" t="s">
        <v>53</v>
      </c>
      <c r="AV3" s="15" t="s">
        <v>54</v>
      </c>
      <c r="AW3" s="15" t="s">
        <v>55</v>
      </c>
      <c r="AX3" s="15" t="s">
        <v>56</v>
      </c>
      <c r="AY3" s="15" t="s">
        <v>57</v>
      </c>
      <c r="AZ3" s="15" t="s">
        <v>58</v>
      </c>
      <c r="BA3" s="15" t="s">
        <v>59</v>
      </c>
      <c r="BB3" s="15" t="s">
        <v>60</v>
      </c>
      <c r="BC3" s="15" t="s">
        <v>61</v>
      </c>
      <c r="BD3" s="15" t="s">
        <v>62</v>
      </c>
      <c r="BE3" s="15" t="s">
        <v>63</v>
      </c>
      <c r="BF3" s="15" t="s">
        <v>64</v>
      </c>
      <c r="BG3" s="15" t="s">
        <v>65</v>
      </c>
      <c r="BH3" s="15" t="s">
        <v>66</v>
      </c>
      <c r="BI3" s="15" t="s">
        <v>67</v>
      </c>
      <c r="BJ3" s="15" t="s">
        <v>68</v>
      </c>
      <c r="BK3" s="15" t="s">
        <v>69</v>
      </c>
      <c r="BL3" s="15" t="s">
        <v>70</v>
      </c>
      <c r="BM3" s="15" t="s">
        <v>71</v>
      </c>
      <c r="BN3" s="15" t="s">
        <v>72</v>
      </c>
      <c r="BO3" s="15" t="s">
        <v>73</v>
      </c>
      <c r="BP3" s="15"/>
      <c r="BQ3" s="16" t="s">
        <v>74</v>
      </c>
      <c r="BR3" s="16" t="s">
        <v>75</v>
      </c>
      <c r="BS3" s="16" t="s">
        <v>76</v>
      </c>
      <c r="BT3" s="16" t="s">
        <v>77</v>
      </c>
      <c r="BU3" s="16" t="s">
        <v>78</v>
      </c>
      <c r="BV3" s="16" t="s">
        <v>79</v>
      </c>
      <c r="BW3" s="16" t="s">
        <v>80</v>
      </c>
      <c r="BX3" s="16" t="s">
        <v>81</v>
      </c>
      <c r="BY3" s="16" t="s">
        <v>78</v>
      </c>
      <c r="BZ3" s="16" t="s">
        <v>79</v>
      </c>
      <c r="CA3" s="16" t="s">
        <v>82</v>
      </c>
      <c r="CB3" s="17" t="s">
        <v>81</v>
      </c>
      <c r="CC3" s="16" t="s">
        <v>78</v>
      </c>
      <c r="CD3" s="16" t="s">
        <v>79</v>
      </c>
      <c r="CE3" s="16" t="s">
        <v>83</v>
      </c>
      <c r="CF3" s="16" t="s">
        <v>81</v>
      </c>
      <c r="CG3" s="16" t="s">
        <v>78</v>
      </c>
      <c r="CH3" s="16" t="s">
        <v>79</v>
      </c>
      <c r="CI3" s="16" t="s">
        <v>80</v>
      </c>
      <c r="CJ3" s="16" t="s">
        <v>84</v>
      </c>
      <c r="CK3" s="16" t="s">
        <v>78</v>
      </c>
      <c r="CL3" s="16" t="s">
        <v>79</v>
      </c>
      <c r="CM3" s="16" t="s">
        <v>83</v>
      </c>
      <c r="CN3" s="16" t="s">
        <v>84</v>
      </c>
      <c r="CO3" s="16" t="s">
        <v>85</v>
      </c>
      <c r="CP3" s="16" t="s">
        <v>86</v>
      </c>
      <c r="CQ3" s="16" t="s">
        <v>87</v>
      </c>
      <c r="CR3" s="16" t="s">
        <v>88</v>
      </c>
      <c r="CS3" s="16" t="s">
        <v>89</v>
      </c>
      <c r="CT3" s="16" t="s">
        <v>90</v>
      </c>
      <c r="CU3" s="16" t="s">
        <v>91</v>
      </c>
    </row>
    <row r="4" spans="1:99" x14ac:dyDescent="0.25">
      <c r="A4" s="18">
        <v>1</v>
      </c>
      <c r="B4" s="19" t="s">
        <v>92</v>
      </c>
      <c r="C4" s="19" t="s">
        <v>93</v>
      </c>
      <c r="D4" s="20">
        <v>46001</v>
      </c>
      <c r="E4" s="20">
        <v>20569</v>
      </c>
      <c r="F4" s="19"/>
      <c r="G4" s="19"/>
      <c r="H4" s="19" t="s">
        <v>94</v>
      </c>
      <c r="I4" s="19"/>
      <c r="J4" s="19" t="s">
        <v>95</v>
      </c>
      <c r="K4" s="19" t="s">
        <v>96</v>
      </c>
      <c r="L4" s="19" t="s">
        <v>97</v>
      </c>
      <c r="M4" s="19" t="s">
        <v>98</v>
      </c>
      <c r="N4" s="19" t="s">
        <v>99</v>
      </c>
      <c r="O4" s="19" t="s">
        <v>100</v>
      </c>
      <c r="P4" s="19"/>
      <c r="Q4" s="19"/>
      <c r="R4" s="19"/>
      <c r="S4" s="19"/>
      <c r="T4" s="19"/>
      <c r="U4" s="19"/>
      <c r="V4" s="19"/>
      <c r="W4" s="19"/>
      <c r="X4" s="19"/>
      <c r="Y4" s="19" t="s">
        <v>101</v>
      </c>
      <c r="Z4" s="19" t="s">
        <v>102</v>
      </c>
      <c r="AA4" s="19" t="s">
        <v>103</v>
      </c>
      <c r="AB4" s="19" t="s">
        <v>104</v>
      </c>
      <c r="AC4" s="19" t="s">
        <v>105</v>
      </c>
      <c r="AD4" s="19" t="s">
        <v>106</v>
      </c>
      <c r="AE4" s="19" t="s">
        <v>107</v>
      </c>
      <c r="AF4" s="19" t="s">
        <v>108</v>
      </c>
      <c r="AG4" s="19" t="s">
        <v>109</v>
      </c>
      <c r="AH4" s="19" t="s">
        <v>110</v>
      </c>
      <c r="AI4" s="19" t="s">
        <v>111</v>
      </c>
      <c r="AJ4" s="19" t="s">
        <v>112</v>
      </c>
      <c r="AK4" s="19"/>
      <c r="AL4" s="19"/>
      <c r="AM4" s="19" t="s">
        <v>113</v>
      </c>
      <c r="AN4" s="19" t="s">
        <v>114</v>
      </c>
      <c r="AO4" s="19" t="s">
        <v>115</v>
      </c>
      <c r="AP4" s="19" t="s">
        <v>116</v>
      </c>
      <c r="AQ4" s="19" t="s">
        <v>117</v>
      </c>
      <c r="AR4" s="19" t="s">
        <v>118</v>
      </c>
      <c r="AS4" s="19" t="s">
        <v>119</v>
      </c>
      <c r="AT4" s="19" t="s">
        <v>120</v>
      </c>
      <c r="AU4" s="19" t="s">
        <v>121</v>
      </c>
      <c r="AV4" s="19" t="s">
        <v>122</v>
      </c>
      <c r="AW4" s="19" t="s">
        <v>123</v>
      </c>
      <c r="AX4" s="19" t="s">
        <v>124</v>
      </c>
      <c r="AY4" s="19" t="s">
        <v>125</v>
      </c>
      <c r="AZ4" s="19" t="s">
        <v>126</v>
      </c>
      <c r="BA4" s="20">
        <v>36131</v>
      </c>
      <c r="BB4" s="19" t="s">
        <v>127</v>
      </c>
      <c r="BC4" s="19" t="s">
        <v>128</v>
      </c>
      <c r="BD4" s="19" t="s">
        <v>129</v>
      </c>
      <c r="BE4" s="19" t="s">
        <v>130</v>
      </c>
      <c r="BF4" s="19" t="s">
        <v>131</v>
      </c>
      <c r="BG4" s="19"/>
      <c r="BH4" s="19" t="s">
        <v>132</v>
      </c>
      <c r="BI4" s="19" t="s">
        <v>132</v>
      </c>
      <c r="BJ4" s="19" t="s">
        <v>133</v>
      </c>
      <c r="BK4" s="19" t="s">
        <v>134</v>
      </c>
      <c r="BL4" s="19" t="s">
        <v>109</v>
      </c>
      <c r="BM4" s="19" t="s">
        <v>135</v>
      </c>
      <c r="BN4" s="21">
        <v>2.21</v>
      </c>
      <c r="BO4" s="21">
        <v>1018.8984</v>
      </c>
      <c r="BQ4" s="2" t="str">
        <f>IF(OR(G4="NSE",G4="BSE"),"Ok",IF(AND(BH4="",BI4=""),"Check","Ok"))</f>
        <v>Ok</v>
      </c>
      <c r="BR4" s="2" t="str">
        <f>IF(OR(G4="NSE",G4="BSE",AND(BH4="",BI4="")),"Ok",IF(OR(AND(BH4&lt;&gt;"",LEN(BH4)&lt;11),AND(BI4&lt;&gt;"",LEN(BI4)&lt;11)),"Check","Ok"))</f>
        <v>Ok</v>
      </c>
      <c r="BS4" s="2" t="str">
        <f>IF(OR(G4="NSE",G4="BSE"),"ok",IF(BF4="","Check","Ok"))</f>
        <v>Ok</v>
      </c>
      <c r="BT4" s="2" t="str">
        <f>IF(OR(G4="NSE",G4="BSE"),"ok",IF(BB4="","Check","Ok"))</f>
        <v>Ok</v>
      </c>
      <c r="BU4" s="22" t="str">
        <f>IF(OR(Z4="On Behalf Of Minor",Z4="NRI - Minor (NRO)",Z4="NRI - Minor",G4="NSE",G4="BSE"),"Ok",IF(OR(N4="",N4=""),"Check","Ok"))</f>
        <v>Ok</v>
      </c>
      <c r="BV4" s="22" t="str">
        <f>IF(OR(Z4="On Behalf Of Minor",Z4="NRI - Minor (NRO)",Z4="NRI - Minor"),IF(Q4=" ","Check","Ok"),"Ok")</f>
        <v>Ok</v>
      </c>
      <c r="BW4" s="2" t="str">
        <f>IF(OR(Z4="On Behalf Of Minor",Z4="NRI - Minor (NRO)",Z4="NRI - Minor",G4="NSE",G4="BSE"),"Ok",IF(AND(S4&lt;&gt;"",T4=""),"Check","Ok"))</f>
        <v>Ok</v>
      </c>
      <c r="BX4" s="2" t="str">
        <f>IF(OR(Z4="On Behalf Of Minor",Z4="NRI - Minor (NRO)",Z4="NRI - Minor",G4="NSE",G4="BSE"),"Ok",IF(AND(V4&lt;&gt;"",W4=""),"Check","Ok"))</f>
        <v>Ok</v>
      </c>
      <c r="BY4" s="2" t="str">
        <f>IF(LEN(N4)&lt;10,IF(OR(Z4="On Behalf Of Minor",Z4="NRI - Minor (NRO)",Z4="NRI - Minor",G4="NSE",G4="BSE",N4=""),"Ok","Check"),"Ok")</f>
        <v>Ok</v>
      </c>
      <c r="BZ4" s="2" t="str">
        <f>IF(LEN(Q4)&lt;10,IF(OR(Z4="On Behalf Of Minor",Z4="NRI - Minor (NRO)",Z4="NRI - Minor"),"Check","Ok"),"Ok")</f>
        <v>Ok</v>
      </c>
      <c r="CA4" s="2" t="str">
        <f>IF(OR(Z4="On Behalf Of Minor",Z4="NRI - Minor (NRO)",Z4="NRI - Minor",G4="NSE",G4="BSE"),"Ok",IF(AND(S4&lt;&gt;"",LEN(T4)&lt;10),"Check","Ok"))</f>
        <v>Ok</v>
      </c>
      <c r="CB4" s="2" t="str">
        <f>IF(OR(Z4="On Behalf Of Minor",Z4="NRI - Minor (NRO)",Z4="NRI - Minor",G4="NSE",G4="BSE"),"Ok",IF(AND(V4&lt;&gt;"",LEN(W4)&lt;10),"Check","Ok"))</f>
        <v>Ok</v>
      </c>
      <c r="CC4" s="2" t="str">
        <f>IF(OR(N4="",Z4&lt;&gt;"Individual"),"Ok",IF(VLOOKUP(Z4,[1]Sheet2!$B$2:$D$34,3,0)=MID(N4,4,1),"Ok","Check"))</f>
        <v>Ok</v>
      </c>
      <c r="CD4" s="2" t="str">
        <f>IF(OR(P4="",Q4="",Z4&lt;&gt;"Individual"),"Ok",IF(OR(Z4="On Behalf Of Minor",Z4="NRI - Minor (NRO)",Z4="NRI - Minor"),IF(VLOOKUP(Z4,[1]Sheet2!$B$2:$D$34,3,0)=MID(Q4,4,1),"Ok","Check")))</f>
        <v>Ok</v>
      </c>
      <c r="CE4" s="2" t="str">
        <f>IF(OR(S4="",Z4&lt;&gt;"Individual"),"Ok",IF(VLOOKUP(Z4,[1]Sheet2!$B$2:$D$34,3,0)=MID(T4,4,1),"Ok","Check"))</f>
        <v>Ok</v>
      </c>
      <c r="CF4" s="2" t="str">
        <f>IF(OR(V4="",Z4&lt;&gt;"Individual"),"Ok",IF(VLOOKUP(Z4,[1]Sheet2!$B$2:$D$34,3,0)=MID(W4,4,1),"Ok","Check"))</f>
        <v>Ok</v>
      </c>
      <c r="CG4" s="2" t="str">
        <f>IF(OR(Z4="On Behalf Of Minor",Z4="NRI - Minor (NRO)",Z4="NRI - Minor",G4&lt;&gt;"",AND(BN4=0,BO4=0),F4&lt;&gt;""),"Ok",IF(O4="","Check","Ok"))</f>
        <v>Ok</v>
      </c>
      <c r="CH4" s="2" t="str">
        <f>IF(OR(Z4="On Behalf Of Minor",Z4="NRI - Minor (NRO)",Z4="NRI - Minor"),IF(AND(R4="",G4="",AND(BN4&lt;&gt;0,BO4&lt;&gt;0),F4&lt;&gt;""),"Check","Ok"),"Ok")</f>
        <v>Ok</v>
      </c>
      <c r="CI4" s="2" t="str">
        <f>IF(OR(Z4="On Behalf Of Minor",Z4="NRI - Minor (NRO)",Z4="NRI - Minor",G4&lt;&gt;"",AND(BN4=0,BO4=0),F4&lt;&gt;""),"Ok",IF(AND(S4&lt;&gt;"",U4=""),"Check","Ok"))</f>
        <v>Ok</v>
      </c>
      <c r="CJ4" s="2" t="str">
        <f>IF(OR(Z4="On Behalf Of Minor",Z4="NRI - Minor (NRO)",Z4="NRI - Minor",G4&lt;&gt;"",AND(BN4=0,BO4=0),F4&lt;&gt;""),"Ok",IF(AND(V4&lt;&gt;"",X4=""),"Check","Ok"))</f>
        <v>Ok</v>
      </c>
      <c r="CK4" s="2" t="str">
        <f>IF(OR(Z4="On Behalf Of Minor",Z4="NRI - Minor (NRO)",Z4="NRI - Minor",G4&lt;&gt;"",AND(BN4=0,BO4=0),F4&lt;&gt;""),"Ok",IF(OR(O4="",O4="Ok"),"Ok","Check"))</f>
        <v>Ok</v>
      </c>
      <c r="CL4" s="2" t="str">
        <f>IF(OR(Z4="On Behalf Of Minor",Z4="NRI - Minor (NRO)",Z4="NRI - Minor",G4&lt;&gt;""),IF(OR(R4="",R4="ok",AND(BN4=0,BO4=0),F4&lt;&gt;""),"Ok","Check"),"Ok")</f>
        <v>Ok</v>
      </c>
      <c r="CM4" s="2" t="str">
        <f>IF(OR(Z4="On Behalf Of Minor",Z4="NRI - Minor (NRO)",Z4="NRI - Minor",G4&lt;&gt;"",AND(BN4=0,BO4=0),F4&lt;&gt;""),"Ok",IF(OR(U4="",U4="Ok"),"Ok","Check"))</f>
        <v>Ok</v>
      </c>
      <c r="CN4" s="2" t="str">
        <f>IF(OR(Z4="On Behalf Of Minor",Z4="NRI - Minor (NRO)",Z4="NRI - Minor",G4&lt;&gt;"",AND(BN4=0,BO4=0),F4&lt;&gt;""),"Ok",IF(OR(X4="",X4="Ok"),"Ok","Check"))</f>
        <v>Ok</v>
      </c>
      <c r="CO4" s="2" t="str">
        <f>IF(OR(G4="NSE",G4="BSE"),"ok",IF(AN4="","Check","Ok"))</f>
        <v>Ok</v>
      </c>
      <c r="CP4" s="2" t="str">
        <f>IF(OR(G4="BSE",G4="NSE"),"Ok",IF(AM4="","Check","Ok"))</f>
        <v>Ok</v>
      </c>
      <c r="CQ4" s="2" t="str">
        <f>IF(AND(CO4="Check",CP4="Check"),"Check","Ok")</f>
        <v>Ok</v>
      </c>
      <c r="CR4" t="str">
        <f>IF(AND(F4="",D4&lt;BA4,BN4&lt;&gt;0,BO4&lt;&gt;0),"Check","Ok")</f>
        <v>Ok</v>
      </c>
      <c r="CS4" t="str">
        <f>IF(OR(B4="",B4=0,AM4=0,N4=AR4),"Ok",IF(AM4=AZ4,"Check","Ok"))</f>
        <v>Ok</v>
      </c>
      <c r="CT4" t="str">
        <f>IF(OR(B4="",AN4="",N4=AR4),"Ok",IF(AN4=AY4,"Check","Ok"))</f>
        <v>Ok</v>
      </c>
      <c r="CU4" t="str">
        <f t="shared" ref="CU4:CU6" si="0">IF(AND(CS4="Check",CT4="Check"),"Check","Ok")</f>
        <v>Ok</v>
      </c>
    </row>
    <row r="5" spans="1:99" x14ac:dyDescent="0.25">
      <c r="A5" s="18">
        <v>2</v>
      </c>
      <c r="B5" s="19" t="s">
        <v>136</v>
      </c>
      <c r="C5" s="19" t="s">
        <v>137</v>
      </c>
      <c r="D5" s="20">
        <v>46002</v>
      </c>
      <c r="E5" s="20">
        <v>37493</v>
      </c>
      <c r="F5" s="19" t="s">
        <v>138</v>
      </c>
      <c r="G5" s="19" t="s">
        <v>139</v>
      </c>
      <c r="H5" s="19" t="s">
        <v>94</v>
      </c>
      <c r="I5" s="19"/>
      <c r="J5" s="19"/>
      <c r="K5" s="19"/>
      <c r="L5" s="19" t="s">
        <v>140</v>
      </c>
      <c r="M5" s="19" t="s">
        <v>141</v>
      </c>
      <c r="N5" s="19" t="s">
        <v>142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 t="s">
        <v>101</v>
      </c>
      <c r="Z5" s="19" t="s">
        <v>102</v>
      </c>
      <c r="AA5" s="19" t="s">
        <v>103</v>
      </c>
      <c r="AB5" s="19" t="s">
        <v>143</v>
      </c>
      <c r="AC5" s="19" t="s">
        <v>144</v>
      </c>
      <c r="AD5" s="19" t="s">
        <v>145</v>
      </c>
      <c r="AE5" s="19" t="s">
        <v>146</v>
      </c>
      <c r="AF5" s="19" t="s">
        <v>147</v>
      </c>
      <c r="AG5" s="19" t="s">
        <v>148</v>
      </c>
      <c r="AH5" s="19" t="s">
        <v>149</v>
      </c>
      <c r="AI5" s="19" t="s">
        <v>111</v>
      </c>
      <c r="AJ5" s="19" t="s">
        <v>150</v>
      </c>
      <c r="AK5" s="19"/>
      <c r="AL5" s="19" t="s">
        <v>151</v>
      </c>
      <c r="AM5" s="19" t="s">
        <v>152</v>
      </c>
      <c r="AN5" s="19" t="s">
        <v>153</v>
      </c>
      <c r="AO5" s="19" t="s">
        <v>154</v>
      </c>
      <c r="AP5" s="19" t="s">
        <v>155</v>
      </c>
      <c r="AQ5" s="19" t="s">
        <v>117</v>
      </c>
      <c r="AR5" s="19" t="s">
        <v>156</v>
      </c>
      <c r="AS5" s="19" t="s">
        <v>157</v>
      </c>
      <c r="AT5" s="19" t="s">
        <v>158</v>
      </c>
      <c r="AU5" s="19"/>
      <c r="AV5" s="19" t="s">
        <v>122</v>
      </c>
      <c r="AW5" s="19"/>
      <c r="AX5" s="19" t="s">
        <v>124</v>
      </c>
      <c r="AY5" s="19" t="s">
        <v>159</v>
      </c>
      <c r="AZ5" s="19" t="s">
        <v>160</v>
      </c>
      <c r="BA5" s="20">
        <v>44676</v>
      </c>
      <c r="BB5" s="19" t="s">
        <v>161</v>
      </c>
      <c r="BC5" s="19" t="s">
        <v>162</v>
      </c>
      <c r="BD5" s="19" t="s">
        <v>163</v>
      </c>
      <c r="BE5" s="19" t="s">
        <v>130</v>
      </c>
      <c r="BF5" s="19" t="s">
        <v>164</v>
      </c>
      <c r="BG5" s="19"/>
      <c r="BH5" s="19" t="s">
        <v>165</v>
      </c>
      <c r="BI5" s="19" t="s">
        <v>165</v>
      </c>
      <c r="BJ5" s="19" t="s">
        <v>166</v>
      </c>
      <c r="BK5" s="19" t="s">
        <v>167</v>
      </c>
      <c r="BL5" s="19" t="s">
        <v>168</v>
      </c>
      <c r="BM5" s="19" t="s">
        <v>169</v>
      </c>
      <c r="BN5" s="21">
        <v>2.718</v>
      </c>
      <c r="BO5" s="21">
        <v>103.52862</v>
      </c>
      <c r="BQ5" s="2" t="str">
        <f t="shared" ref="BQ5:BQ6" si="1">IF(OR(G5="NSE",G5="BSE"),"ok",IF(AND(BH5="",BI5=""),"Check","Ok"))</f>
        <v>ok</v>
      </c>
      <c r="BR5" s="2" t="str">
        <f t="shared" ref="BR5:BR6" si="2">IF(OR(G5="NSE",G5="BSE",AND(BH5="",BI5="")),"Ok",IF(OR(AND(BH5&lt;&gt;"",LEN(BH5)&lt;11),AND(BI5&lt;&gt;"",LEN(BI5)&lt;11)),"Check","Ok"))</f>
        <v>Ok</v>
      </c>
      <c r="BS5" s="2" t="str">
        <f>IF(OR(G5="NSE",G5="BSE"),"ok",IF(BF5="","Check","Ok"))</f>
        <v>ok</v>
      </c>
      <c r="BT5" s="2" t="str">
        <f>IF(OR(G5="NSE",G5="BSE"),"ok",IF(BB5="","Check","Ok"))</f>
        <v>ok</v>
      </c>
      <c r="BU5" s="22" t="str">
        <f>IF(OR(Z5="On Behalf Of Minor",Z5="NRI - Minor (NRO)",Z5="NRI - Minor",G5="NSE",G5="BSE"),"Ok",IF(OR(N5="",N5=""),"Check","Ok"))</f>
        <v>Ok</v>
      </c>
      <c r="BV5" s="22" t="str">
        <f>IF(OR(Z5="On Behalf Of Minor",Z5="NRI - Minor (NRO)",Z5="NRI - Minor"),IF(OR(Q5="",Q5=""),"Check","Ok"),"Ok")</f>
        <v>Ok</v>
      </c>
      <c r="BW5" s="2" t="str">
        <f>IF(OR(Z5="On Behalf Of Minor",Z5="NRI - Minor (NRO)",Z5="NRI - Minor",G5="NSE",G5="BSE"),"Ok",IF(AND(S5&lt;&gt;"",T5=""),"Check","Ok"))</f>
        <v>Ok</v>
      </c>
      <c r="BX5" s="2" t="str">
        <f>IF(OR(Z5="On Behalf Of Minor",Z5="NRI - Minor (NRO)",Z5="NRI - Minor",G5="NSE",G5="BSE"),"Ok",IF(AND(V5&lt;&gt;"",W5=""),"Check","Ok"))</f>
        <v>Ok</v>
      </c>
      <c r="BY5" s="2" t="str">
        <f>IF(LEN(N5)&lt;10,IF(OR(Z5="On Behalf Of Minor",Z5="NRI - Minor (NRO)",Z5="NRI - Minor",G5="NSE",G5="BSE",N5=""),"Ok","Check"),"Ok")</f>
        <v>Ok</v>
      </c>
      <c r="BZ5" s="2" t="str">
        <f>IF(LEN(Q5)&lt;10,IF(OR(Z5="On Behalf Of Minor",Z5="NRI - Minor (NRO)",Z5="NRI - Minor"),"Check","Ok"),"Ok")</f>
        <v>Ok</v>
      </c>
      <c r="CA5" s="2" t="str">
        <f>IF(OR(Z5="On Behalf Of Minor",Z5="NRI - Minor (NRO)",Z5="NRI - Minor",G5="NSE",G5="BSE"),"Ok",IF(AND(S5&lt;&gt;"",LEN(T5)&lt;10),"Check","Ok"))</f>
        <v>Ok</v>
      </c>
      <c r="CB5" s="2" t="str">
        <f>IF(OR(Z5="On Behalf Of Minor",Z5="NRI - Minor (NRO)",Z5="NRI - Minor",G5="NSE",G5="BSE"),"Ok",IF(AND(V5&lt;&gt;"",LEN(W5)&lt;10),"Check","Ok"))</f>
        <v>Ok</v>
      </c>
      <c r="CC5" s="2" t="str">
        <f>IF(N5="","Ok",IF(VLOOKUP(Z5,[1]Sheet2!$B$2:$D$34,3,0)=MID(N5,4,1),"Ok","Check"))</f>
        <v>Ok</v>
      </c>
      <c r="CD5" s="2" t="str">
        <f>IF(OR(P5="",Q5=""),"Ok",IF(OR(Z5="On Behalf Of Minor",Z5="NRI - Minor (NRO)",Z5="NRI - Minor"),IF(VLOOKUP(Z5,[1]Sheet2!$B$2:$D$34,3,0)=MID(Q5,4,1),"Ok","Check")))</f>
        <v>Ok</v>
      </c>
      <c r="CE5" s="2" t="str">
        <f>IF(S5="","Ok",IF(VLOOKUP(Z5,[1]Sheet2!$B$2:$D$34,3,0)=MID(T5,4,1),"Ok","Check"))</f>
        <v>Ok</v>
      </c>
      <c r="CF5" s="2" t="str">
        <f>IF(V5="","Ok",IF(VLOOKUP(Z5,[1]Sheet2!$B$2:$D$34,3,0)=MID(W5,4,1),"Ok","Check"))</f>
        <v>Ok</v>
      </c>
      <c r="CG5" s="2" t="str">
        <f>IF(OR(Z5="On Behalf Of Minor",Z5="NRI - Minor (NRO)",Z5="NRI - Minor",G5&lt;&gt;"",AND(BN5=0,BO5=0),F5&lt;&gt;""),"Ok",IF(O5="","Check","Ok"))</f>
        <v>Ok</v>
      </c>
      <c r="CH5" s="2" t="str">
        <f>IF(OR(Z5="On Behalf Of Minor",Z5="NRI - Minor (NRO)",Z5="NRI - Minor"),IF(AND(R5="",G5="",AND(BN5&lt;&gt;0,BO5&lt;&gt;0),F5&lt;&gt;""),"Check","Ok"),"Ok")</f>
        <v>Ok</v>
      </c>
      <c r="CI5" s="2" t="str">
        <f>IF(OR(Z5="On Behalf Of Minor",Z5="NRI - Minor (NRO)",Z5="NRI - Minor",G5&lt;&gt;"",AND(BN5=0,BO5=0),F5&lt;&gt;""),"Ok",IF(AND(S5&lt;&gt;"",U5=""),"Check","Ok"))</f>
        <v>Ok</v>
      </c>
      <c r="CJ5" s="2" t="str">
        <f>IF(OR(Z5="On Behalf Of Minor",Z5="NRI - Minor (NRO)",Z5="NRI - Minor",G5&lt;&gt;"",AND(BN5=0,BO5=0),F5&lt;&gt;""),"Ok",IF(AND(V5&lt;&gt;"",X5=""),"Check","Ok"))</f>
        <v>Ok</v>
      </c>
      <c r="CK5" s="2" t="str">
        <f>IF(OR(Z5="On Behalf Of Minor",Z5="NRI - Minor (NRO)",Z5="NRI - Minor",G5&lt;&gt;"",AND(BN5=0,BO5=0),F5&lt;&gt;""),"Ok",IF(OR(O5="",O5="Ok"),"Ok","Check"))</f>
        <v>Ok</v>
      </c>
      <c r="CL5" s="2" t="str">
        <f>IF(OR(Z5="On Behalf Of Minor",Z5="NRI - Minor (NRO)",Z5="NRI - Minor",G5&lt;&gt;""),IF(OR(R5="",R5="ok",AND(BN5=0,BO5=0),F5&lt;&gt;""),"Ok","Check"),"Ok")</f>
        <v>Ok</v>
      </c>
      <c r="CM5" s="2" t="str">
        <f>IF(OR(Z5="On Behalf Of Minor",Z5="NRI - Minor (NRO)",Z5="NRI - Minor",G5&lt;&gt;"",AND(BN5=0,BO5=0),F5&lt;&gt;""),"Ok",IF(OR(U5="",U5="Ok"),"Ok","Check"))</f>
        <v>Ok</v>
      </c>
      <c r="CN5" s="2" t="str">
        <f>IF(OR(Z5="On Behalf Of Minor",Z5="NRI - Minor (NRO)",Z5="NRI - Minor",G5&lt;&gt;"",AND(BN5=0,BO5=0),F5&lt;&gt;""),"Ok",IF(OR(X5="",X5="Ok"),"Ok","Check"))</f>
        <v>Ok</v>
      </c>
      <c r="CO5" s="2" t="str">
        <f>IF(OR(G5="NSE",G5="BSE"),"ok",IF(AN5="","Check","Ok"))</f>
        <v>ok</v>
      </c>
      <c r="CP5" s="2" t="str">
        <f>IF(OR(G5="BSE",G5="NSE"),"Ok",IF(AM5="","Check","Ok"))</f>
        <v>Ok</v>
      </c>
      <c r="CQ5" s="2" t="str">
        <f t="shared" ref="CQ5:CQ6" si="3">IF(AND(CO5="Check",CP5="Check"),"Check","Ok")</f>
        <v>Ok</v>
      </c>
      <c r="CR5" t="str">
        <f>IF(AND(F5="",D5&lt;BA5,BN5&lt;&gt;0,BO5&lt;&gt;0),"Check","Ok")</f>
        <v>Ok</v>
      </c>
      <c r="CS5" t="str">
        <f>IF(OR(B5="",B5=0,AM5=0,N5=AR5),"Ok",IF(AM5=AZ5,"Check","Ok"))</f>
        <v>Ok</v>
      </c>
      <c r="CT5" t="str">
        <f>IF(OR(B5="",AN5="",N5=AR5),"Ok",IF(AN5=AY5,"Check","Ok"))</f>
        <v>Ok</v>
      </c>
      <c r="CU5" t="str">
        <f t="shared" si="0"/>
        <v>Ok</v>
      </c>
    </row>
    <row r="6" spans="1:99" x14ac:dyDescent="0.25">
      <c r="A6" s="18">
        <v>3</v>
      </c>
      <c r="B6" s="19" t="s">
        <v>170</v>
      </c>
      <c r="C6" s="19" t="s">
        <v>171</v>
      </c>
      <c r="D6" s="20">
        <v>46003</v>
      </c>
      <c r="E6" s="20">
        <v>37464</v>
      </c>
      <c r="F6" s="19"/>
      <c r="G6" s="19"/>
      <c r="H6" s="19" t="s">
        <v>94</v>
      </c>
      <c r="I6" s="19"/>
      <c r="J6" s="19"/>
      <c r="K6" s="19"/>
      <c r="L6" s="19" t="s">
        <v>140</v>
      </c>
      <c r="M6" s="19" t="s">
        <v>141</v>
      </c>
      <c r="N6" s="19" t="s">
        <v>172</v>
      </c>
      <c r="O6" s="19" t="s">
        <v>100</v>
      </c>
      <c r="P6" s="19"/>
      <c r="Q6" s="19"/>
      <c r="R6" s="19"/>
      <c r="S6" s="19"/>
      <c r="T6" s="19"/>
      <c r="U6" s="19"/>
      <c r="V6" s="19"/>
      <c r="W6" s="19"/>
      <c r="X6" s="19"/>
      <c r="Y6" s="19" t="s">
        <v>101</v>
      </c>
      <c r="Z6" s="19" t="s">
        <v>102</v>
      </c>
      <c r="AA6" s="19" t="s">
        <v>103</v>
      </c>
      <c r="AB6" s="19" t="s">
        <v>173</v>
      </c>
      <c r="AC6" s="19" t="s">
        <v>174</v>
      </c>
      <c r="AD6" s="19" t="s">
        <v>175</v>
      </c>
      <c r="AE6" s="19" t="s">
        <v>176</v>
      </c>
      <c r="AF6" s="19"/>
      <c r="AG6" s="19" t="s">
        <v>177</v>
      </c>
      <c r="AH6" s="19" t="s">
        <v>124</v>
      </c>
      <c r="AI6" s="19" t="s">
        <v>111</v>
      </c>
      <c r="AJ6" s="19" t="s">
        <v>178</v>
      </c>
      <c r="AK6" s="19"/>
      <c r="AL6" s="19"/>
      <c r="AM6" s="19" t="s">
        <v>179</v>
      </c>
      <c r="AN6" s="19" t="s">
        <v>180</v>
      </c>
      <c r="AO6" s="19" t="s">
        <v>181</v>
      </c>
      <c r="AP6" s="19" t="s">
        <v>182</v>
      </c>
      <c r="AQ6" s="19" t="s">
        <v>117</v>
      </c>
      <c r="AR6" s="19" t="s">
        <v>183</v>
      </c>
      <c r="AS6" s="19" t="s">
        <v>184</v>
      </c>
      <c r="AT6" s="19" t="s">
        <v>185</v>
      </c>
      <c r="AU6" s="19"/>
      <c r="AV6" s="19" t="s">
        <v>186</v>
      </c>
      <c r="AW6" s="19" t="s">
        <v>187</v>
      </c>
      <c r="AX6" s="19" t="s">
        <v>188</v>
      </c>
      <c r="AY6" s="19"/>
      <c r="AZ6" s="19" t="s">
        <v>189</v>
      </c>
      <c r="BA6" s="20">
        <v>44673</v>
      </c>
      <c r="BB6" s="19" t="s">
        <v>190</v>
      </c>
      <c r="BC6" s="19" t="s">
        <v>191</v>
      </c>
      <c r="BD6" s="19" t="s">
        <v>191</v>
      </c>
      <c r="BE6" s="19" t="s">
        <v>130</v>
      </c>
      <c r="BF6" s="19" t="s">
        <v>192</v>
      </c>
      <c r="BG6" s="19"/>
      <c r="BH6" s="19" t="s">
        <v>193</v>
      </c>
      <c r="BI6" s="19" t="s">
        <v>193</v>
      </c>
      <c r="BJ6" s="19" t="s">
        <v>194</v>
      </c>
      <c r="BK6" s="19" t="s">
        <v>195</v>
      </c>
      <c r="BL6" s="19" t="s">
        <v>122</v>
      </c>
      <c r="BM6" s="19" t="s">
        <v>196</v>
      </c>
      <c r="BN6" s="21">
        <v>16.164999999999999</v>
      </c>
      <c r="BO6" s="21">
        <v>572.63219300000003</v>
      </c>
      <c r="BQ6" s="2" t="str">
        <f t="shared" si="1"/>
        <v>Ok</v>
      </c>
      <c r="BR6" s="2" t="str">
        <f t="shared" si="2"/>
        <v>Ok</v>
      </c>
      <c r="BS6" s="2" t="str">
        <f>IF(OR(G6="NSE",G6="BSE"),"ok",IF(BF6="","Check","Ok"))</f>
        <v>Ok</v>
      </c>
      <c r="BT6" s="2" t="str">
        <f>IF(OR(G6="NSE",G6="BSE"),"ok",IF(BB6="","Check","Ok"))</f>
        <v>Ok</v>
      </c>
      <c r="BU6" s="22" t="str">
        <f>IF(OR(Z6="On Behalf Of Minor",Z6="NRI - Minor (NRO)",Z6="NRI - Minor",G6="NSE",G6="BSE"),"Ok",IF(OR(N6="",N6=""),"Check","Ok"))</f>
        <v>Ok</v>
      </c>
      <c r="BV6" s="22" t="str">
        <f>IF(OR(Z6="On Behalf Of Minor",Z6="NRI - Minor (NRO)",Z6="NRI - Minor"),IF(OR(Q6="",Q6=""),"Check","Ok"),"Ok")</f>
        <v>Ok</v>
      </c>
      <c r="BW6" s="2" t="str">
        <f>IF(OR(Z6="On Behalf Of Minor",Z6="NRI - Minor (NRO)",Z6="NRI - Minor",G6="NSE",G6="BSE"),"Ok",IF(AND(S6&lt;&gt;"",T6=""),"Check","Ok"))</f>
        <v>Ok</v>
      </c>
      <c r="BX6" s="2" t="str">
        <f>IF(OR(Z6="On Behalf Of Minor",Z6="NRI - Minor (NRO)",Z6="NRI - Minor",G6="NSE",G6="BSE"),"Ok",IF(AND(V6&lt;&gt;"",W6=""),"Check","Ok"))</f>
        <v>Ok</v>
      </c>
      <c r="BY6" s="2" t="str">
        <f>IF(LEN(N6)&lt;10,IF(OR(Z6="On Behalf Of Minor",Z6="NRI - Minor (NRO)",Z6="NRI - Minor",G6="NSE",G6="BSE",N6=""),"Ok","Check"),"Ok")</f>
        <v>Ok</v>
      </c>
      <c r="BZ6" s="2" t="str">
        <f>IF(LEN(Q6)&lt;10,IF(OR(Z6="On Behalf Of Minor",Z6="NRI - Minor (NRO)",Z6="NRI - Minor"),"Check","Ok"),"Ok")</f>
        <v>Ok</v>
      </c>
      <c r="CA6" s="2" t="str">
        <f>IF(OR(Z6="On Behalf Of Minor",Z6="NRI - Minor (NRO)",Z6="NRI - Minor",G6="NSE",G6="BSE"),"Ok",IF(AND(S6&lt;&gt;"",LEN(T6)&lt;10),"Check","Ok"))</f>
        <v>Ok</v>
      </c>
      <c r="CB6" s="2" t="str">
        <f>IF(OR(Z6="On Behalf Of Minor",Z6="NRI - Minor (NRO)",Z6="NRI - Minor",G6="NSE",G6="BSE"),"Ok",IF(AND(V6&lt;&gt;"",LEN(W6)&lt;10),"Check","Ok"))</f>
        <v>Ok</v>
      </c>
      <c r="CC6" s="2" t="str">
        <f>IF(N6="","Ok",IF(VLOOKUP(Z6,[1]Sheet2!$B$2:$D$34,3,0)=MID(N6,4,1),"Ok","Check"))</f>
        <v>Ok</v>
      </c>
      <c r="CD6" s="2" t="str">
        <f>IF(OR(P6="",Q6=""),"Ok",IF(OR(Z6="On Behalf Of Minor",Z6="NRI - Minor (NRO)",Z6="NRI - Minor"),IF(VLOOKUP(Z6,[1]Sheet2!$B$2:$D$34,3,0)=MID(Q6,4,1),"Ok","Check")))</f>
        <v>Ok</v>
      </c>
      <c r="CE6" s="2" t="str">
        <f>IF(S6="","Ok",IF(VLOOKUP(Z6,[1]Sheet2!$B$2:$D$34,3,0)=MID(T6,4,1),"Ok","Check"))</f>
        <v>Ok</v>
      </c>
      <c r="CF6" s="2" t="str">
        <f>IF(V6="","Ok",IF(VLOOKUP(Z6,[1]Sheet2!$B$2:$D$34,3,0)=MID(W6,4,1),"Ok","Check"))</f>
        <v>Ok</v>
      </c>
      <c r="CG6" s="2" t="str">
        <f>IF(OR(Z6="On Behalf Of Minor",Z6="NRI - Minor (NRO)",Z6="NRI - Minor",G6&lt;&gt;"",AND(BN6=0,BO6=0),F6&lt;&gt;""),"Ok",IF(O6="","Check","Ok"))</f>
        <v>Ok</v>
      </c>
      <c r="CH6" s="2" t="str">
        <f>IF(OR(Z6="On Behalf Of Minor",Z6="NRI - Minor (NRO)",Z6="NRI - Minor"),IF(AND(R6="",G6="",AND(BN6&lt;&gt;0,BO6&lt;&gt;0),F6&lt;&gt;""),"Check","Ok"),"Ok")</f>
        <v>Ok</v>
      </c>
      <c r="CI6" s="2" t="str">
        <f>IF(OR(Z6="On Behalf Of Minor",Z6="NRI - Minor (NRO)",Z6="NRI - Minor",G6&lt;&gt;"",AND(BN6=0,BO6=0),F6&lt;&gt;""),"Ok",IF(AND(S6&lt;&gt;"",U6=""),"Check","Ok"))</f>
        <v>Ok</v>
      </c>
      <c r="CJ6" s="2" t="str">
        <f>IF(OR(Z6="On Behalf Of Minor",Z6="NRI - Minor (NRO)",Z6="NRI - Minor",G6&lt;&gt;"",AND(BN6=0,BO6=0),F6&lt;&gt;""),"Ok",IF(AND(V6&lt;&gt;"",X6=""),"Check","Ok"))</f>
        <v>Ok</v>
      </c>
      <c r="CK6" s="2" t="str">
        <f>IF(OR(Z6="On Behalf Of Minor",Z6="NRI - Minor (NRO)",Z6="NRI - Minor",G6&lt;&gt;"",AND(BN6=0,BO6=0),F6&lt;&gt;""),"Ok",IF(OR(O6="",O6="Ok"),"Ok","Check"))</f>
        <v>Ok</v>
      </c>
      <c r="CL6" s="2" t="str">
        <f>IF(OR(Z6="On Behalf Of Minor",Z6="NRI - Minor (NRO)",Z6="NRI - Minor",G6&lt;&gt;""),IF(OR(R6="",R6="ok",AND(BN6=0,BO6=0),F6&lt;&gt;""),"Ok","Check"),"Ok")</f>
        <v>Ok</v>
      </c>
      <c r="CM6" s="2" t="str">
        <f>IF(OR(Z6="On Behalf Of Minor",Z6="NRI - Minor (NRO)",Z6="NRI - Minor",G6&lt;&gt;"",AND(BN6=0,BO6=0),F6&lt;&gt;""),"Ok",IF(OR(U6="",U6="Ok"),"Ok","Check"))</f>
        <v>Ok</v>
      </c>
      <c r="CN6" s="2" t="str">
        <f>IF(OR(Z6="On Behalf Of Minor",Z6="NRI - Minor (NRO)",Z6="NRI - Minor",G6&lt;&gt;"",AND(BN6=0,BO6=0),F6&lt;&gt;""),"Ok",IF(OR(X6="",X6="Ok"),"Ok","Check"))</f>
        <v>Ok</v>
      </c>
      <c r="CO6" s="2" t="str">
        <f>IF(OR(G6="NSE",G6="BSE"),"ok",IF(AN6="","Check","Ok"))</f>
        <v>Ok</v>
      </c>
      <c r="CP6" s="2" t="str">
        <f>IF(OR(G6="BSE",G6="NSE"),"Ok",IF(AM6="","Check","Ok"))</f>
        <v>Ok</v>
      </c>
      <c r="CQ6" s="2" t="str">
        <f t="shared" si="3"/>
        <v>Ok</v>
      </c>
      <c r="CR6" t="str">
        <f>IF(AND(F6="",D6&lt;BA6,BN6&lt;&gt;0,BO6&lt;&gt;0),"Check","Ok")</f>
        <v>Ok</v>
      </c>
      <c r="CS6" t="str">
        <f>IF(OR(B6="",B6=0,AM6=0,N6=AR6),"Ok",IF(AM6=AZ6,"Check","Ok"))</f>
        <v>Ok</v>
      </c>
      <c r="CT6" t="str">
        <f>IF(OR(B6="",AN6="",N6=AR6),"Ok",IF(AN6=AY6,"Check","Ok"))</f>
        <v>Ok</v>
      </c>
      <c r="CU6" t="str">
        <f t="shared" si="0"/>
        <v>Ok</v>
      </c>
    </row>
    <row r="7" spans="1:99" x14ac:dyDescent="0.25">
      <c r="A7" s="18">
        <v>4</v>
      </c>
      <c r="B7" s="19" t="s">
        <v>197</v>
      </c>
      <c r="C7" s="19" t="s">
        <v>198</v>
      </c>
      <c r="D7" s="20">
        <v>46003</v>
      </c>
      <c r="E7" s="20"/>
      <c r="F7" s="19" t="s">
        <v>199</v>
      </c>
      <c r="G7" s="19" t="s">
        <v>139</v>
      </c>
      <c r="H7" s="19" t="s">
        <v>94</v>
      </c>
      <c r="I7" s="19"/>
      <c r="J7" s="19"/>
      <c r="K7" s="19"/>
      <c r="L7" s="19"/>
      <c r="M7" s="19"/>
      <c r="N7" s="19" t="s">
        <v>200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 t="s">
        <v>101</v>
      </c>
      <c r="Z7" s="19" t="s">
        <v>102</v>
      </c>
      <c r="AA7" s="19" t="s">
        <v>103</v>
      </c>
      <c r="AB7" s="19" t="s">
        <v>201</v>
      </c>
      <c r="AC7" s="19" t="s">
        <v>202</v>
      </c>
      <c r="AD7" s="19" t="s">
        <v>203</v>
      </c>
      <c r="AE7" s="19" t="s">
        <v>204</v>
      </c>
      <c r="AF7" s="19" t="s">
        <v>205</v>
      </c>
      <c r="AG7" s="19" t="s">
        <v>206</v>
      </c>
      <c r="AH7" s="19"/>
      <c r="AI7" s="19"/>
      <c r="AJ7" s="19" t="s">
        <v>207</v>
      </c>
      <c r="AK7" s="19"/>
      <c r="AL7" s="19"/>
      <c r="AM7" s="19"/>
      <c r="AN7" s="19"/>
      <c r="AO7" s="19" t="s">
        <v>208</v>
      </c>
      <c r="AP7" s="19" t="s">
        <v>209</v>
      </c>
      <c r="AQ7" s="19" t="s">
        <v>117</v>
      </c>
      <c r="AR7" s="19" t="s">
        <v>210</v>
      </c>
      <c r="AS7" s="19" t="s">
        <v>211</v>
      </c>
      <c r="AT7" s="19" t="s">
        <v>212</v>
      </c>
      <c r="AU7" s="19" t="s">
        <v>213</v>
      </c>
      <c r="AV7" s="19" t="s">
        <v>214</v>
      </c>
      <c r="AW7" s="19" t="s">
        <v>215</v>
      </c>
      <c r="AX7" s="19" t="s">
        <v>149</v>
      </c>
      <c r="AY7" s="19" t="s">
        <v>216</v>
      </c>
      <c r="AZ7" s="19" t="s">
        <v>217</v>
      </c>
      <c r="BA7" s="20">
        <v>35521</v>
      </c>
      <c r="BB7" s="19" t="s">
        <v>218</v>
      </c>
      <c r="BC7" s="19"/>
      <c r="BD7" s="19" t="s">
        <v>219</v>
      </c>
      <c r="BE7" s="19"/>
      <c r="BF7" s="19" t="s">
        <v>220</v>
      </c>
      <c r="BG7" s="19"/>
      <c r="BH7" s="19"/>
      <c r="BI7" s="19"/>
      <c r="BJ7" s="19" t="s">
        <v>166</v>
      </c>
      <c r="BK7" s="19" t="s">
        <v>221</v>
      </c>
      <c r="BL7" s="19" t="s">
        <v>222</v>
      </c>
      <c r="BM7" s="19" t="s">
        <v>169</v>
      </c>
      <c r="BN7" s="21">
        <v>76.149000000000001</v>
      </c>
      <c r="BO7" s="21">
        <v>6450.7340880000002</v>
      </c>
      <c r="BQ7" s="2"/>
      <c r="BR7" s="2"/>
      <c r="BS7" s="2"/>
      <c r="BT7" s="2"/>
      <c r="BU7" s="22"/>
      <c r="BV7" s="2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</row>
    <row r="8" spans="1:99" x14ac:dyDescent="0.25">
      <c r="A8" s="18">
        <v>5</v>
      </c>
      <c r="B8" s="19" t="s">
        <v>223</v>
      </c>
      <c r="C8" s="19" t="s">
        <v>224</v>
      </c>
      <c r="D8" s="20">
        <v>46006</v>
      </c>
      <c r="E8" s="20">
        <v>35110</v>
      </c>
      <c r="F8" s="19" t="s">
        <v>225</v>
      </c>
      <c r="G8" s="19" t="s">
        <v>139</v>
      </c>
      <c r="H8" s="19" t="s">
        <v>94</v>
      </c>
      <c r="I8" s="19"/>
      <c r="J8" s="19"/>
      <c r="K8" s="19"/>
      <c r="L8" s="19" t="s">
        <v>140</v>
      </c>
      <c r="M8" s="19" t="s">
        <v>141</v>
      </c>
      <c r="N8" s="19" t="s">
        <v>226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 t="s">
        <v>101</v>
      </c>
      <c r="Z8" s="19" t="s">
        <v>102</v>
      </c>
      <c r="AA8" s="19" t="s">
        <v>103</v>
      </c>
      <c r="AB8" s="19" t="s">
        <v>173</v>
      </c>
      <c r="AC8" s="19" t="s">
        <v>174</v>
      </c>
      <c r="AD8" s="19" t="s">
        <v>227</v>
      </c>
      <c r="AE8" s="19" t="s">
        <v>228</v>
      </c>
      <c r="AF8" s="19" t="s">
        <v>229</v>
      </c>
      <c r="AG8" s="19" t="s">
        <v>230</v>
      </c>
      <c r="AH8" s="19" t="s">
        <v>231</v>
      </c>
      <c r="AI8" s="19" t="s">
        <v>111</v>
      </c>
      <c r="AJ8" s="19" t="s">
        <v>232</v>
      </c>
      <c r="AK8" s="19"/>
      <c r="AL8" s="19" t="s">
        <v>233</v>
      </c>
      <c r="AM8" s="19" t="s">
        <v>234</v>
      </c>
      <c r="AN8" s="19" t="s">
        <v>235</v>
      </c>
      <c r="AO8" s="19" t="s">
        <v>154</v>
      </c>
      <c r="AP8" s="19" t="s">
        <v>155</v>
      </c>
      <c r="AQ8" s="19" t="s">
        <v>117</v>
      </c>
      <c r="AR8" s="19" t="s">
        <v>156</v>
      </c>
      <c r="AS8" s="19" t="s">
        <v>157</v>
      </c>
      <c r="AT8" s="19" t="s">
        <v>158</v>
      </c>
      <c r="AU8" s="19"/>
      <c r="AV8" s="19" t="s">
        <v>122</v>
      </c>
      <c r="AW8" s="19"/>
      <c r="AX8" s="19" t="s">
        <v>124</v>
      </c>
      <c r="AY8" s="19" t="s">
        <v>159</v>
      </c>
      <c r="AZ8" s="19" t="s">
        <v>160</v>
      </c>
      <c r="BA8" s="20">
        <v>44676</v>
      </c>
      <c r="BB8" s="19" t="s">
        <v>236</v>
      </c>
      <c r="BC8" s="19" t="s">
        <v>237</v>
      </c>
      <c r="BD8" s="19" t="s">
        <v>238</v>
      </c>
      <c r="BE8" s="19" t="s">
        <v>130</v>
      </c>
      <c r="BF8" s="19" t="s">
        <v>239</v>
      </c>
      <c r="BG8" s="19"/>
      <c r="BH8" s="19" t="s">
        <v>240</v>
      </c>
      <c r="BI8" s="19" t="s">
        <v>240</v>
      </c>
      <c r="BJ8" s="19" t="s">
        <v>166</v>
      </c>
      <c r="BK8" s="19" t="s">
        <v>167</v>
      </c>
      <c r="BL8" s="19" t="s">
        <v>168</v>
      </c>
      <c r="BM8" s="19" t="s">
        <v>169</v>
      </c>
      <c r="BN8" s="21">
        <v>3.3090000000000002</v>
      </c>
      <c r="BO8" s="21">
        <v>117.21867779999999</v>
      </c>
      <c r="BQ8" s="2"/>
      <c r="BR8" s="2"/>
      <c r="BS8" s="2"/>
      <c r="BT8" s="2"/>
      <c r="BU8" s="22"/>
      <c r="BV8" s="2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</row>
    <row r="9" spans="1:99" x14ac:dyDescent="0.25">
      <c r="A9" s="18">
        <v>6</v>
      </c>
      <c r="B9" s="19" t="s">
        <v>241</v>
      </c>
      <c r="C9" s="19" t="s">
        <v>242</v>
      </c>
      <c r="D9" s="20">
        <v>46013</v>
      </c>
      <c r="E9" s="20">
        <v>33587</v>
      </c>
      <c r="F9" s="19" t="s">
        <v>243</v>
      </c>
      <c r="G9" s="19" t="s">
        <v>139</v>
      </c>
      <c r="H9" s="19" t="s">
        <v>94</v>
      </c>
      <c r="I9" s="19"/>
      <c r="J9" s="19"/>
      <c r="K9" s="19"/>
      <c r="L9" s="19" t="s">
        <v>244</v>
      </c>
      <c r="M9" s="19" t="s">
        <v>245</v>
      </c>
      <c r="N9" s="19" t="s">
        <v>246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 t="s">
        <v>101</v>
      </c>
      <c r="Z9" s="19" t="s">
        <v>102</v>
      </c>
      <c r="AA9" s="19" t="s">
        <v>103</v>
      </c>
      <c r="AB9" s="19" t="s">
        <v>247</v>
      </c>
      <c r="AC9" s="19" t="s">
        <v>248</v>
      </c>
      <c r="AD9" s="19" t="s">
        <v>249</v>
      </c>
      <c r="AE9" s="19" t="s">
        <v>250</v>
      </c>
      <c r="AF9" s="19"/>
      <c r="AG9" s="19" t="s">
        <v>251</v>
      </c>
      <c r="AH9" s="19" t="s">
        <v>149</v>
      </c>
      <c r="AI9" s="19"/>
      <c r="AJ9" s="19" t="s">
        <v>252</v>
      </c>
      <c r="AK9" s="19"/>
      <c r="AL9" s="19"/>
      <c r="AM9" s="19" t="s">
        <v>253</v>
      </c>
      <c r="AN9" s="19" t="s">
        <v>254</v>
      </c>
      <c r="AO9" s="19" t="s">
        <v>255</v>
      </c>
      <c r="AP9" s="19" t="s">
        <v>256</v>
      </c>
      <c r="AQ9" s="19" t="s">
        <v>117</v>
      </c>
      <c r="AR9" s="19" t="s">
        <v>257</v>
      </c>
      <c r="AS9" s="19" t="s">
        <v>258</v>
      </c>
      <c r="AT9" s="19" t="s">
        <v>259</v>
      </c>
      <c r="AU9" s="19" t="s">
        <v>260</v>
      </c>
      <c r="AV9" s="19" t="s">
        <v>260</v>
      </c>
      <c r="AW9" s="19" t="s">
        <v>261</v>
      </c>
      <c r="AX9" s="19" t="s">
        <v>262</v>
      </c>
      <c r="AY9" s="19" t="s">
        <v>263</v>
      </c>
      <c r="AZ9" s="19" t="s">
        <v>264</v>
      </c>
      <c r="BA9" s="20">
        <v>43627</v>
      </c>
      <c r="BB9" s="19" t="s">
        <v>265</v>
      </c>
      <c r="BC9" s="19" t="s">
        <v>266</v>
      </c>
      <c r="BD9" s="19" t="s">
        <v>267</v>
      </c>
      <c r="BE9" s="19" t="s">
        <v>130</v>
      </c>
      <c r="BF9" s="19" t="s">
        <v>268</v>
      </c>
      <c r="BG9" s="19"/>
      <c r="BH9" s="19" t="s">
        <v>269</v>
      </c>
      <c r="BI9" s="19" t="s">
        <v>269</v>
      </c>
      <c r="BJ9" s="19" t="s">
        <v>166</v>
      </c>
      <c r="BK9" s="19" t="s">
        <v>167</v>
      </c>
      <c r="BL9" s="19" t="s">
        <v>168</v>
      </c>
      <c r="BM9" s="19" t="s">
        <v>169</v>
      </c>
      <c r="BN9" s="21">
        <v>11.420999999999999</v>
      </c>
      <c r="BO9" s="21">
        <v>5008.2501204</v>
      </c>
      <c r="BQ9" s="2"/>
      <c r="BR9" s="2"/>
      <c r="BS9" s="2"/>
      <c r="BT9" s="2"/>
      <c r="BU9" s="22"/>
      <c r="BV9" s="2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</row>
    <row r="10" spans="1:99" x14ac:dyDescent="0.25">
      <c r="A10" s="18">
        <v>7</v>
      </c>
      <c r="B10" s="19" t="s">
        <v>270</v>
      </c>
      <c r="C10" s="19" t="s">
        <v>271</v>
      </c>
      <c r="D10" s="20">
        <v>46020</v>
      </c>
      <c r="E10" s="20">
        <v>37691</v>
      </c>
      <c r="F10" s="19" t="s">
        <v>272</v>
      </c>
      <c r="G10" s="19" t="s">
        <v>139</v>
      </c>
      <c r="H10" s="19" t="s">
        <v>94</v>
      </c>
      <c r="I10" s="19"/>
      <c r="J10" s="19"/>
      <c r="K10" s="19"/>
      <c r="L10" s="19" t="s">
        <v>244</v>
      </c>
      <c r="M10" s="19" t="s">
        <v>245</v>
      </c>
      <c r="N10" s="19" t="s">
        <v>273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 t="s">
        <v>101</v>
      </c>
      <c r="Z10" s="19" t="s">
        <v>102</v>
      </c>
      <c r="AA10" s="19" t="s">
        <v>103</v>
      </c>
      <c r="AB10" s="19" t="s">
        <v>143</v>
      </c>
      <c r="AC10" s="19" t="s">
        <v>144</v>
      </c>
      <c r="AD10" s="19" t="s">
        <v>274</v>
      </c>
      <c r="AE10" s="19" t="s">
        <v>275</v>
      </c>
      <c r="AF10" s="19" t="s">
        <v>276</v>
      </c>
      <c r="AG10" s="19" t="s">
        <v>277</v>
      </c>
      <c r="AH10" s="19" t="s">
        <v>124</v>
      </c>
      <c r="AI10" s="19" t="s">
        <v>111</v>
      </c>
      <c r="AJ10" s="19" t="s">
        <v>278</v>
      </c>
      <c r="AK10" s="19"/>
      <c r="AL10" s="19"/>
      <c r="AM10" s="19" t="s">
        <v>279</v>
      </c>
      <c r="AN10" s="19" t="s">
        <v>280</v>
      </c>
      <c r="AO10" s="19" t="s">
        <v>255</v>
      </c>
      <c r="AP10" s="19" t="s">
        <v>256</v>
      </c>
      <c r="AQ10" s="19" t="s">
        <v>117</v>
      </c>
      <c r="AR10" s="19" t="s">
        <v>257</v>
      </c>
      <c r="AS10" s="19" t="s">
        <v>258</v>
      </c>
      <c r="AT10" s="19" t="s">
        <v>259</v>
      </c>
      <c r="AU10" s="19" t="s">
        <v>260</v>
      </c>
      <c r="AV10" s="19" t="s">
        <v>260</v>
      </c>
      <c r="AW10" s="19" t="s">
        <v>261</v>
      </c>
      <c r="AX10" s="19" t="s">
        <v>262</v>
      </c>
      <c r="AY10" s="19" t="s">
        <v>263</v>
      </c>
      <c r="AZ10" s="19" t="s">
        <v>264</v>
      </c>
      <c r="BA10" s="20">
        <v>43627</v>
      </c>
      <c r="BB10" s="19" t="s">
        <v>190</v>
      </c>
      <c r="BC10" s="19" t="s">
        <v>281</v>
      </c>
      <c r="BD10" s="19" t="s">
        <v>282</v>
      </c>
      <c r="BE10" s="19" t="s">
        <v>130</v>
      </c>
      <c r="BF10" s="19" t="s">
        <v>283</v>
      </c>
      <c r="BG10" s="19"/>
      <c r="BH10" s="19" t="s">
        <v>284</v>
      </c>
      <c r="BI10" s="19" t="s">
        <v>284</v>
      </c>
      <c r="BJ10" s="19" t="s">
        <v>166</v>
      </c>
      <c r="BK10" s="19" t="s">
        <v>167</v>
      </c>
      <c r="BL10" s="19" t="s">
        <v>168</v>
      </c>
      <c r="BM10" s="19" t="s">
        <v>169</v>
      </c>
      <c r="BN10" s="21">
        <v>2.68</v>
      </c>
      <c r="BO10" s="21">
        <v>102.0812</v>
      </c>
      <c r="BQ10" s="2"/>
      <c r="BR10" s="2"/>
      <c r="BS10" s="2"/>
      <c r="BT10" s="2"/>
      <c r="BU10" s="22"/>
      <c r="BV10" s="2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</row>
    <row r="11" spans="1:99" x14ac:dyDescent="0.25">
      <c r="A11" s="18">
        <v>8</v>
      </c>
      <c r="B11" s="19" t="s">
        <v>285</v>
      </c>
      <c r="C11" s="19" t="s">
        <v>286</v>
      </c>
      <c r="D11" s="20">
        <v>46006</v>
      </c>
      <c r="E11" s="20">
        <v>24109</v>
      </c>
      <c r="F11" s="19"/>
      <c r="G11" s="19"/>
      <c r="H11" s="19" t="s">
        <v>94</v>
      </c>
      <c r="I11" s="19"/>
      <c r="J11" s="19" t="s">
        <v>287</v>
      </c>
      <c r="K11" s="19" t="s">
        <v>288</v>
      </c>
      <c r="L11" s="19" t="s">
        <v>289</v>
      </c>
      <c r="M11" s="19" t="s">
        <v>290</v>
      </c>
      <c r="N11" s="19" t="s">
        <v>291</v>
      </c>
      <c r="O11" s="19" t="s">
        <v>100</v>
      </c>
      <c r="P11" s="19"/>
      <c r="Q11" s="19"/>
      <c r="R11" s="19"/>
      <c r="S11" s="19"/>
      <c r="T11" s="19"/>
      <c r="U11" s="19"/>
      <c r="V11" s="19"/>
      <c r="W11" s="19"/>
      <c r="X11" s="19"/>
      <c r="Y11" s="19" t="s">
        <v>101</v>
      </c>
      <c r="Z11" s="19" t="s">
        <v>102</v>
      </c>
      <c r="AA11" s="19" t="s">
        <v>103</v>
      </c>
      <c r="AB11" s="19" t="s">
        <v>292</v>
      </c>
      <c r="AC11" s="19" t="s">
        <v>293</v>
      </c>
      <c r="AD11" s="19" t="s">
        <v>294</v>
      </c>
      <c r="AE11" s="19" t="s">
        <v>295</v>
      </c>
      <c r="AF11" s="19" t="s">
        <v>296</v>
      </c>
      <c r="AG11" s="19" t="s">
        <v>297</v>
      </c>
      <c r="AH11" s="19" t="s">
        <v>298</v>
      </c>
      <c r="AI11" s="19" t="s">
        <v>111</v>
      </c>
      <c r="AJ11" s="19" t="s">
        <v>299</v>
      </c>
      <c r="AK11" s="19"/>
      <c r="AL11" s="19"/>
      <c r="AM11" s="19" t="s">
        <v>300</v>
      </c>
      <c r="AN11" s="19" t="s">
        <v>301</v>
      </c>
      <c r="AO11" s="19" t="s">
        <v>302</v>
      </c>
      <c r="AP11" s="19" t="s">
        <v>303</v>
      </c>
      <c r="AQ11" s="19" t="s">
        <v>117</v>
      </c>
      <c r="AR11" s="19" t="s">
        <v>304</v>
      </c>
      <c r="AS11" s="19" t="s">
        <v>305</v>
      </c>
      <c r="AT11" s="19" t="s">
        <v>306</v>
      </c>
      <c r="AU11" s="19" t="s">
        <v>307</v>
      </c>
      <c r="AV11" s="19" t="s">
        <v>297</v>
      </c>
      <c r="AW11" s="19" t="s">
        <v>308</v>
      </c>
      <c r="AX11" s="19" t="s">
        <v>309</v>
      </c>
      <c r="AY11" s="19" t="s">
        <v>310</v>
      </c>
      <c r="AZ11" s="19" t="s">
        <v>311</v>
      </c>
      <c r="BA11" s="20">
        <v>39787</v>
      </c>
      <c r="BB11" s="19" t="s">
        <v>312</v>
      </c>
      <c r="BC11" s="19" t="s">
        <v>313</v>
      </c>
      <c r="BD11" s="19" t="s">
        <v>297</v>
      </c>
      <c r="BE11" s="19" t="s">
        <v>130</v>
      </c>
      <c r="BF11" s="19" t="s">
        <v>314</v>
      </c>
      <c r="BG11" s="19" t="s">
        <v>315</v>
      </c>
      <c r="BH11" s="19" t="s">
        <v>316</v>
      </c>
      <c r="BI11" s="19" t="s">
        <v>316</v>
      </c>
      <c r="BJ11" s="19" t="s">
        <v>166</v>
      </c>
      <c r="BK11" s="19" t="s">
        <v>317</v>
      </c>
      <c r="BL11" s="19" t="s">
        <v>318</v>
      </c>
      <c r="BM11" s="19" t="s">
        <v>135</v>
      </c>
      <c r="BN11" s="21">
        <v>3091.15</v>
      </c>
      <c r="BO11" s="21">
        <v>50891.148025000002</v>
      </c>
      <c r="BQ11" s="2"/>
      <c r="BR11" s="2"/>
      <c r="BS11" s="2"/>
      <c r="BT11" s="2"/>
      <c r="BU11" s="22"/>
      <c r="BV11" s="2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</row>
    <row r="12" spans="1:99" x14ac:dyDescent="0.25">
      <c r="A12" s="18">
        <v>9</v>
      </c>
      <c r="B12" s="19" t="s">
        <v>319</v>
      </c>
      <c r="C12" s="19" t="s">
        <v>320</v>
      </c>
      <c r="D12" s="20">
        <v>46009</v>
      </c>
      <c r="E12" s="20">
        <v>37622</v>
      </c>
      <c r="F12" s="19" t="s">
        <v>321</v>
      </c>
      <c r="G12" s="19" t="s">
        <v>139</v>
      </c>
      <c r="H12" s="19" t="s">
        <v>94</v>
      </c>
      <c r="I12" s="19"/>
      <c r="J12" s="19"/>
      <c r="K12" s="19"/>
      <c r="L12" s="19" t="s">
        <v>244</v>
      </c>
      <c r="M12" s="19" t="s">
        <v>245</v>
      </c>
      <c r="N12" s="19" t="s">
        <v>322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 t="s">
        <v>101</v>
      </c>
      <c r="Z12" s="19" t="s">
        <v>102</v>
      </c>
      <c r="AA12" s="19" t="s">
        <v>103</v>
      </c>
      <c r="AB12" s="19" t="s">
        <v>143</v>
      </c>
      <c r="AC12" s="19" t="s">
        <v>144</v>
      </c>
      <c r="AD12" s="19" t="s">
        <v>323</v>
      </c>
      <c r="AE12" s="19" t="s">
        <v>324</v>
      </c>
      <c r="AF12" s="19" t="s">
        <v>325</v>
      </c>
      <c r="AG12" s="19" t="s">
        <v>326</v>
      </c>
      <c r="AH12" s="19" t="s">
        <v>327</v>
      </c>
      <c r="AI12" s="19"/>
      <c r="AJ12" s="19" t="s">
        <v>328</v>
      </c>
      <c r="AK12" s="19"/>
      <c r="AL12" s="19"/>
      <c r="AM12" s="19" t="s">
        <v>329</v>
      </c>
      <c r="AN12" s="19" t="s">
        <v>330</v>
      </c>
      <c r="AO12" s="19" t="s">
        <v>255</v>
      </c>
      <c r="AP12" s="19" t="s">
        <v>256</v>
      </c>
      <c r="AQ12" s="19" t="s">
        <v>117</v>
      </c>
      <c r="AR12" s="19" t="s">
        <v>257</v>
      </c>
      <c r="AS12" s="19" t="s">
        <v>258</v>
      </c>
      <c r="AT12" s="19" t="s">
        <v>259</v>
      </c>
      <c r="AU12" s="19" t="s">
        <v>260</v>
      </c>
      <c r="AV12" s="19" t="s">
        <v>260</v>
      </c>
      <c r="AW12" s="19" t="s">
        <v>261</v>
      </c>
      <c r="AX12" s="19" t="s">
        <v>262</v>
      </c>
      <c r="AY12" s="19" t="s">
        <v>263</v>
      </c>
      <c r="AZ12" s="19" t="s">
        <v>264</v>
      </c>
      <c r="BA12" s="20">
        <v>43627</v>
      </c>
      <c r="BB12" s="19" t="s">
        <v>331</v>
      </c>
      <c r="BC12" s="19" t="s">
        <v>332</v>
      </c>
      <c r="BD12" s="19" t="s">
        <v>333</v>
      </c>
      <c r="BE12" s="19" t="s">
        <v>130</v>
      </c>
      <c r="BF12" s="19" t="s">
        <v>334</v>
      </c>
      <c r="BG12" s="19"/>
      <c r="BH12" s="19" t="s">
        <v>335</v>
      </c>
      <c r="BI12" s="19" t="s">
        <v>335</v>
      </c>
      <c r="BJ12" s="19" t="s">
        <v>166</v>
      </c>
      <c r="BK12" s="19" t="s">
        <v>167</v>
      </c>
      <c r="BL12" s="19" t="s">
        <v>168</v>
      </c>
      <c r="BM12" s="19" t="s">
        <v>169</v>
      </c>
      <c r="BN12" s="21">
        <v>13.574999999999999</v>
      </c>
      <c r="BO12" s="21">
        <v>517.07174999999995</v>
      </c>
      <c r="BQ12" s="2"/>
      <c r="BR12" s="2"/>
      <c r="BS12" s="2"/>
      <c r="BT12" s="2"/>
      <c r="BU12" s="22"/>
      <c r="BV12" s="2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</row>
    <row r="13" spans="1:99" x14ac:dyDescent="0.25">
      <c r="A13" s="18">
        <v>10</v>
      </c>
      <c r="B13" s="19" t="s">
        <v>336</v>
      </c>
      <c r="C13" s="19" t="s">
        <v>337</v>
      </c>
      <c r="D13" s="20">
        <v>46009</v>
      </c>
      <c r="E13" s="20">
        <v>31811</v>
      </c>
      <c r="F13" s="19" t="s">
        <v>338</v>
      </c>
      <c r="G13" s="19" t="s">
        <v>139</v>
      </c>
      <c r="H13" s="19" t="s">
        <v>94</v>
      </c>
      <c r="I13" s="19"/>
      <c r="J13" s="19"/>
      <c r="K13" s="19"/>
      <c r="L13" s="19" t="s">
        <v>244</v>
      </c>
      <c r="M13" s="19" t="s">
        <v>245</v>
      </c>
      <c r="N13" s="19" t="s">
        <v>339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 t="s">
        <v>101</v>
      </c>
      <c r="Z13" s="19" t="s">
        <v>102</v>
      </c>
      <c r="AA13" s="19" t="s">
        <v>103</v>
      </c>
      <c r="AB13" s="19" t="s">
        <v>173</v>
      </c>
      <c r="AC13" s="19" t="s">
        <v>174</v>
      </c>
      <c r="AD13" s="19" t="s">
        <v>340</v>
      </c>
      <c r="AE13" s="19" t="s">
        <v>341</v>
      </c>
      <c r="AF13" s="19" t="s">
        <v>342</v>
      </c>
      <c r="AG13" s="19" t="s">
        <v>343</v>
      </c>
      <c r="AH13" s="19" t="s">
        <v>344</v>
      </c>
      <c r="AI13" s="19"/>
      <c r="AJ13" s="19" t="s">
        <v>345</v>
      </c>
      <c r="AK13" s="19"/>
      <c r="AL13" s="19" t="s">
        <v>346</v>
      </c>
      <c r="AM13" s="19" t="s">
        <v>347</v>
      </c>
      <c r="AN13" s="19" t="s">
        <v>348</v>
      </c>
      <c r="AO13" s="19" t="s">
        <v>154</v>
      </c>
      <c r="AP13" s="19" t="s">
        <v>155</v>
      </c>
      <c r="AQ13" s="19" t="s">
        <v>117</v>
      </c>
      <c r="AR13" s="19" t="s">
        <v>156</v>
      </c>
      <c r="AS13" s="19" t="s">
        <v>157</v>
      </c>
      <c r="AT13" s="19" t="s">
        <v>158</v>
      </c>
      <c r="AU13" s="19"/>
      <c r="AV13" s="19" t="s">
        <v>122</v>
      </c>
      <c r="AW13" s="19"/>
      <c r="AX13" s="19" t="s">
        <v>124</v>
      </c>
      <c r="AY13" s="19" t="s">
        <v>159</v>
      </c>
      <c r="AZ13" s="19" t="s">
        <v>160</v>
      </c>
      <c r="BA13" s="20">
        <v>44676</v>
      </c>
      <c r="BB13" s="19" t="s">
        <v>349</v>
      </c>
      <c r="BC13" s="19" t="s">
        <v>350</v>
      </c>
      <c r="BD13" s="19" t="s">
        <v>343</v>
      </c>
      <c r="BE13" s="19" t="s">
        <v>130</v>
      </c>
      <c r="BF13" s="19" t="s">
        <v>351</v>
      </c>
      <c r="BG13" s="19"/>
      <c r="BH13" s="19" t="s">
        <v>352</v>
      </c>
      <c r="BI13" s="19" t="s">
        <v>352</v>
      </c>
      <c r="BJ13" s="19" t="s">
        <v>166</v>
      </c>
      <c r="BK13" s="19" t="s">
        <v>167</v>
      </c>
      <c r="BL13" s="19" t="s">
        <v>168</v>
      </c>
      <c r="BM13" s="19" t="s">
        <v>169</v>
      </c>
      <c r="BN13" s="21">
        <v>0</v>
      </c>
      <c r="BO13" s="21">
        <v>0</v>
      </c>
      <c r="BQ13" s="2"/>
      <c r="BR13" s="2"/>
      <c r="BS13" s="2"/>
      <c r="BT13" s="2"/>
      <c r="BU13" s="22"/>
      <c r="BV13" s="2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</row>
    <row r="14" spans="1:99" x14ac:dyDescent="0.25">
      <c r="A14" s="18">
        <v>11</v>
      </c>
      <c r="B14" s="19" t="s">
        <v>353</v>
      </c>
      <c r="C14" s="19" t="s">
        <v>354</v>
      </c>
      <c r="D14" s="20">
        <v>46009</v>
      </c>
      <c r="E14" s="20">
        <v>38208</v>
      </c>
      <c r="F14" s="19"/>
      <c r="G14" s="19"/>
      <c r="H14" s="19" t="s">
        <v>94</v>
      </c>
      <c r="I14" s="19"/>
      <c r="J14" s="19"/>
      <c r="K14" s="19"/>
      <c r="L14" s="19" t="s">
        <v>101</v>
      </c>
      <c r="M14" s="19" t="s">
        <v>290</v>
      </c>
      <c r="N14" s="19" t="s">
        <v>355</v>
      </c>
      <c r="O14" s="19" t="s">
        <v>100</v>
      </c>
      <c r="P14" s="19"/>
      <c r="Q14" s="19"/>
      <c r="R14" s="19"/>
      <c r="S14" s="19"/>
      <c r="T14" s="19"/>
      <c r="U14" s="19"/>
      <c r="V14" s="19"/>
      <c r="W14" s="19"/>
      <c r="X14" s="19"/>
      <c r="Y14" s="19" t="s">
        <v>101</v>
      </c>
      <c r="Z14" s="19" t="s">
        <v>102</v>
      </c>
      <c r="AA14" s="19" t="s">
        <v>103</v>
      </c>
      <c r="AB14" s="19" t="s">
        <v>173</v>
      </c>
      <c r="AC14" s="19" t="s">
        <v>174</v>
      </c>
      <c r="AD14" s="19" t="s">
        <v>356</v>
      </c>
      <c r="AE14" s="19" t="s">
        <v>357</v>
      </c>
      <c r="AF14" s="19" t="s">
        <v>358</v>
      </c>
      <c r="AG14" s="19" t="s">
        <v>359</v>
      </c>
      <c r="AH14" s="19" t="s">
        <v>188</v>
      </c>
      <c r="AI14" s="19" t="s">
        <v>111</v>
      </c>
      <c r="AJ14" s="19" t="s">
        <v>360</v>
      </c>
      <c r="AK14" s="19"/>
      <c r="AL14" s="19"/>
      <c r="AM14" s="19" t="s">
        <v>361</v>
      </c>
      <c r="AN14" s="19" t="s">
        <v>362</v>
      </c>
      <c r="AO14" s="19" t="s">
        <v>181</v>
      </c>
      <c r="AP14" s="19" t="s">
        <v>182</v>
      </c>
      <c r="AQ14" s="19" t="s">
        <v>117</v>
      </c>
      <c r="AR14" s="19" t="s">
        <v>183</v>
      </c>
      <c r="AS14" s="19" t="s">
        <v>184</v>
      </c>
      <c r="AT14" s="19" t="s">
        <v>185</v>
      </c>
      <c r="AU14" s="19"/>
      <c r="AV14" s="19" t="s">
        <v>186</v>
      </c>
      <c r="AW14" s="19" t="s">
        <v>187</v>
      </c>
      <c r="AX14" s="19" t="s">
        <v>188</v>
      </c>
      <c r="AY14" s="19"/>
      <c r="AZ14" s="19" t="s">
        <v>189</v>
      </c>
      <c r="BA14" s="20">
        <v>44673</v>
      </c>
      <c r="BB14" s="19" t="s">
        <v>363</v>
      </c>
      <c r="BC14" s="19" t="s">
        <v>364</v>
      </c>
      <c r="BD14" s="19" t="s">
        <v>365</v>
      </c>
      <c r="BE14" s="19" t="s">
        <v>130</v>
      </c>
      <c r="BF14" s="19" t="s">
        <v>366</v>
      </c>
      <c r="BG14" s="19"/>
      <c r="BH14" s="19" t="s">
        <v>367</v>
      </c>
      <c r="BI14" s="19" t="s">
        <v>367</v>
      </c>
      <c r="BJ14" s="19" t="s">
        <v>194</v>
      </c>
      <c r="BK14" s="19" t="s">
        <v>195</v>
      </c>
      <c r="BL14" s="19" t="s">
        <v>122</v>
      </c>
      <c r="BM14" s="19" t="s">
        <v>196</v>
      </c>
      <c r="BN14" s="21">
        <v>17.896999999999998</v>
      </c>
      <c r="BO14" s="21">
        <v>633.98690739999995</v>
      </c>
      <c r="BQ14" s="2"/>
      <c r="BR14" s="2"/>
      <c r="BS14" s="2"/>
      <c r="BT14" s="2"/>
      <c r="BU14" s="22"/>
      <c r="BV14" s="2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</row>
    <row r="15" spans="1:99" x14ac:dyDescent="0.25">
      <c r="A15" s="18">
        <v>12</v>
      </c>
      <c r="B15" s="19" t="s">
        <v>368</v>
      </c>
      <c r="C15" s="19" t="s">
        <v>369</v>
      </c>
      <c r="D15" s="20">
        <v>46013</v>
      </c>
      <c r="E15" s="20">
        <v>25801</v>
      </c>
      <c r="F15" s="19" t="s">
        <v>370</v>
      </c>
      <c r="G15" s="19" t="s">
        <v>139</v>
      </c>
      <c r="H15" s="19" t="s">
        <v>94</v>
      </c>
      <c r="I15" s="19"/>
      <c r="J15" s="19"/>
      <c r="K15" s="19"/>
      <c r="L15" s="19" t="s">
        <v>244</v>
      </c>
      <c r="M15" s="19" t="s">
        <v>245</v>
      </c>
      <c r="N15" s="19" t="s">
        <v>371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 t="s">
        <v>101</v>
      </c>
      <c r="Z15" s="19" t="s">
        <v>102</v>
      </c>
      <c r="AA15" s="19" t="s">
        <v>103</v>
      </c>
      <c r="AB15" s="19" t="s">
        <v>247</v>
      </c>
      <c r="AC15" s="19" t="s">
        <v>248</v>
      </c>
      <c r="AD15" s="19" t="s">
        <v>372</v>
      </c>
      <c r="AE15" s="19" t="s">
        <v>373</v>
      </c>
      <c r="AF15" s="19" t="s">
        <v>374</v>
      </c>
      <c r="AG15" s="19" t="s">
        <v>375</v>
      </c>
      <c r="AH15" s="19" t="s">
        <v>376</v>
      </c>
      <c r="AI15" s="19" t="s">
        <v>111</v>
      </c>
      <c r="AJ15" s="19" t="s">
        <v>377</v>
      </c>
      <c r="AK15" s="19"/>
      <c r="AL15" s="19"/>
      <c r="AM15" s="19" t="s">
        <v>378</v>
      </c>
      <c r="AN15" s="19" t="s">
        <v>379</v>
      </c>
      <c r="AO15" s="19" t="s">
        <v>255</v>
      </c>
      <c r="AP15" s="19" t="s">
        <v>256</v>
      </c>
      <c r="AQ15" s="19" t="s">
        <v>117</v>
      </c>
      <c r="AR15" s="19" t="s">
        <v>257</v>
      </c>
      <c r="AS15" s="19" t="s">
        <v>258</v>
      </c>
      <c r="AT15" s="19" t="s">
        <v>259</v>
      </c>
      <c r="AU15" s="19" t="s">
        <v>260</v>
      </c>
      <c r="AV15" s="19" t="s">
        <v>260</v>
      </c>
      <c r="AW15" s="19" t="s">
        <v>261</v>
      </c>
      <c r="AX15" s="19" t="s">
        <v>262</v>
      </c>
      <c r="AY15" s="19" t="s">
        <v>263</v>
      </c>
      <c r="AZ15" s="19" t="s">
        <v>264</v>
      </c>
      <c r="BA15" s="20">
        <v>43627</v>
      </c>
      <c r="BB15" s="19" t="s">
        <v>331</v>
      </c>
      <c r="BC15" s="19" t="s">
        <v>380</v>
      </c>
      <c r="BD15" s="19" t="s">
        <v>375</v>
      </c>
      <c r="BE15" s="19" t="s">
        <v>130</v>
      </c>
      <c r="BF15" s="19" t="s">
        <v>381</v>
      </c>
      <c r="BG15" s="19"/>
      <c r="BH15" s="19" t="s">
        <v>382</v>
      </c>
      <c r="BI15" s="19" t="s">
        <v>382</v>
      </c>
      <c r="BJ15" s="19" t="s">
        <v>166</v>
      </c>
      <c r="BK15" s="19" t="s">
        <v>167</v>
      </c>
      <c r="BL15" s="19" t="s">
        <v>168</v>
      </c>
      <c r="BM15" s="19" t="s">
        <v>169</v>
      </c>
      <c r="BN15" s="21">
        <v>228.416</v>
      </c>
      <c r="BO15" s="21">
        <v>100163.2483584</v>
      </c>
      <c r="BQ15" s="2"/>
      <c r="BR15" s="2"/>
      <c r="BS15" s="2"/>
      <c r="BT15" s="2"/>
      <c r="BU15" s="22"/>
      <c r="BV15" s="2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</row>
    <row r="16" spans="1:99" x14ac:dyDescent="0.25">
      <c r="A16" s="18">
        <v>13</v>
      </c>
      <c r="B16" s="19" t="s">
        <v>383</v>
      </c>
      <c r="C16" s="19" t="s">
        <v>384</v>
      </c>
      <c r="D16" s="20">
        <v>46014</v>
      </c>
      <c r="E16" s="20">
        <v>34061</v>
      </c>
      <c r="F16" s="19" t="s">
        <v>385</v>
      </c>
      <c r="G16" s="19" t="s">
        <v>139</v>
      </c>
      <c r="H16" s="19" t="s">
        <v>94</v>
      </c>
      <c r="I16" s="19"/>
      <c r="J16" s="19"/>
      <c r="K16" s="19"/>
      <c r="L16" s="19" t="s">
        <v>244</v>
      </c>
      <c r="M16" s="19" t="s">
        <v>245</v>
      </c>
      <c r="N16" s="19" t="s">
        <v>386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 t="s">
        <v>101</v>
      </c>
      <c r="Z16" s="19" t="s">
        <v>102</v>
      </c>
      <c r="AA16" s="19" t="s">
        <v>103</v>
      </c>
      <c r="AB16" s="19" t="s">
        <v>387</v>
      </c>
      <c r="AC16" s="19" t="s">
        <v>388</v>
      </c>
      <c r="AD16" s="19" t="s">
        <v>389</v>
      </c>
      <c r="AE16" s="19" t="s">
        <v>390</v>
      </c>
      <c r="AF16" s="19" t="s">
        <v>391</v>
      </c>
      <c r="AG16" s="19" t="s">
        <v>392</v>
      </c>
      <c r="AH16" s="19" t="s">
        <v>327</v>
      </c>
      <c r="AI16" s="19" t="s">
        <v>111</v>
      </c>
      <c r="AJ16" s="19" t="s">
        <v>393</v>
      </c>
      <c r="AK16" s="19"/>
      <c r="AL16" s="19"/>
      <c r="AM16" s="19" t="s">
        <v>394</v>
      </c>
      <c r="AN16" s="19" t="s">
        <v>395</v>
      </c>
      <c r="AO16" s="19" t="s">
        <v>255</v>
      </c>
      <c r="AP16" s="19" t="s">
        <v>256</v>
      </c>
      <c r="AQ16" s="19" t="s">
        <v>117</v>
      </c>
      <c r="AR16" s="19" t="s">
        <v>257</v>
      </c>
      <c r="AS16" s="19" t="s">
        <v>258</v>
      </c>
      <c r="AT16" s="19" t="s">
        <v>259</v>
      </c>
      <c r="AU16" s="19" t="s">
        <v>260</v>
      </c>
      <c r="AV16" s="19" t="s">
        <v>260</v>
      </c>
      <c r="AW16" s="19" t="s">
        <v>261</v>
      </c>
      <c r="AX16" s="19" t="s">
        <v>262</v>
      </c>
      <c r="AY16" s="19" t="s">
        <v>263</v>
      </c>
      <c r="AZ16" s="19" t="s">
        <v>264</v>
      </c>
      <c r="BA16" s="20">
        <v>43627</v>
      </c>
      <c r="BB16" s="19" t="s">
        <v>331</v>
      </c>
      <c r="BC16" s="19" t="s">
        <v>396</v>
      </c>
      <c r="BD16" s="19" t="s">
        <v>392</v>
      </c>
      <c r="BE16" s="19" t="s">
        <v>130</v>
      </c>
      <c r="BF16" s="19" t="s">
        <v>397</v>
      </c>
      <c r="BG16" s="19"/>
      <c r="BH16" s="19" t="s">
        <v>398</v>
      </c>
      <c r="BI16" s="19" t="s">
        <v>398</v>
      </c>
      <c r="BJ16" s="19" t="s">
        <v>166</v>
      </c>
      <c r="BK16" s="19" t="s">
        <v>167</v>
      </c>
      <c r="BL16" s="19" t="s">
        <v>168</v>
      </c>
      <c r="BM16" s="19" t="s">
        <v>169</v>
      </c>
      <c r="BN16" s="21">
        <v>0.94</v>
      </c>
      <c r="BO16" s="21">
        <v>1996.1369999999999</v>
      </c>
      <c r="BQ16" s="2"/>
      <c r="BR16" s="2"/>
      <c r="BS16" s="2"/>
      <c r="BT16" s="2"/>
      <c r="BU16" s="22"/>
      <c r="BV16" s="2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</row>
    <row r="17" spans="1:95" x14ac:dyDescent="0.25">
      <c r="A17" s="18">
        <v>14</v>
      </c>
      <c r="B17" s="19" t="s">
        <v>399</v>
      </c>
      <c r="C17" s="19" t="s">
        <v>400</v>
      </c>
      <c r="D17" s="20">
        <v>46013</v>
      </c>
      <c r="E17" s="20">
        <v>22195</v>
      </c>
      <c r="F17" s="19"/>
      <c r="G17" s="19"/>
      <c r="H17" s="19" t="s">
        <v>94</v>
      </c>
      <c r="I17" s="19"/>
      <c r="J17" s="19"/>
      <c r="K17" s="19"/>
      <c r="L17" s="19"/>
      <c r="M17" s="19"/>
      <c r="N17" s="19" t="s">
        <v>401</v>
      </c>
      <c r="O17" s="19" t="s">
        <v>100</v>
      </c>
      <c r="P17" s="19"/>
      <c r="Q17" s="19"/>
      <c r="R17" s="19"/>
      <c r="S17" s="19"/>
      <c r="T17" s="19"/>
      <c r="U17" s="19"/>
      <c r="V17" s="19"/>
      <c r="W17" s="19"/>
      <c r="X17" s="19"/>
      <c r="Y17" s="19" t="s">
        <v>101</v>
      </c>
      <c r="Z17" s="19" t="s">
        <v>102</v>
      </c>
      <c r="AA17" s="19" t="s">
        <v>103</v>
      </c>
      <c r="AB17" s="19" t="s">
        <v>402</v>
      </c>
      <c r="AC17" s="19" t="s">
        <v>403</v>
      </c>
      <c r="AD17" s="19" t="s">
        <v>404</v>
      </c>
      <c r="AE17" s="19" t="s">
        <v>405</v>
      </c>
      <c r="AF17" s="19" t="s">
        <v>406</v>
      </c>
      <c r="AG17" s="19" t="s">
        <v>407</v>
      </c>
      <c r="AH17" s="19" t="s">
        <v>376</v>
      </c>
      <c r="AI17" s="19" t="s">
        <v>111</v>
      </c>
      <c r="AJ17" s="19" t="s">
        <v>408</v>
      </c>
      <c r="AK17" s="19"/>
      <c r="AL17" s="19"/>
      <c r="AM17" s="19" t="s">
        <v>409</v>
      </c>
      <c r="AN17" s="19" t="s">
        <v>410</v>
      </c>
      <c r="AO17" s="19" t="s">
        <v>411</v>
      </c>
      <c r="AP17" s="19" t="s">
        <v>412</v>
      </c>
      <c r="AQ17" s="19" t="s">
        <v>117</v>
      </c>
      <c r="AR17" s="19" t="s">
        <v>413</v>
      </c>
      <c r="AS17" s="19" t="s">
        <v>414</v>
      </c>
      <c r="AT17" s="19" t="s">
        <v>415</v>
      </c>
      <c r="AU17" s="19"/>
      <c r="AV17" s="19" t="s">
        <v>416</v>
      </c>
      <c r="AW17" s="19" t="s">
        <v>417</v>
      </c>
      <c r="AX17" s="19" t="s">
        <v>376</v>
      </c>
      <c r="AY17" s="19" t="s">
        <v>418</v>
      </c>
      <c r="AZ17" s="19" t="s">
        <v>419</v>
      </c>
      <c r="BA17" s="20">
        <v>44824</v>
      </c>
      <c r="BB17" s="19" t="s">
        <v>331</v>
      </c>
      <c r="BC17" s="19" t="s">
        <v>420</v>
      </c>
      <c r="BD17" s="19" t="s">
        <v>407</v>
      </c>
      <c r="BE17" s="19" t="s">
        <v>130</v>
      </c>
      <c r="BF17" s="19" t="s">
        <v>421</v>
      </c>
      <c r="BG17" s="19" t="s">
        <v>422</v>
      </c>
      <c r="BH17" s="19" t="s">
        <v>423</v>
      </c>
      <c r="BI17" s="19" t="s">
        <v>423</v>
      </c>
      <c r="BJ17" s="19" t="s">
        <v>166</v>
      </c>
      <c r="BK17" s="19" t="s">
        <v>424</v>
      </c>
      <c r="BL17" s="19" t="s">
        <v>416</v>
      </c>
      <c r="BM17" s="19" t="s">
        <v>196</v>
      </c>
      <c r="BN17" s="21">
        <v>120.54300000000001</v>
      </c>
      <c r="BO17" s="21">
        <v>228227.67819000001</v>
      </c>
      <c r="BQ17" s="2"/>
      <c r="BR17" s="2"/>
      <c r="BS17" s="2"/>
      <c r="BT17" s="2"/>
      <c r="BU17" s="22"/>
      <c r="BV17" s="2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</row>
    <row r="18" spans="1:95" x14ac:dyDescent="0.25">
      <c r="A18" s="18">
        <v>15</v>
      </c>
      <c r="B18" s="19" t="s">
        <v>425</v>
      </c>
      <c r="C18" s="19" t="s">
        <v>426</v>
      </c>
      <c r="D18" s="20">
        <v>46014</v>
      </c>
      <c r="E18" s="20">
        <v>29357</v>
      </c>
      <c r="F18" s="19"/>
      <c r="G18" s="19"/>
      <c r="H18" s="19" t="s">
        <v>94</v>
      </c>
      <c r="I18" s="19"/>
      <c r="J18" s="19"/>
      <c r="K18" s="19"/>
      <c r="L18" s="19" t="s">
        <v>244</v>
      </c>
      <c r="M18" s="19" t="s">
        <v>245</v>
      </c>
      <c r="N18" s="19" t="s">
        <v>427</v>
      </c>
      <c r="O18" s="19" t="s">
        <v>100</v>
      </c>
      <c r="P18" s="19"/>
      <c r="Q18" s="19"/>
      <c r="R18" s="19"/>
      <c r="S18" s="19"/>
      <c r="T18" s="19"/>
      <c r="U18" s="19"/>
      <c r="V18" s="19"/>
      <c r="W18" s="19"/>
      <c r="X18" s="19"/>
      <c r="Y18" s="19" t="s">
        <v>101</v>
      </c>
      <c r="Z18" s="19" t="s">
        <v>102</v>
      </c>
      <c r="AA18" s="19" t="s">
        <v>103</v>
      </c>
      <c r="AB18" s="19" t="s">
        <v>428</v>
      </c>
      <c r="AC18" s="19" t="s">
        <v>429</v>
      </c>
      <c r="AD18" s="19" t="s">
        <v>430</v>
      </c>
      <c r="AE18" s="19" t="s">
        <v>431</v>
      </c>
      <c r="AF18" s="19"/>
      <c r="AG18" s="19" t="s">
        <v>219</v>
      </c>
      <c r="AH18" s="19" t="s">
        <v>124</v>
      </c>
      <c r="AI18" s="19" t="s">
        <v>111</v>
      </c>
      <c r="AJ18" s="19" t="s">
        <v>432</v>
      </c>
      <c r="AK18" s="19"/>
      <c r="AL18" s="19"/>
      <c r="AM18" s="19" t="s">
        <v>433</v>
      </c>
      <c r="AN18" s="19" t="s">
        <v>434</v>
      </c>
      <c r="AO18" s="19" t="s">
        <v>435</v>
      </c>
      <c r="AP18" s="19" t="s">
        <v>436</v>
      </c>
      <c r="AQ18" s="19" t="s">
        <v>117</v>
      </c>
      <c r="AR18" s="19" t="s">
        <v>437</v>
      </c>
      <c r="AS18" s="19" t="s">
        <v>438</v>
      </c>
      <c r="AT18" s="19" t="s">
        <v>439</v>
      </c>
      <c r="AU18" s="19" t="s">
        <v>440</v>
      </c>
      <c r="AV18" s="19" t="s">
        <v>148</v>
      </c>
      <c r="AW18" s="19" t="s">
        <v>441</v>
      </c>
      <c r="AX18" s="19" t="s">
        <v>149</v>
      </c>
      <c r="AY18" s="19" t="s">
        <v>442</v>
      </c>
      <c r="AZ18" s="19" t="s">
        <v>443</v>
      </c>
      <c r="BA18" s="20">
        <v>43704</v>
      </c>
      <c r="BB18" s="19" t="s">
        <v>444</v>
      </c>
      <c r="BC18" s="19" t="s">
        <v>445</v>
      </c>
      <c r="BD18" s="19" t="s">
        <v>219</v>
      </c>
      <c r="BE18" s="19" t="s">
        <v>130</v>
      </c>
      <c r="BF18" s="19" t="s">
        <v>446</v>
      </c>
      <c r="BG18" s="19" t="s">
        <v>447</v>
      </c>
      <c r="BH18" s="19" t="s">
        <v>448</v>
      </c>
      <c r="BI18" s="19" t="s">
        <v>448</v>
      </c>
      <c r="BJ18" s="19" t="s">
        <v>166</v>
      </c>
      <c r="BK18" s="19" t="s">
        <v>221</v>
      </c>
      <c r="BL18" s="19" t="s">
        <v>222</v>
      </c>
      <c r="BM18" s="19" t="s">
        <v>169</v>
      </c>
      <c r="BN18" s="21">
        <v>6512.0749999999998</v>
      </c>
      <c r="BO18" s="21">
        <v>250724.65561250001</v>
      </c>
      <c r="BQ18" s="2"/>
      <c r="BR18" s="2"/>
      <c r="BS18" s="2"/>
      <c r="BT18" s="2"/>
      <c r="BU18" s="22"/>
      <c r="BV18" s="2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</row>
    <row r="19" spans="1:95" x14ac:dyDescent="0.25">
      <c r="A19" s="18">
        <v>16</v>
      </c>
      <c r="B19" s="19" t="s">
        <v>449</v>
      </c>
      <c r="C19" s="19" t="s">
        <v>450</v>
      </c>
      <c r="D19" s="20">
        <v>46021</v>
      </c>
      <c r="E19" s="20">
        <v>35111</v>
      </c>
      <c r="F19" s="19" t="s">
        <v>451</v>
      </c>
      <c r="G19" s="19" t="s">
        <v>139</v>
      </c>
      <c r="H19" s="19" t="s">
        <v>94</v>
      </c>
      <c r="I19" s="19"/>
      <c r="J19" s="19"/>
      <c r="K19" s="19"/>
      <c r="L19" s="19" t="s">
        <v>244</v>
      </c>
      <c r="M19" s="19" t="s">
        <v>245</v>
      </c>
      <c r="N19" s="19" t="s">
        <v>452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 t="s">
        <v>101</v>
      </c>
      <c r="Z19" s="19" t="s">
        <v>102</v>
      </c>
      <c r="AA19" s="19" t="s">
        <v>103</v>
      </c>
      <c r="AB19" s="19" t="s">
        <v>173</v>
      </c>
      <c r="AC19" s="19" t="s">
        <v>174</v>
      </c>
      <c r="AD19" s="19" t="s">
        <v>453</v>
      </c>
      <c r="AE19" s="19" t="s">
        <v>454</v>
      </c>
      <c r="AF19" s="19" t="s">
        <v>455</v>
      </c>
      <c r="AG19" s="19" t="s">
        <v>456</v>
      </c>
      <c r="AH19" s="19" t="s">
        <v>149</v>
      </c>
      <c r="AI19" s="19" t="s">
        <v>111</v>
      </c>
      <c r="AJ19" s="19" t="s">
        <v>457</v>
      </c>
      <c r="AK19" s="19"/>
      <c r="AL19" s="19"/>
      <c r="AM19" s="19" t="s">
        <v>458</v>
      </c>
      <c r="AN19" s="19" t="s">
        <v>459</v>
      </c>
      <c r="AO19" s="19" t="s">
        <v>255</v>
      </c>
      <c r="AP19" s="19" t="s">
        <v>256</v>
      </c>
      <c r="AQ19" s="19" t="s">
        <v>117</v>
      </c>
      <c r="AR19" s="19" t="s">
        <v>257</v>
      </c>
      <c r="AS19" s="19" t="s">
        <v>258</v>
      </c>
      <c r="AT19" s="19" t="s">
        <v>259</v>
      </c>
      <c r="AU19" s="19" t="s">
        <v>260</v>
      </c>
      <c r="AV19" s="19" t="s">
        <v>260</v>
      </c>
      <c r="AW19" s="19" t="s">
        <v>261</v>
      </c>
      <c r="AX19" s="19" t="s">
        <v>262</v>
      </c>
      <c r="AY19" s="19" t="s">
        <v>263</v>
      </c>
      <c r="AZ19" s="19" t="s">
        <v>264</v>
      </c>
      <c r="BA19" s="20">
        <v>43627</v>
      </c>
      <c r="BB19" s="19" t="s">
        <v>460</v>
      </c>
      <c r="BC19" s="19" t="s">
        <v>461</v>
      </c>
      <c r="BD19" s="19" t="s">
        <v>148</v>
      </c>
      <c r="BE19" s="19" t="s">
        <v>130</v>
      </c>
      <c r="BF19" s="19" t="s">
        <v>462</v>
      </c>
      <c r="BG19" s="19"/>
      <c r="BH19" s="19" t="s">
        <v>463</v>
      </c>
      <c r="BI19" s="19" t="s">
        <v>463</v>
      </c>
      <c r="BJ19" s="19" t="s">
        <v>166</v>
      </c>
      <c r="BK19" s="19" t="s">
        <v>167</v>
      </c>
      <c r="BL19" s="19" t="s">
        <v>168</v>
      </c>
      <c r="BM19" s="19" t="s">
        <v>169</v>
      </c>
      <c r="BN19" s="21">
        <v>275.84199999999998</v>
      </c>
      <c r="BO19" s="21">
        <v>9771.4821764000008</v>
      </c>
      <c r="BQ19" s="2"/>
      <c r="BR19" s="2"/>
      <c r="BS19" s="2"/>
      <c r="BT19" s="2"/>
      <c r="BU19" s="22"/>
      <c r="BV19" s="2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</row>
    <row r="20" spans="1:95" x14ac:dyDescent="0.25">
      <c r="A20" s="18">
        <v>17</v>
      </c>
      <c r="B20" s="19" t="s">
        <v>464</v>
      </c>
      <c r="C20" s="19" t="s">
        <v>465</v>
      </c>
      <c r="D20" s="20">
        <v>46022</v>
      </c>
      <c r="E20" s="20">
        <v>32347</v>
      </c>
      <c r="F20" s="19" t="s">
        <v>466</v>
      </c>
      <c r="G20" s="19" t="s">
        <v>139</v>
      </c>
      <c r="H20" s="19" t="s">
        <v>94</v>
      </c>
      <c r="I20" s="19"/>
      <c r="J20" s="19"/>
      <c r="K20" s="19"/>
      <c r="L20" s="19" t="s">
        <v>467</v>
      </c>
      <c r="M20" s="19" t="s">
        <v>468</v>
      </c>
      <c r="N20" s="19" t="s">
        <v>469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 t="s">
        <v>101</v>
      </c>
      <c r="Z20" s="19" t="s">
        <v>102</v>
      </c>
      <c r="AA20" s="19" t="s">
        <v>103</v>
      </c>
      <c r="AB20" s="19" t="s">
        <v>143</v>
      </c>
      <c r="AC20" s="19" t="s">
        <v>144</v>
      </c>
      <c r="AD20" s="19" t="s">
        <v>470</v>
      </c>
      <c r="AE20" s="19" t="s">
        <v>471</v>
      </c>
      <c r="AF20" s="19"/>
      <c r="AG20" s="19" t="s">
        <v>472</v>
      </c>
      <c r="AH20" s="19" t="s">
        <v>188</v>
      </c>
      <c r="AI20" s="19" t="s">
        <v>111</v>
      </c>
      <c r="AJ20" s="19" t="s">
        <v>473</v>
      </c>
      <c r="AK20" s="19"/>
      <c r="AL20" s="19"/>
      <c r="AM20" s="19" t="s">
        <v>474</v>
      </c>
      <c r="AN20" s="19" t="s">
        <v>475</v>
      </c>
      <c r="AO20" s="19" t="s">
        <v>476</v>
      </c>
      <c r="AP20" s="19" t="s">
        <v>477</v>
      </c>
      <c r="AQ20" s="19" t="s">
        <v>117</v>
      </c>
      <c r="AR20" s="19" t="s">
        <v>478</v>
      </c>
      <c r="AS20" s="19"/>
      <c r="AT20" s="19"/>
      <c r="AU20" s="19"/>
      <c r="AV20" s="19"/>
      <c r="AW20" s="19"/>
      <c r="AX20" s="19"/>
      <c r="AY20" s="19"/>
      <c r="AZ20" s="19"/>
      <c r="BA20" s="20">
        <v>44452</v>
      </c>
      <c r="BB20" s="19" t="s">
        <v>479</v>
      </c>
      <c r="BC20" s="19" t="s">
        <v>480</v>
      </c>
      <c r="BD20" s="19" t="s">
        <v>481</v>
      </c>
      <c r="BE20" s="19" t="s">
        <v>130</v>
      </c>
      <c r="BF20" s="19" t="s">
        <v>482</v>
      </c>
      <c r="BG20" s="19"/>
      <c r="BH20" s="19" t="s">
        <v>483</v>
      </c>
      <c r="BI20" s="19" t="s">
        <v>483</v>
      </c>
      <c r="BJ20" s="19" t="s">
        <v>166</v>
      </c>
      <c r="BK20" s="19" t="s">
        <v>167</v>
      </c>
      <c r="BL20" s="19" t="s">
        <v>168</v>
      </c>
      <c r="BM20" s="19" t="s">
        <v>169</v>
      </c>
      <c r="BN20" s="21">
        <v>262.52300000000002</v>
      </c>
      <c r="BO20" s="21">
        <v>9999.5010700000003</v>
      </c>
      <c r="BQ20" s="2"/>
      <c r="BR20" s="2"/>
      <c r="BS20" s="2"/>
      <c r="BT20" s="2"/>
      <c r="BU20" s="22"/>
      <c r="BV20" s="2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</row>
    <row r="21" spans="1:95" x14ac:dyDescent="0.25">
      <c r="A21" s="18">
        <v>18</v>
      </c>
      <c r="B21" s="19" t="s">
        <v>484</v>
      </c>
      <c r="C21" s="19" t="s">
        <v>485</v>
      </c>
      <c r="D21" s="20">
        <v>46022</v>
      </c>
      <c r="E21" s="20">
        <v>36161</v>
      </c>
      <c r="F21" s="19"/>
      <c r="G21" s="19"/>
      <c r="H21" s="19" t="s">
        <v>94</v>
      </c>
      <c r="I21" s="19"/>
      <c r="J21" s="19"/>
      <c r="K21" s="19"/>
      <c r="L21" s="19" t="s">
        <v>289</v>
      </c>
      <c r="M21" s="19" t="s">
        <v>290</v>
      </c>
      <c r="N21" s="19" t="s">
        <v>486</v>
      </c>
      <c r="O21" s="19" t="s">
        <v>100</v>
      </c>
      <c r="P21" s="19"/>
      <c r="Q21" s="19"/>
      <c r="R21" s="19"/>
      <c r="S21" s="19"/>
      <c r="T21" s="19"/>
      <c r="U21" s="19"/>
      <c r="V21" s="19"/>
      <c r="W21" s="19"/>
      <c r="X21" s="19"/>
      <c r="Y21" s="19" t="s">
        <v>101</v>
      </c>
      <c r="Z21" s="19" t="s">
        <v>102</v>
      </c>
      <c r="AA21" s="19" t="s">
        <v>103</v>
      </c>
      <c r="AB21" s="19" t="s">
        <v>487</v>
      </c>
      <c r="AC21" s="19" t="s">
        <v>488</v>
      </c>
      <c r="AD21" s="19" t="s">
        <v>489</v>
      </c>
      <c r="AE21" s="19"/>
      <c r="AF21" s="19"/>
      <c r="AG21" s="19" t="s">
        <v>490</v>
      </c>
      <c r="AH21" s="19" t="s">
        <v>262</v>
      </c>
      <c r="AI21" s="19" t="s">
        <v>111</v>
      </c>
      <c r="AJ21" s="19" t="s">
        <v>491</v>
      </c>
      <c r="AK21" s="19"/>
      <c r="AL21" s="19"/>
      <c r="AM21" s="19" t="s">
        <v>492</v>
      </c>
      <c r="AN21" s="19" t="s">
        <v>493</v>
      </c>
      <c r="AO21" s="19" t="s">
        <v>494</v>
      </c>
      <c r="AP21" s="19" t="s">
        <v>495</v>
      </c>
      <c r="AQ21" s="19" t="s">
        <v>117</v>
      </c>
      <c r="AR21" s="19" t="s">
        <v>496</v>
      </c>
      <c r="AS21" s="19" t="s">
        <v>497</v>
      </c>
      <c r="AT21" s="19" t="s">
        <v>498</v>
      </c>
      <c r="AU21" s="19" t="s">
        <v>499</v>
      </c>
      <c r="AV21" s="19" t="s">
        <v>168</v>
      </c>
      <c r="AW21" s="19" t="s">
        <v>500</v>
      </c>
      <c r="AX21" s="19" t="s">
        <v>262</v>
      </c>
      <c r="AY21" s="19" t="s">
        <v>501</v>
      </c>
      <c r="AZ21" s="19" t="s">
        <v>502</v>
      </c>
      <c r="BA21" s="20">
        <v>45832</v>
      </c>
      <c r="BB21" s="19" t="s">
        <v>161</v>
      </c>
      <c r="BC21" s="19" t="s">
        <v>503</v>
      </c>
      <c r="BD21" s="19" t="s">
        <v>260</v>
      </c>
      <c r="BE21" s="19" t="s">
        <v>130</v>
      </c>
      <c r="BF21" s="19" t="s">
        <v>504</v>
      </c>
      <c r="BG21" s="19"/>
      <c r="BH21" s="19" t="s">
        <v>505</v>
      </c>
      <c r="BI21" s="19" t="s">
        <v>505</v>
      </c>
      <c r="BJ21" s="19" t="s">
        <v>166</v>
      </c>
      <c r="BK21" s="19" t="s">
        <v>167</v>
      </c>
      <c r="BL21" s="19" t="s">
        <v>168</v>
      </c>
      <c r="BM21" s="19" t="s">
        <v>169</v>
      </c>
      <c r="BN21" s="21">
        <v>0.23100000000000001</v>
      </c>
      <c r="BO21" s="21">
        <v>100.02457080000001</v>
      </c>
      <c r="BQ21" s="2"/>
      <c r="BR21" s="2"/>
      <c r="BS21" s="2"/>
      <c r="BT21" s="2"/>
      <c r="BU21" s="22"/>
      <c r="BV21" s="2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</row>
    <row r="22" spans="1:95" x14ac:dyDescent="0.25">
      <c r="A22" s="18">
        <v>19</v>
      </c>
      <c r="B22" s="19" t="s">
        <v>506</v>
      </c>
      <c r="C22" s="19" t="s">
        <v>507</v>
      </c>
      <c r="D22" s="20">
        <v>45999</v>
      </c>
      <c r="E22" s="20">
        <v>25539</v>
      </c>
      <c r="F22" s="19"/>
      <c r="G22" s="19"/>
      <c r="H22" s="19" t="s">
        <v>94</v>
      </c>
      <c r="I22" s="19"/>
      <c r="J22" s="19"/>
      <c r="K22" s="19"/>
      <c r="L22" s="19" t="s">
        <v>140</v>
      </c>
      <c r="M22" s="19" t="s">
        <v>141</v>
      </c>
      <c r="N22" s="19" t="s">
        <v>508</v>
      </c>
      <c r="O22" s="19" t="s">
        <v>100</v>
      </c>
      <c r="P22" s="19"/>
      <c r="Q22" s="19"/>
      <c r="R22" s="19"/>
      <c r="S22" s="19"/>
      <c r="T22" s="19"/>
      <c r="U22" s="19"/>
      <c r="V22" s="19"/>
      <c r="W22" s="19"/>
      <c r="X22" s="19"/>
      <c r="Y22" s="19" t="s">
        <v>101</v>
      </c>
      <c r="Z22" s="19" t="s">
        <v>102</v>
      </c>
      <c r="AA22" s="19" t="s">
        <v>103</v>
      </c>
      <c r="AB22" s="19" t="s">
        <v>509</v>
      </c>
      <c r="AC22" s="19" t="s">
        <v>510</v>
      </c>
      <c r="AD22" s="19" t="s">
        <v>511</v>
      </c>
      <c r="AE22" s="19" t="s">
        <v>512</v>
      </c>
      <c r="AF22" s="19" t="s">
        <v>513</v>
      </c>
      <c r="AG22" s="19" t="s">
        <v>514</v>
      </c>
      <c r="AH22" s="19" t="s">
        <v>515</v>
      </c>
      <c r="AI22" s="19" t="s">
        <v>111</v>
      </c>
      <c r="AJ22" s="19" t="s">
        <v>516</v>
      </c>
      <c r="AK22" s="19"/>
      <c r="AL22" s="19"/>
      <c r="AM22" s="19" t="s">
        <v>517</v>
      </c>
      <c r="AN22" s="19" t="s">
        <v>518</v>
      </c>
      <c r="AO22" s="19" t="s">
        <v>519</v>
      </c>
      <c r="AP22" s="19" t="s">
        <v>520</v>
      </c>
      <c r="AQ22" s="19" t="s">
        <v>117</v>
      </c>
      <c r="AR22" s="19" t="s">
        <v>521</v>
      </c>
      <c r="AS22" s="19" t="s">
        <v>522</v>
      </c>
      <c r="AT22" s="19" t="s">
        <v>523</v>
      </c>
      <c r="AU22" s="19" t="s">
        <v>524</v>
      </c>
      <c r="AV22" s="19" t="s">
        <v>260</v>
      </c>
      <c r="AW22" s="19" t="s">
        <v>525</v>
      </c>
      <c r="AX22" s="19"/>
      <c r="AY22" s="19" t="s">
        <v>526</v>
      </c>
      <c r="AZ22" s="19" t="s">
        <v>527</v>
      </c>
      <c r="BA22" s="20">
        <v>42669</v>
      </c>
      <c r="BB22" s="19" t="s">
        <v>444</v>
      </c>
      <c r="BC22" s="19" t="s">
        <v>528</v>
      </c>
      <c r="BD22" s="19" t="s">
        <v>514</v>
      </c>
      <c r="BE22" s="19" t="s">
        <v>130</v>
      </c>
      <c r="BF22" s="19" t="s">
        <v>529</v>
      </c>
      <c r="BG22" s="19"/>
      <c r="BH22" s="19" t="s">
        <v>530</v>
      </c>
      <c r="BI22" s="19" t="s">
        <v>530</v>
      </c>
      <c r="BJ22" s="19" t="s">
        <v>194</v>
      </c>
      <c r="BK22" s="19" t="s">
        <v>195</v>
      </c>
      <c r="BL22" s="19" t="s">
        <v>122</v>
      </c>
      <c r="BM22" s="19" t="s">
        <v>196</v>
      </c>
      <c r="BN22" s="21">
        <v>1601.8009999999999</v>
      </c>
      <c r="BO22" s="21">
        <v>200993.98947999999</v>
      </c>
      <c r="BQ22" s="2"/>
      <c r="BR22" s="2"/>
      <c r="BS22" s="2"/>
      <c r="BT22" s="2"/>
      <c r="BU22" s="22"/>
      <c r="BV22" s="2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</row>
    <row r="23" spans="1:95" x14ac:dyDescent="0.25">
      <c r="A23" s="18">
        <v>20</v>
      </c>
      <c r="B23" s="19" t="s">
        <v>531</v>
      </c>
      <c r="C23" s="19" t="s">
        <v>532</v>
      </c>
      <c r="D23" s="20">
        <v>45992</v>
      </c>
      <c r="E23" s="20">
        <v>37771</v>
      </c>
      <c r="F23" s="19"/>
      <c r="G23" s="19"/>
      <c r="H23" s="19" t="s">
        <v>94</v>
      </c>
      <c r="I23" s="19"/>
      <c r="J23" s="19"/>
      <c r="K23" s="19"/>
      <c r="L23" s="19" t="s">
        <v>244</v>
      </c>
      <c r="M23" s="19" t="s">
        <v>245</v>
      </c>
      <c r="N23" s="19" t="s">
        <v>533</v>
      </c>
      <c r="O23" s="19" t="s">
        <v>100</v>
      </c>
      <c r="P23" s="19"/>
      <c r="Q23" s="19"/>
      <c r="R23" s="19"/>
      <c r="S23" s="19"/>
      <c r="T23" s="19"/>
      <c r="U23" s="19"/>
      <c r="V23" s="19"/>
      <c r="W23" s="19"/>
      <c r="X23" s="19"/>
      <c r="Y23" s="19" t="s">
        <v>101</v>
      </c>
      <c r="Z23" s="19" t="s">
        <v>102</v>
      </c>
      <c r="AA23" s="19" t="s">
        <v>103</v>
      </c>
      <c r="AB23" s="19" t="s">
        <v>143</v>
      </c>
      <c r="AC23" s="19" t="s">
        <v>144</v>
      </c>
      <c r="AD23" s="19" t="s">
        <v>534</v>
      </c>
      <c r="AE23" s="19" t="s">
        <v>535</v>
      </c>
      <c r="AF23" s="19"/>
      <c r="AG23" s="19" t="s">
        <v>536</v>
      </c>
      <c r="AH23" s="19" t="s">
        <v>262</v>
      </c>
      <c r="AI23" s="19" t="s">
        <v>111</v>
      </c>
      <c r="AJ23" s="19" t="s">
        <v>537</v>
      </c>
      <c r="AK23" s="19"/>
      <c r="AL23" s="19"/>
      <c r="AM23" s="19" t="s">
        <v>538</v>
      </c>
      <c r="AN23" s="19" t="s">
        <v>539</v>
      </c>
      <c r="AO23" s="19" t="s">
        <v>255</v>
      </c>
      <c r="AP23" s="19" t="s">
        <v>256</v>
      </c>
      <c r="AQ23" s="19" t="s">
        <v>117</v>
      </c>
      <c r="AR23" s="19" t="s">
        <v>257</v>
      </c>
      <c r="AS23" s="19" t="s">
        <v>258</v>
      </c>
      <c r="AT23" s="19" t="s">
        <v>259</v>
      </c>
      <c r="AU23" s="19" t="s">
        <v>260</v>
      </c>
      <c r="AV23" s="19" t="s">
        <v>260</v>
      </c>
      <c r="AW23" s="19" t="s">
        <v>261</v>
      </c>
      <c r="AX23" s="19" t="s">
        <v>262</v>
      </c>
      <c r="AY23" s="19" t="s">
        <v>263</v>
      </c>
      <c r="AZ23" s="19" t="s">
        <v>264</v>
      </c>
      <c r="BA23" s="20">
        <v>43627</v>
      </c>
      <c r="BB23" s="19" t="s">
        <v>540</v>
      </c>
      <c r="BC23" s="19" t="s">
        <v>541</v>
      </c>
      <c r="BD23" s="19" t="s">
        <v>541</v>
      </c>
      <c r="BE23" s="19" t="s">
        <v>130</v>
      </c>
      <c r="BF23" s="19" t="s">
        <v>542</v>
      </c>
      <c r="BG23" s="19"/>
      <c r="BH23" s="19" t="s">
        <v>543</v>
      </c>
      <c r="BI23" s="19" t="s">
        <v>543</v>
      </c>
      <c r="BJ23" s="19" t="s">
        <v>194</v>
      </c>
      <c r="BK23" s="19" t="s">
        <v>195</v>
      </c>
      <c r="BL23" s="19" t="s">
        <v>122</v>
      </c>
      <c r="BM23" s="19" t="s">
        <v>196</v>
      </c>
      <c r="BN23" s="21">
        <v>2.653</v>
      </c>
      <c r="BO23" s="21">
        <v>101.05277</v>
      </c>
      <c r="BQ23" s="2"/>
      <c r="BR23" s="2"/>
      <c r="BS23" s="2"/>
      <c r="BT23" s="2"/>
      <c r="BU23" s="22"/>
      <c r="BV23" s="2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</row>
    <row r="24" spans="1:95" x14ac:dyDescent="0.25">
      <c r="A24" s="18">
        <v>21</v>
      </c>
      <c r="B24" s="19" t="s">
        <v>544</v>
      </c>
      <c r="C24" s="19" t="s">
        <v>545</v>
      </c>
      <c r="D24" s="20">
        <v>46017</v>
      </c>
      <c r="E24" s="20">
        <v>37353</v>
      </c>
      <c r="F24" s="19"/>
      <c r="G24" s="19"/>
      <c r="H24" s="19" t="s">
        <v>94</v>
      </c>
      <c r="I24" s="19"/>
      <c r="J24" s="19" t="s">
        <v>287</v>
      </c>
      <c r="K24" s="19" t="s">
        <v>288</v>
      </c>
      <c r="L24" s="19" t="s">
        <v>97</v>
      </c>
      <c r="M24" s="19" t="s">
        <v>98</v>
      </c>
      <c r="N24" s="19" t="s">
        <v>546</v>
      </c>
      <c r="O24" s="19" t="s">
        <v>100</v>
      </c>
      <c r="P24" s="19"/>
      <c r="Q24" s="19"/>
      <c r="R24" s="19"/>
      <c r="S24" s="19"/>
      <c r="T24" s="19"/>
      <c r="U24" s="19"/>
      <c r="V24" s="19"/>
      <c r="W24" s="19"/>
      <c r="X24" s="19"/>
      <c r="Y24" s="19" t="s">
        <v>101</v>
      </c>
      <c r="Z24" s="19" t="s">
        <v>102</v>
      </c>
      <c r="AA24" s="19" t="s">
        <v>103</v>
      </c>
      <c r="AB24" s="19" t="s">
        <v>547</v>
      </c>
      <c r="AC24" s="19" t="s">
        <v>548</v>
      </c>
      <c r="AD24" s="19" t="s">
        <v>549</v>
      </c>
      <c r="AE24" s="19" t="s">
        <v>550</v>
      </c>
      <c r="AF24" s="19"/>
      <c r="AG24" s="19" t="s">
        <v>343</v>
      </c>
      <c r="AH24" s="19" t="s">
        <v>298</v>
      </c>
      <c r="AI24" s="19" t="s">
        <v>111</v>
      </c>
      <c r="AJ24" s="19" t="s">
        <v>551</v>
      </c>
      <c r="AK24" s="19"/>
      <c r="AL24" s="19"/>
      <c r="AM24" s="19" t="s">
        <v>552</v>
      </c>
      <c r="AN24" s="19" t="s">
        <v>553</v>
      </c>
      <c r="AO24" s="19" t="s">
        <v>554</v>
      </c>
      <c r="AP24" s="19" t="s">
        <v>555</v>
      </c>
      <c r="AQ24" s="19" t="s">
        <v>117</v>
      </c>
      <c r="AR24" s="19" t="s">
        <v>556</v>
      </c>
      <c r="AS24" s="19" t="s">
        <v>557</v>
      </c>
      <c r="AT24" s="19" t="s">
        <v>558</v>
      </c>
      <c r="AU24" s="19"/>
      <c r="AV24" s="19" t="s">
        <v>559</v>
      </c>
      <c r="AW24" s="19" t="s">
        <v>560</v>
      </c>
      <c r="AX24" s="19" t="s">
        <v>309</v>
      </c>
      <c r="AY24" s="19" t="s">
        <v>561</v>
      </c>
      <c r="AZ24" s="19" t="s">
        <v>562</v>
      </c>
      <c r="BA24" s="20">
        <v>39160</v>
      </c>
      <c r="BB24" s="19" t="s">
        <v>331</v>
      </c>
      <c r="BC24" s="19" t="s">
        <v>563</v>
      </c>
      <c r="BD24" s="19" t="s">
        <v>343</v>
      </c>
      <c r="BE24" s="19" t="s">
        <v>130</v>
      </c>
      <c r="BF24" s="19" t="s">
        <v>564</v>
      </c>
      <c r="BG24" s="19"/>
      <c r="BH24" s="19" t="s">
        <v>565</v>
      </c>
      <c r="BI24" s="19" t="s">
        <v>565</v>
      </c>
      <c r="BJ24" s="19"/>
      <c r="BK24" s="19" t="s">
        <v>566</v>
      </c>
      <c r="BL24" s="19" t="s">
        <v>559</v>
      </c>
      <c r="BM24" s="19" t="s">
        <v>135</v>
      </c>
      <c r="BN24" s="21">
        <v>0</v>
      </c>
      <c r="BO24" s="21">
        <v>0</v>
      </c>
      <c r="BQ24" s="2"/>
      <c r="BR24" s="2"/>
      <c r="BS24" s="2"/>
      <c r="BT24" s="2"/>
      <c r="BU24" s="22"/>
      <c r="BV24" s="2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</row>
    <row r="25" spans="1:95" x14ac:dyDescent="0.25">
      <c r="A25" s="18">
        <v>22</v>
      </c>
      <c r="B25" s="19" t="s">
        <v>567</v>
      </c>
      <c r="C25" s="19" t="s">
        <v>568</v>
      </c>
      <c r="D25" s="20">
        <v>45992</v>
      </c>
      <c r="E25" s="20">
        <v>30707</v>
      </c>
      <c r="F25" s="19"/>
      <c r="G25" s="19"/>
      <c r="H25" s="19" t="s">
        <v>94</v>
      </c>
      <c r="I25" s="19"/>
      <c r="J25" s="19"/>
      <c r="K25" s="19"/>
      <c r="L25" s="19" t="s">
        <v>140</v>
      </c>
      <c r="M25" s="19" t="s">
        <v>141</v>
      </c>
      <c r="N25" s="19" t="s">
        <v>569</v>
      </c>
      <c r="O25" s="19" t="s">
        <v>100</v>
      </c>
      <c r="P25" s="19"/>
      <c r="Q25" s="19"/>
      <c r="R25" s="19"/>
      <c r="S25" s="19"/>
      <c r="T25" s="19"/>
      <c r="U25" s="19"/>
      <c r="V25" s="19"/>
      <c r="W25" s="19"/>
      <c r="X25" s="19"/>
      <c r="Y25" s="19" t="s">
        <v>101</v>
      </c>
      <c r="Z25" s="19" t="s">
        <v>102</v>
      </c>
      <c r="AA25" s="19" t="s">
        <v>103</v>
      </c>
      <c r="AB25" s="19" t="s">
        <v>570</v>
      </c>
      <c r="AC25" s="19" t="s">
        <v>571</v>
      </c>
      <c r="AD25" s="19" t="s">
        <v>572</v>
      </c>
      <c r="AE25" s="19" t="s">
        <v>573</v>
      </c>
      <c r="AF25" s="19" t="s">
        <v>574</v>
      </c>
      <c r="AG25" s="19" t="s">
        <v>575</v>
      </c>
      <c r="AH25" s="19" t="s">
        <v>327</v>
      </c>
      <c r="AI25" s="19" t="s">
        <v>111</v>
      </c>
      <c r="AJ25" s="19" t="s">
        <v>576</v>
      </c>
      <c r="AK25" s="19"/>
      <c r="AL25" s="19"/>
      <c r="AM25" s="19" t="s">
        <v>577</v>
      </c>
      <c r="AN25" s="19" t="s">
        <v>578</v>
      </c>
      <c r="AO25" s="19" t="s">
        <v>579</v>
      </c>
      <c r="AP25" s="19" t="s">
        <v>580</v>
      </c>
      <c r="AQ25" s="19" t="s">
        <v>117</v>
      </c>
      <c r="AR25" s="19" t="s">
        <v>581</v>
      </c>
      <c r="AS25" s="19" t="s">
        <v>582</v>
      </c>
      <c r="AT25" s="19" t="s">
        <v>583</v>
      </c>
      <c r="AU25" s="19" t="s">
        <v>584</v>
      </c>
      <c r="AV25" s="19" t="s">
        <v>168</v>
      </c>
      <c r="AW25" s="19" t="s">
        <v>585</v>
      </c>
      <c r="AX25" s="19" t="s">
        <v>262</v>
      </c>
      <c r="AY25" s="19" t="s">
        <v>586</v>
      </c>
      <c r="AZ25" s="19" t="s">
        <v>587</v>
      </c>
      <c r="BA25" s="20">
        <v>44494</v>
      </c>
      <c r="BB25" s="19" t="s">
        <v>331</v>
      </c>
      <c r="BC25" s="19" t="s">
        <v>588</v>
      </c>
      <c r="BD25" s="19" t="s">
        <v>588</v>
      </c>
      <c r="BE25" s="19" t="s">
        <v>130</v>
      </c>
      <c r="BF25" s="19" t="s">
        <v>589</v>
      </c>
      <c r="BG25" s="19"/>
      <c r="BH25" s="19" t="s">
        <v>590</v>
      </c>
      <c r="BI25" s="19" t="s">
        <v>590</v>
      </c>
      <c r="BJ25" s="19" t="s">
        <v>194</v>
      </c>
      <c r="BK25" s="19" t="s">
        <v>591</v>
      </c>
      <c r="BL25" s="19" t="s">
        <v>122</v>
      </c>
      <c r="BM25" s="19" t="s">
        <v>592</v>
      </c>
      <c r="BN25" s="21">
        <v>18.088000000000001</v>
      </c>
      <c r="BO25" s="21">
        <v>1000.239268</v>
      </c>
      <c r="BQ25" s="2"/>
      <c r="BR25" s="2"/>
      <c r="BS25" s="2"/>
      <c r="BT25" s="2"/>
      <c r="BU25" s="22"/>
      <c r="BV25" s="2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</row>
    <row r="26" spans="1:95" x14ac:dyDescent="0.25">
      <c r="A26" s="18">
        <v>23</v>
      </c>
      <c r="B26" s="19" t="s">
        <v>593</v>
      </c>
      <c r="C26" s="19" t="s">
        <v>594</v>
      </c>
      <c r="D26" s="20">
        <v>45993</v>
      </c>
      <c r="E26" s="20">
        <v>28965</v>
      </c>
      <c r="F26" s="19" t="s">
        <v>595</v>
      </c>
      <c r="G26" s="19" t="s">
        <v>139</v>
      </c>
      <c r="H26" s="19" t="s">
        <v>94</v>
      </c>
      <c r="I26" s="19"/>
      <c r="J26" s="19"/>
      <c r="K26" s="19"/>
      <c r="L26" s="19" t="s">
        <v>244</v>
      </c>
      <c r="M26" s="19" t="s">
        <v>245</v>
      </c>
      <c r="N26" s="19" t="s">
        <v>596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 t="s">
        <v>101</v>
      </c>
      <c r="Z26" s="19" t="s">
        <v>102</v>
      </c>
      <c r="AA26" s="19" t="s">
        <v>103</v>
      </c>
      <c r="AB26" s="19" t="s">
        <v>143</v>
      </c>
      <c r="AC26" s="19" t="s">
        <v>144</v>
      </c>
      <c r="AD26" s="19" t="s">
        <v>597</v>
      </c>
      <c r="AE26" s="19" t="s">
        <v>598</v>
      </c>
      <c r="AF26" s="19" t="s">
        <v>599</v>
      </c>
      <c r="AG26" s="19" t="s">
        <v>600</v>
      </c>
      <c r="AH26" s="19" t="s">
        <v>110</v>
      </c>
      <c r="AI26" s="19"/>
      <c r="AJ26" s="19" t="s">
        <v>601</v>
      </c>
      <c r="AK26" s="19"/>
      <c r="AL26" s="19"/>
      <c r="AM26" s="19" t="s">
        <v>602</v>
      </c>
      <c r="AN26" s="19" t="s">
        <v>603</v>
      </c>
      <c r="AO26" s="19" t="s">
        <v>255</v>
      </c>
      <c r="AP26" s="19" t="s">
        <v>256</v>
      </c>
      <c r="AQ26" s="19" t="s">
        <v>117</v>
      </c>
      <c r="AR26" s="19" t="s">
        <v>257</v>
      </c>
      <c r="AS26" s="19" t="s">
        <v>258</v>
      </c>
      <c r="AT26" s="19" t="s">
        <v>259</v>
      </c>
      <c r="AU26" s="19" t="s">
        <v>260</v>
      </c>
      <c r="AV26" s="19" t="s">
        <v>260</v>
      </c>
      <c r="AW26" s="19" t="s">
        <v>261</v>
      </c>
      <c r="AX26" s="19" t="s">
        <v>262</v>
      </c>
      <c r="AY26" s="19" t="s">
        <v>263</v>
      </c>
      <c r="AZ26" s="19" t="s">
        <v>264</v>
      </c>
      <c r="BA26" s="20">
        <v>43627</v>
      </c>
      <c r="BB26" s="19" t="s">
        <v>331</v>
      </c>
      <c r="BC26" s="19" t="s">
        <v>604</v>
      </c>
      <c r="BD26" s="19" t="s">
        <v>604</v>
      </c>
      <c r="BE26" s="19" t="s">
        <v>130</v>
      </c>
      <c r="BF26" s="19" t="s">
        <v>605</v>
      </c>
      <c r="BG26" s="19"/>
      <c r="BH26" s="19" t="s">
        <v>606</v>
      </c>
      <c r="BI26" s="19" t="s">
        <v>606</v>
      </c>
      <c r="BJ26" s="19" t="s">
        <v>166</v>
      </c>
      <c r="BK26" s="19" t="s">
        <v>167</v>
      </c>
      <c r="BL26" s="19" t="s">
        <v>168</v>
      </c>
      <c r="BM26" s="19" t="s">
        <v>169</v>
      </c>
      <c r="BN26" s="21">
        <v>212.869</v>
      </c>
      <c r="BO26" s="21">
        <v>8108.1802100000004</v>
      </c>
      <c r="BQ26" s="2"/>
      <c r="BR26" s="2"/>
      <c r="BS26" s="2"/>
      <c r="BT26" s="2"/>
      <c r="BU26" s="22"/>
      <c r="BV26" s="2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</row>
    <row r="27" spans="1:95" x14ac:dyDescent="0.25">
      <c r="A27" s="18">
        <v>24</v>
      </c>
      <c r="B27" s="19" t="s">
        <v>607</v>
      </c>
      <c r="C27" s="19" t="s">
        <v>608</v>
      </c>
      <c r="D27" s="20">
        <v>46000</v>
      </c>
      <c r="E27" s="20">
        <v>23607</v>
      </c>
      <c r="F27" s="19"/>
      <c r="G27" s="19"/>
      <c r="H27" s="19" t="s">
        <v>94</v>
      </c>
      <c r="I27" s="19"/>
      <c r="J27" s="19"/>
      <c r="K27" s="19"/>
      <c r="L27" s="19" t="s">
        <v>609</v>
      </c>
      <c r="M27" s="19" t="s">
        <v>610</v>
      </c>
      <c r="N27" s="19" t="s">
        <v>611</v>
      </c>
      <c r="O27" s="19" t="s">
        <v>100</v>
      </c>
      <c r="P27" s="19"/>
      <c r="Q27" s="19"/>
      <c r="R27" s="19"/>
      <c r="S27" s="19"/>
      <c r="T27" s="19"/>
      <c r="U27" s="19"/>
      <c r="V27" s="19"/>
      <c r="W27" s="19"/>
      <c r="X27" s="19"/>
      <c r="Y27" s="19" t="s">
        <v>101</v>
      </c>
      <c r="Z27" s="19" t="s">
        <v>102</v>
      </c>
      <c r="AA27" s="19" t="s">
        <v>103</v>
      </c>
      <c r="AB27" s="19" t="s">
        <v>612</v>
      </c>
      <c r="AC27" s="19" t="s">
        <v>613</v>
      </c>
      <c r="AD27" s="19" t="s">
        <v>614</v>
      </c>
      <c r="AE27" s="19" t="s">
        <v>615</v>
      </c>
      <c r="AF27" s="19"/>
      <c r="AG27" s="19" t="s">
        <v>616</v>
      </c>
      <c r="AH27" s="19" t="s">
        <v>124</v>
      </c>
      <c r="AI27" s="19" t="s">
        <v>111</v>
      </c>
      <c r="AJ27" s="19" t="s">
        <v>617</v>
      </c>
      <c r="AK27" s="19"/>
      <c r="AL27" s="19"/>
      <c r="AM27" s="19" t="s">
        <v>618</v>
      </c>
      <c r="AN27" s="19" t="s">
        <v>619</v>
      </c>
      <c r="AO27" s="19" t="s">
        <v>620</v>
      </c>
      <c r="AP27" s="19" t="s">
        <v>436</v>
      </c>
      <c r="AQ27" s="19" t="s">
        <v>94</v>
      </c>
      <c r="AR27" s="19" t="s">
        <v>437</v>
      </c>
      <c r="AS27" s="19" t="s">
        <v>438</v>
      </c>
      <c r="AT27" s="19" t="s">
        <v>439</v>
      </c>
      <c r="AU27" s="19" t="s">
        <v>440</v>
      </c>
      <c r="AV27" s="19" t="s">
        <v>148</v>
      </c>
      <c r="AW27" s="19" t="s">
        <v>441</v>
      </c>
      <c r="AX27" s="19" t="s">
        <v>149</v>
      </c>
      <c r="AY27" s="19" t="s">
        <v>442</v>
      </c>
      <c r="AZ27" s="19" t="s">
        <v>443</v>
      </c>
      <c r="BA27" s="20">
        <v>41415</v>
      </c>
      <c r="BB27" s="19" t="s">
        <v>621</v>
      </c>
      <c r="BC27" s="19" t="s">
        <v>622</v>
      </c>
      <c r="BD27" s="19" t="s">
        <v>623</v>
      </c>
      <c r="BE27" s="19" t="s">
        <v>130</v>
      </c>
      <c r="BF27" s="19" t="s">
        <v>624</v>
      </c>
      <c r="BG27" s="19" t="s">
        <v>625</v>
      </c>
      <c r="BH27" s="19" t="s">
        <v>626</v>
      </c>
      <c r="BI27" s="19" t="s">
        <v>626</v>
      </c>
      <c r="BJ27" s="19" t="s">
        <v>194</v>
      </c>
      <c r="BK27" s="19" t="s">
        <v>627</v>
      </c>
      <c r="BL27" s="19" t="s">
        <v>616</v>
      </c>
      <c r="BM27" s="19" t="s">
        <v>592</v>
      </c>
      <c r="BN27" s="21">
        <v>3.6880000000000002</v>
      </c>
      <c r="BO27" s="21">
        <v>2020.91336</v>
      </c>
      <c r="BQ27" s="2"/>
      <c r="BR27" s="2"/>
      <c r="BS27" s="2"/>
      <c r="BT27" s="2"/>
      <c r="BU27" s="22"/>
      <c r="BV27" s="2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</row>
    <row r="28" spans="1:95" x14ac:dyDescent="0.25">
      <c r="A28" s="18">
        <v>25</v>
      </c>
      <c r="B28" s="19" t="s">
        <v>628</v>
      </c>
      <c r="C28" s="19" t="s">
        <v>629</v>
      </c>
      <c r="D28" s="20">
        <v>45994</v>
      </c>
      <c r="E28" s="20">
        <v>35859</v>
      </c>
      <c r="F28" s="19"/>
      <c r="G28" s="19"/>
      <c r="H28" s="19" t="s">
        <v>94</v>
      </c>
      <c r="I28" s="19"/>
      <c r="J28" s="19"/>
      <c r="K28" s="19"/>
      <c r="L28" s="19" t="s">
        <v>140</v>
      </c>
      <c r="M28" s="19" t="s">
        <v>141</v>
      </c>
      <c r="N28" s="19" t="s">
        <v>630</v>
      </c>
      <c r="O28" s="19" t="s">
        <v>100</v>
      </c>
      <c r="P28" s="19"/>
      <c r="Q28" s="19"/>
      <c r="R28" s="19"/>
      <c r="S28" s="19"/>
      <c r="T28" s="19"/>
      <c r="U28" s="19"/>
      <c r="V28" s="19"/>
      <c r="W28" s="19"/>
      <c r="X28" s="19"/>
      <c r="Y28" s="19" t="s">
        <v>101</v>
      </c>
      <c r="Z28" s="19" t="s">
        <v>102</v>
      </c>
      <c r="AA28" s="19" t="s">
        <v>103</v>
      </c>
      <c r="AB28" s="19" t="s">
        <v>247</v>
      </c>
      <c r="AC28" s="19" t="s">
        <v>248</v>
      </c>
      <c r="AD28" s="19" t="s">
        <v>631</v>
      </c>
      <c r="AE28" s="19" t="s">
        <v>632</v>
      </c>
      <c r="AF28" s="19" t="s">
        <v>633</v>
      </c>
      <c r="AG28" s="19" t="s">
        <v>634</v>
      </c>
      <c r="AH28" s="19" t="s">
        <v>188</v>
      </c>
      <c r="AI28" s="19" t="s">
        <v>111</v>
      </c>
      <c r="AJ28" s="19" t="s">
        <v>635</v>
      </c>
      <c r="AK28" s="19"/>
      <c r="AL28" s="19"/>
      <c r="AM28" s="19" t="s">
        <v>636</v>
      </c>
      <c r="AN28" s="19" t="s">
        <v>637</v>
      </c>
      <c r="AO28" s="19" t="s">
        <v>519</v>
      </c>
      <c r="AP28" s="19" t="s">
        <v>520</v>
      </c>
      <c r="AQ28" s="19" t="s">
        <v>117</v>
      </c>
      <c r="AR28" s="19" t="s">
        <v>521</v>
      </c>
      <c r="AS28" s="19" t="s">
        <v>522</v>
      </c>
      <c r="AT28" s="19" t="s">
        <v>523</v>
      </c>
      <c r="AU28" s="19" t="s">
        <v>524</v>
      </c>
      <c r="AV28" s="19" t="s">
        <v>260</v>
      </c>
      <c r="AW28" s="19" t="s">
        <v>525</v>
      </c>
      <c r="AX28" s="19"/>
      <c r="AY28" s="19" t="s">
        <v>526</v>
      </c>
      <c r="AZ28" s="19" t="s">
        <v>527</v>
      </c>
      <c r="BA28" s="20">
        <v>42669</v>
      </c>
      <c r="BB28" s="19" t="s">
        <v>638</v>
      </c>
      <c r="BC28" s="19" t="s">
        <v>639</v>
      </c>
      <c r="BD28" s="19" t="s">
        <v>365</v>
      </c>
      <c r="BE28" s="19" t="s">
        <v>130</v>
      </c>
      <c r="BF28" s="19" t="s">
        <v>640</v>
      </c>
      <c r="BG28" s="19"/>
      <c r="BH28" s="19" t="s">
        <v>641</v>
      </c>
      <c r="BI28" s="19" t="s">
        <v>641</v>
      </c>
      <c r="BJ28" s="19" t="s">
        <v>194</v>
      </c>
      <c r="BK28" s="19" t="s">
        <v>195</v>
      </c>
      <c r="BL28" s="19" t="s">
        <v>122</v>
      </c>
      <c r="BM28" s="19" t="s">
        <v>196</v>
      </c>
      <c r="BN28" s="21">
        <v>0</v>
      </c>
      <c r="BO28" s="21">
        <v>0</v>
      </c>
      <c r="BQ28" s="2"/>
      <c r="BR28" s="2"/>
      <c r="BS28" s="2"/>
      <c r="BT28" s="2"/>
      <c r="BU28" s="22"/>
      <c r="BV28" s="2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</row>
    <row r="29" spans="1:95" x14ac:dyDescent="0.25">
      <c r="A29" s="18">
        <v>26</v>
      </c>
      <c r="B29" s="19" t="s">
        <v>642</v>
      </c>
      <c r="C29" s="19" t="s">
        <v>643</v>
      </c>
      <c r="D29" s="20">
        <v>45995</v>
      </c>
      <c r="E29" s="20">
        <v>37122</v>
      </c>
      <c r="F29" s="19"/>
      <c r="G29" s="19"/>
      <c r="H29" s="19" t="s">
        <v>94</v>
      </c>
      <c r="I29" s="19"/>
      <c r="J29" s="19" t="s">
        <v>287</v>
      </c>
      <c r="K29" s="19" t="s">
        <v>288</v>
      </c>
      <c r="L29" s="19" t="s">
        <v>97</v>
      </c>
      <c r="M29" s="19" t="s">
        <v>98</v>
      </c>
      <c r="N29" s="19" t="s">
        <v>644</v>
      </c>
      <c r="O29" s="19" t="s">
        <v>100</v>
      </c>
      <c r="P29" s="19"/>
      <c r="Q29" s="19"/>
      <c r="R29" s="19"/>
      <c r="S29" s="19"/>
      <c r="T29" s="19"/>
      <c r="U29" s="19"/>
      <c r="V29" s="19"/>
      <c r="W29" s="19"/>
      <c r="X29" s="19"/>
      <c r="Y29" s="19" t="s">
        <v>101</v>
      </c>
      <c r="Z29" s="19" t="s">
        <v>102</v>
      </c>
      <c r="AA29" s="19" t="s">
        <v>103</v>
      </c>
      <c r="AB29" s="19" t="s">
        <v>292</v>
      </c>
      <c r="AC29" s="19" t="s">
        <v>293</v>
      </c>
      <c r="AD29" s="19" t="s">
        <v>645</v>
      </c>
      <c r="AE29" s="19" t="s">
        <v>646</v>
      </c>
      <c r="AF29" s="19" t="s">
        <v>647</v>
      </c>
      <c r="AG29" s="19" t="s">
        <v>647</v>
      </c>
      <c r="AH29" s="19" t="s">
        <v>110</v>
      </c>
      <c r="AI29" s="19" t="s">
        <v>111</v>
      </c>
      <c r="AJ29" s="19" t="s">
        <v>648</v>
      </c>
      <c r="AK29" s="19"/>
      <c r="AL29" s="19"/>
      <c r="AM29" s="19" t="s">
        <v>649</v>
      </c>
      <c r="AN29" s="19" t="s">
        <v>650</v>
      </c>
      <c r="AO29" s="19" t="s">
        <v>651</v>
      </c>
      <c r="AP29" s="19" t="s">
        <v>652</v>
      </c>
      <c r="AQ29" s="19" t="s">
        <v>117</v>
      </c>
      <c r="AR29" s="19" t="s">
        <v>653</v>
      </c>
      <c r="AS29" s="19" t="s">
        <v>654</v>
      </c>
      <c r="AT29" s="19" t="s">
        <v>655</v>
      </c>
      <c r="AU29" s="19" t="s">
        <v>656</v>
      </c>
      <c r="AV29" s="19" t="s">
        <v>657</v>
      </c>
      <c r="AW29" s="19" t="s">
        <v>658</v>
      </c>
      <c r="AX29" s="19" t="s">
        <v>110</v>
      </c>
      <c r="AY29" s="19" t="s">
        <v>659</v>
      </c>
      <c r="AZ29" s="19" t="s">
        <v>660</v>
      </c>
      <c r="BA29" s="20">
        <v>42214</v>
      </c>
      <c r="BB29" s="19" t="s">
        <v>661</v>
      </c>
      <c r="BC29" s="19" t="s">
        <v>662</v>
      </c>
      <c r="BD29" s="19" t="s">
        <v>663</v>
      </c>
      <c r="BE29" s="19" t="s">
        <v>130</v>
      </c>
      <c r="BF29" s="19" t="s">
        <v>664</v>
      </c>
      <c r="BG29" s="19" t="s">
        <v>665</v>
      </c>
      <c r="BH29" s="19" t="s">
        <v>666</v>
      </c>
      <c r="BI29" s="19" t="s">
        <v>666</v>
      </c>
      <c r="BJ29" s="19" t="s">
        <v>166</v>
      </c>
      <c r="BK29" s="19" t="s">
        <v>667</v>
      </c>
      <c r="BL29" s="19" t="s">
        <v>646</v>
      </c>
      <c r="BM29" s="19" t="s">
        <v>135</v>
      </c>
      <c r="BN29" s="21">
        <v>0</v>
      </c>
      <c r="BO29" s="21">
        <v>0</v>
      </c>
      <c r="BQ29" s="2"/>
      <c r="BR29" s="2"/>
      <c r="BS29" s="2"/>
      <c r="BT29" s="2"/>
      <c r="BU29" s="22"/>
      <c r="BV29" s="2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</row>
    <row r="30" spans="1:95" x14ac:dyDescent="0.25">
      <c r="A30" s="18">
        <v>27</v>
      </c>
      <c r="B30" s="19" t="s">
        <v>668</v>
      </c>
      <c r="C30" s="19" t="s">
        <v>669</v>
      </c>
      <c r="D30" s="20">
        <v>45995</v>
      </c>
      <c r="E30" s="20">
        <v>37416</v>
      </c>
      <c r="F30" s="19"/>
      <c r="G30" s="19"/>
      <c r="H30" s="19" t="s">
        <v>94</v>
      </c>
      <c r="I30" s="19"/>
      <c r="J30" s="19"/>
      <c r="K30" s="19"/>
      <c r="L30" s="19" t="s">
        <v>244</v>
      </c>
      <c r="M30" s="19" t="s">
        <v>245</v>
      </c>
      <c r="N30" s="19" t="s">
        <v>670</v>
      </c>
      <c r="O30" s="19" t="s">
        <v>100</v>
      </c>
      <c r="P30" s="19"/>
      <c r="Q30" s="19"/>
      <c r="R30" s="19"/>
      <c r="S30" s="19"/>
      <c r="T30" s="19"/>
      <c r="U30" s="19"/>
      <c r="V30" s="19"/>
      <c r="W30" s="19"/>
      <c r="X30" s="19"/>
      <c r="Y30" s="19" t="s">
        <v>101</v>
      </c>
      <c r="Z30" s="19" t="s">
        <v>102</v>
      </c>
      <c r="AA30" s="19" t="s">
        <v>103</v>
      </c>
      <c r="AB30" s="19" t="s">
        <v>671</v>
      </c>
      <c r="AC30" s="19" t="s">
        <v>672</v>
      </c>
      <c r="AD30" s="19" t="s">
        <v>673</v>
      </c>
      <c r="AE30" s="19" t="s">
        <v>674</v>
      </c>
      <c r="AF30" s="19" t="s">
        <v>675</v>
      </c>
      <c r="AG30" s="19" t="s">
        <v>676</v>
      </c>
      <c r="AH30" s="19" t="s">
        <v>677</v>
      </c>
      <c r="AI30" s="19" t="s">
        <v>111</v>
      </c>
      <c r="AJ30" s="19" t="s">
        <v>678</v>
      </c>
      <c r="AK30" s="19"/>
      <c r="AL30" s="19"/>
      <c r="AM30" s="19" t="s">
        <v>679</v>
      </c>
      <c r="AN30" s="19" t="s">
        <v>680</v>
      </c>
      <c r="AO30" s="19" t="s">
        <v>255</v>
      </c>
      <c r="AP30" s="19" t="s">
        <v>256</v>
      </c>
      <c r="AQ30" s="19" t="s">
        <v>117</v>
      </c>
      <c r="AR30" s="19" t="s">
        <v>257</v>
      </c>
      <c r="AS30" s="19" t="s">
        <v>258</v>
      </c>
      <c r="AT30" s="19" t="s">
        <v>259</v>
      </c>
      <c r="AU30" s="19" t="s">
        <v>260</v>
      </c>
      <c r="AV30" s="19" t="s">
        <v>260</v>
      </c>
      <c r="AW30" s="19" t="s">
        <v>261</v>
      </c>
      <c r="AX30" s="19" t="s">
        <v>262</v>
      </c>
      <c r="AY30" s="19" t="s">
        <v>263</v>
      </c>
      <c r="AZ30" s="19" t="s">
        <v>264</v>
      </c>
      <c r="BA30" s="20">
        <v>43627</v>
      </c>
      <c r="BB30" s="19" t="s">
        <v>444</v>
      </c>
      <c r="BC30" s="19" t="s">
        <v>681</v>
      </c>
      <c r="BD30" s="19" t="s">
        <v>682</v>
      </c>
      <c r="BE30" s="19" t="s">
        <v>130</v>
      </c>
      <c r="BF30" s="19" t="s">
        <v>683</v>
      </c>
      <c r="BG30" s="19"/>
      <c r="BH30" s="19" t="s">
        <v>684</v>
      </c>
      <c r="BI30" s="19" t="s">
        <v>684</v>
      </c>
      <c r="BJ30" s="19" t="s">
        <v>194</v>
      </c>
      <c r="BK30" s="19" t="s">
        <v>195</v>
      </c>
      <c r="BL30" s="19" t="s">
        <v>122</v>
      </c>
      <c r="BM30" s="19" t="s">
        <v>196</v>
      </c>
      <c r="BN30" s="21">
        <v>1671.6079999999999</v>
      </c>
      <c r="BO30" s="21">
        <v>75232.055326400005</v>
      </c>
      <c r="BQ30" s="2"/>
      <c r="BR30" s="2"/>
      <c r="BS30" s="2"/>
      <c r="BT30" s="2"/>
      <c r="BU30" s="22"/>
      <c r="BV30" s="2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</row>
    <row r="31" spans="1:95" x14ac:dyDescent="0.25">
      <c r="A31" s="18">
        <v>28</v>
      </c>
      <c r="B31" s="19" t="s">
        <v>685</v>
      </c>
      <c r="C31" s="19" t="s">
        <v>686</v>
      </c>
      <c r="D31" s="20">
        <v>46019</v>
      </c>
      <c r="E31" s="20">
        <v>20469</v>
      </c>
      <c r="F31" s="19"/>
      <c r="G31" s="19"/>
      <c r="H31" s="19" t="s">
        <v>94</v>
      </c>
      <c r="I31" s="19"/>
      <c r="J31" s="19"/>
      <c r="K31" s="19"/>
      <c r="L31" s="19" t="s">
        <v>687</v>
      </c>
      <c r="M31" s="19" t="s">
        <v>688</v>
      </c>
      <c r="N31" s="19" t="s">
        <v>689</v>
      </c>
      <c r="O31" s="19" t="s">
        <v>100</v>
      </c>
      <c r="P31" s="19"/>
      <c r="Q31" s="19"/>
      <c r="R31" s="19"/>
      <c r="S31" s="19"/>
      <c r="T31" s="19"/>
      <c r="U31" s="19"/>
      <c r="V31" s="19"/>
      <c r="W31" s="19"/>
      <c r="X31" s="19"/>
      <c r="Y31" s="19" t="s">
        <v>101</v>
      </c>
      <c r="Z31" s="19" t="s">
        <v>102</v>
      </c>
      <c r="AA31" s="19" t="s">
        <v>103</v>
      </c>
      <c r="AB31" s="19" t="s">
        <v>247</v>
      </c>
      <c r="AC31" s="19" t="s">
        <v>248</v>
      </c>
      <c r="AD31" s="19" t="s">
        <v>690</v>
      </c>
      <c r="AE31" s="19" t="s">
        <v>691</v>
      </c>
      <c r="AF31" s="19" t="s">
        <v>692</v>
      </c>
      <c r="AG31" s="19" t="s">
        <v>472</v>
      </c>
      <c r="AH31" s="19" t="s">
        <v>188</v>
      </c>
      <c r="AI31" s="19" t="s">
        <v>111</v>
      </c>
      <c r="AJ31" s="19" t="s">
        <v>693</v>
      </c>
      <c r="AK31" s="19"/>
      <c r="AL31" s="19"/>
      <c r="AM31" s="19"/>
      <c r="AN31" s="19" t="s">
        <v>694</v>
      </c>
      <c r="AO31" s="19" t="s">
        <v>181</v>
      </c>
      <c r="AP31" s="19" t="s">
        <v>182</v>
      </c>
      <c r="AQ31" s="19" t="s">
        <v>117</v>
      </c>
      <c r="AR31" s="19" t="s">
        <v>183</v>
      </c>
      <c r="AS31" s="19" t="s">
        <v>184</v>
      </c>
      <c r="AT31" s="19" t="s">
        <v>185</v>
      </c>
      <c r="AU31" s="19"/>
      <c r="AV31" s="19" t="s">
        <v>186</v>
      </c>
      <c r="AW31" s="19" t="s">
        <v>187</v>
      </c>
      <c r="AX31" s="19" t="s">
        <v>188</v>
      </c>
      <c r="AY31" s="19"/>
      <c r="AZ31" s="19" t="s">
        <v>189</v>
      </c>
      <c r="BA31" s="20">
        <v>44673</v>
      </c>
      <c r="BB31" s="19" t="s">
        <v>349</v>
      </c>
      <c r="BC31" s="19" t="s">
        <v>695</v>
      </c>
      <c r="BD31" s="19" t="s">
        <v>365</v>
      </c>
      <c r="BE31" s="19" t="s">
        <v>130</v>
      </c>
      <c r="BF31" s="19" t="s">
        <v>696</v>
      </c>
      <c r="BG31" s="19"/>
      <c r="BH31" s="19" t="s">
        <v>697</v>
      </c>
      <c r="BI31" s="19" t="s">
        <v>697</v>
      </c>
      <c r="BJ31" s="19" t="s">
        <v>194</v>
      </c>
      <c r="BK31" s="19" t="s">
        <v>195</v>
      </c>
      <c r="BL31" s="19" t="s">
        <v>122</v>
      </c>
      <c r="BM31" s="19" t="s">
        <v>196</v>
      </c>
      <c r="BN31" s="21">
        <v>6.8460000000000001</v>
      </c>
      <c r="BO31" s="21">
        <v>3002.0558904</v>
      </c>
      <c r="BQ31" s="2"/>
      <c r="BR31" s="2"/>
      <c r="BS31" s="2"/>
      <c r="BT31" s="2"/>
      <c r="BU31" s="22"/>
      <c r="BV31" s="2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</row>
    <row r="32" spans="1:95" x14ac:dyDescent="0.25">
      <c r="A32" s="18">
        <v>29</v>
      </c>
      <c r="B32" s="19" t="s">
        <v>698</v>
      </c>
      <c r="C32" s="19" t="s">
        <v>699</v>
      </c>
      <c r="D32" s="20">
        <v>46003</v>
      </c>
      <c r="E32" s="20">
        <v>26507</v>
      </c>
      <c r="F32" s="19" t="s">
        <v>700</v>
      </c>
      <c r="G32" s="19" t="s">
        <v>139</v>
      </c>
      <c r="H32" s="19" t="s">
        <v>94</v>
      </c>
      <c r="I32" s="19"/>
      <c r="J32" s="19"/>
      <c r="K32" s="19"/>
      <c r="L32" s="19" t="s">
        <v>101</v>
      </c>
      <c r="M32" s="19" t="s">
        <v>290</v>
      </c>
      <c r="N32" s="19" t="s">
        <v>701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 t="s">
        <v>101</v>
      </c>
      <c r="Z32" s="19" t="s">
        <v>102</v>
      </c>
      <c r="AA32" s="19" t="s">
        <v>103</v>
      </c>
      <c r="AB32" s="19" t="s">
        <v>702</v>
      </c>
      <c r="AC32" s="19" t="s">
        <v>703</v>
      </c>
      <c r="AD32" s="19" t="s">
        <v>704</v>
      </c>
      <c r="AE32" s="19" t="s">
        <v>705</v>
      </c>
      <c r="AF32" s="19" t="s">
        <v>706</v>
      </c>
      <c r="AG32" s="19" t="s">
        <v>481</v>
      </c>
      <c r="AH32" s="19" t="s">
        <v>707</v>
      </c>
      <c r="AI32" s="19"/>
      <c r="AJ32" s="19" t="s">
        <v>708</v>
      </c>
      <c r="AK32" s="19"/>
      <c r="AL32" s="19"/>
      <c r="AM32" s="19" t="s">
        <v>709</v>
      </c>
      <c r="AN32" s="19" t="s">
        <v>710</v>
      </c>
      <c r="AO32" s="19" t="s">
        <v>476</v>
      </c>
      <c r="AP32" s="19" t="s">
        <v>477</v>
      </c>
      <c r="AQ32" s="19" t="s">
        <v>117</v>
      </c>
      <c r="AR32" s="19" t="s">
        <v>478</v>
      </c>
      <c r="AS32" s="19"/>
      <c r="AT32" s="19"/>
      <c r="AU32" s="19"/>
      <c r="AV32" s="19"/>
      <c r="AW32" s="19"/>
      <c r="AX32" s="19"/>
      <c r="AY32" s="19"/>
      <c r="AZ32" s="19"/>
      <c r="BA32" s="20">
        <v>44452</v>
      </c>
      <c r="BB32" s="19" t="s">
        <v>479</v>
      </c>
      <c r="BC32" s="19" t="s">
        <v>711</v>
      </c>
      <c r="BD32" s="19" t="s">
        <v>712</v>
      </c>
      <c r="BE32" s="19" t="s">
        <v>130</v>
      </c>
      <c r="BF32" s="19" t="s">
        <v>713</v>
      </c>
      <c r="BG32" s="19"/>
      <c r="BH32" s="19" t="s">
        <v>714</v>
      </c>
      <c r="BI32" s="19" t="s">
        <v>714</v>
      </c>
      <c r="BJ32" s="19" t="s">
        <v>166</v>
      </c>
      <c r="BK32" s="19" t="s">
        <v>167</v>
      </c>
      <c r="BL32" s="19" t="s">
        <v>168</v>
      </c>
      <c r="BM32" s="19" t="s">
        <v>169</v>
      </c>
      <c r="BN32" s="21">
        <v>101836.66</v>
      </c>
      <c r="BO32" s="21">
        <v>3010210.2002719999</v>
      </c>
      <c r="BQ32" s="2"/>
      <c r="BR32" s="2"/>
      <c r="BS32" s="2"/>
      <c r="BT32" s="2"/>
      <c r="BU32" s="22"/>
      <c r="BV32" s="2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</row>
    <row r="33" spans="1:95" x14ac:dyDescent="0.25">
      <c r="A33" s="18">
        <v>30</v>
      </c>
      <c r="B33" s="19" t="s">
        <v>715</v>
      </c>
      <c r="C33" s="19" t="s">
        <v>716</v>
      </c>
      <c r="D33" s="20">
        <v>46003</v>
      </c>
      <c r="E33" s="20">
        <v>27998</v>
      </c>
      <c r="F33" s="19"/>
      <c r="G33" s="19"/>
      <c r="H33" s="19" t="s">
        <v>94</v>
      </c>
      <c r="I33" s="19"/>
      <c r="J33" s="19"/>
      <c r="K33" s="19"/>
      <c r="L33" s="19" t="s">
        <v>101</v>
      </c>
      <c r="M33" s="19" t="s">
        <v>290</v>
      </c>
      <c r="N33" s="19" t="s">
        <v>717</v>
      </c>
      <c r="O33" s="19" t="s">
        <v>100</v>
      </c>
      <c r="P33" s="19"/>
      <c r="Q33" s="19"/>
      <c r="R33" s="19"/>
      <c r="S33" s="19"/>
      <c r="T33" s="19"/>
      <c r="U33" s="19"/>
      <c r="V33" s="19"/>
      <c r="W33" s="19"/>
      <c r="X33" s="19"/>
      <c r="Y33" s="19" t="s">
        <v>402</v>
      </c>
      <c r="Z33" s="19" t="s">
        <v>718</v>
      </c>
      <c r="AA33" s="19" t="s">
        <v>719</v>
      </c>
      <c r="AB33" s="19" t="s">
        <v>720</v>
      </c>
      <c r="AC33" s="19" t="s">
        <v>721</v>
      </c>
      <c r="AD33" s="19" t="s">
        <v>722</v>
      </c>
      <c r="AE33" s="19" t="s">
        <v>723</v>
      </c>
      <c r="AF33" s="19"/>
      <c r="AG33" s="19" t="s">
        <v>129</v>
      </c>
      <c r="AH33" s="19" t="s">
        <v>110</v>
      </c>
      <c r="AI33" s="19" t="s">
        <v>111</v>
      </c>
      <c r="AJ33" s="19" t="s">
        <v>724</v>
      </c>
      <c r="AK33" s="19"/>
      <c r="AL33" s="19"/>
      <c r="AM33" s="19" t="s">
        <v>725</v>
      </c>
      <c r="AN33" s="19" t="s">
        <v>726</v>
      </c>
      <c r="AO33" s="19" t="s">
        <v>727</v>
      </c>
      <c r="AP33" s="19" t="s">
        <v>728</v>
      </c>
      <c r="AQ33" s="19" t="s">
        <v>117</v>
      </c>
      <c r="AR33" s="19" t="s">
        <v>729</v>
      </c>
      <c r="AS33" s="19" t="s">
        <v>730</v>
      </c>
      <c r="AT33" s="19" t="s">
        <v>731</v>
      </c>
      <c r="AU33" s="19" t="s">
        <v>732</v>
      </c>
      <c r="AV33" s="19" t="s">
        <v>109</v>
      </c>
      <c r="AW33" s="19" t="s">
        <v>733</v>
      </c>
      <c r="AX33" s="19" t="s">
        <v>110</v>
      </c>
      <c r="AY33" s="19" t="s">
        <v>734</v>
      </c>
      <c r="AZ33" s="19" t="s">
        <v>735</v>
      </c>
      <c r="BA33" s="20">
        <v>40768</v>
      </c>
      <c r="BB33" s="19" t="s">
        <v>479</v>
      </c>
      <c r="BC33" s="19" t="s">
        <v>736</v>
      </c>
      <c r="BD33" s="19" t="s">
        <v>129</v>
      </c>
      <c r="BE33" s="19" t="s">
        <v>737</v>
      </c>
      <c r="BF33" s="19" t="s">
        <v>738</v>
      </c>
      <c r="BG33" s="19"/>
      <c r="BH33" s="19" t="s">
        <v>739</v>
      </c>
      <c r="BI33" s="19" t="s">
        <v>739</v>
      </c>
      <c r="BJ33" s="19" t="s">
        <v>194</v>
      </c>
      <c r="BK33" s="19" t="s">
        <v>591</v>
      </c>
      <c r="BL33" s="19" t="s">
        <v>122</v>
      </c>
      <c r="BM33" s="19" t="s">
        <v>592</v>
      </c>
      <c r="BN33" s="21">
        <v>17715.813999999998</v>
      </c>
      <c r="BO33" s="21">
        <v>10031933.99378</v>
      </c>
      <c r="BQ33" s="2"/>
      <c r="BR33" s="2"/>
      <c r="BS33" s="2"/>
      <c r="BT33" s="2"/>
      <c r="BU33" s="22"/>
      <c r="BV33" s="2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</row>
    <row r="34" spans="1:95" x14ac:dyDescent="0.25">
      <c r="A34" s="18">
        <v>31</v>
      </c>
      <c r="B34" s="19" t="s">
        <v>740</v>
      </c>
      <c r="C34" s="19" t="s">
        <v>741</v>
      </c>
      <c r="D34" s="20">
        <v>46003</v>
      </c>
      <c r="E34" s="20">
        <v>36125</v>
      </c>
      <c r="F34" s="19"/>
      <c r="G34" s="19"/>
      <c r="H34" s="19" t="s">
        <v>94</v>
      </c>
      <c r="I34" s="19"/>
      <c r="J34" s="19"/>
      <c r="K34" s="19"/>
      <c r="L34" s="19" t="s">
        <v>244</v>
      </c>
      <c r="M34" s="19" t="s">
        <v>245</v>
      </c>
      <c r="N34" s="19" t="s">
        <v>742</v>
      </c>
      <c r="O34" s="19" t="s">
        <v>100</v>
      </c>
      <c r="P34" s="19"/>
      <c r="Q34" s="19"/>
      <c r="R34" s="19"/>
      <c r="S34" s="19"/>
      <c r="T34" s="19"/>
      <c r="U34" s="19"/>
      <c r="V34" s="19"/>
      <c r="W34" s="19"/>
      <c r="X34" s="19"/>
      <c r="Y34" s="19" t="s">
        <v>101</v>
      </c>
      <c r="Z34" s="19" t="s">
        <v>102</v>
      </c>
      <c r="AA34" s="19" t="s">
        <v>103</v>
      </c>
      <c r="AB34" s="19" t="s">
        <v>292</v>
      </c>
      <c r="AC34" s="19" t="s">
        <v>293</v>
      </c>
      <c r="AD34" s="19" t="s">
        <v>743</v>
      </c>
      <c r="AE34" s="19" t="s">
        <v>744</v>
      </c>
      <c r="AF34" s="19" t="s">
        <v>745</v>
      </c>
      <c r="AG34" s="19" t="s">
        <v>746</v>
      </c>
      <c r="AH34" s="19" t="s">
        <v>327</v>
      </c>
      <c r="AI34" s="19" t="s">
        <v>111</v>
      </c>
      <c r="AJ34" s="19" t="s">
        <v>747</v>
      </c>
      <c r="AK34" s="19"/>
      <c r="AL34" s="19"/>
      <c r="AM34" s="19" t="s">
        <v>748</v>
      </c>
      <c r="AN34" s="19" t="s">
        <v>749</v>
      </c>
      <c r="AO34" s="19" t="s">
        <v>750</v>
      </c>
      <c r="AP34" s="19" t="s">
        <v>751</v>
      </c>
      <c r="AQ34" s="19" t="s">
        <v>117</v>
      </c>
      <c r="AR34" s="19" t="s">
        <v>752</v>
      </c>
      <c r="AS34" s="19" t="s">
        <v>753</v>
      </c>
      <c r="AT34" s="19" t="s">
        <v>754</v>
      </c>
      <c r="AU34" s="19"/>
      <c r="AV34" s="19" t="s">
        <v>755</v>
      </c>
      <c r="AW34" s="19" t="s">
        <v>756</v>
      </c>
      <c r="AX34" s="19" t="s">
        <v>757</v>
      </c>
      <c r="AY34" s="19" t="s">
        <v>758</v>
      </c>
      <c r="AZ34" s="19" t="s">
        <v>759</v>
      </c>
      <c r="BA34" s="20">
        <v>42966</v>
      </c>
      <c r="BB34" s="19" t="s">
        <v>751</v>
      </c>
      <c r="BC34" s="19" t="s">
        <v>760</v>
      </c>
      <c r="BD34" s="19" t="s">
        <v>219</v>
      </c>
      <c r="BE34" s="19" t="s">
        <v>130</v>
      </c>
      <c r="BF34" s="19" t="s">
        <v>761</v>
      </c>
      <c r="BG34" s="19"/>
      <c r="BH34" s="19" t="s">
        <v>762</v>
      </c>
      <c r="BI34" s="19" t="s">
        <v>762</v>
      </c>
      <c r="BJ34" s="19" t="s">
        <v>194</v>
      </c>
      <c r="BK34" s="19" t="s">
        <v>591</v>
      </c>
      <c r="BL34" s="19" t="s">
        <v>122</v>
      </c>
      <c r="BM34" s="19" t="s">
        <v>592</v>
      </c>
      <c r="BN34" s="21">
        <v>3087.5230000000001</v>
      </c>
      <c r="BO34" s="21">
        <v>50831.4349105</v>
      </c>
      <c r="BQ34" s="2"/>
      <c r="BR34" s="2"/>
      <c r="BS34" s="2"/>
      <c r="BT34" s="2"/>
      <c r="BU34" s="22"/>
      <c r="BV34" s="2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</row>
    <row r="35" spans="1:95" x14ac:dyDescent="0.25">
      <c r="A35" s="18">
        <v>32</v>
      </c>
      <c r="B35" s="19" t="s">
        <v>763</v>
      </c>
      <c r="C35" s="19" t="s">
        <v>764</v>
      </c>
      <c r="D35" s="20">
        <v>46002</v>
      </c>
      <c r="E35" s="20">
        <v>33105</v>
      </c>
      <c r="F35" s="19"/>
      <c r="G35" s="19"/>
      <c r="H35" s="19" t="s">
        <v>94</v>
      </c>
      <c r="I35" s="19"/>
      <c r="J35" s="19" t="s">
        <v>287</v>
      </c>
      <c r="K35" s="19" t="s">
        <v>288</v>
      </c>
      <c r="L35" s="19" t="s">
        <v>97</v>
      </c>
      <c r="M35" s="19" t="s">
        <v>98</v>
      </c>
      <c r="N35" s="19" t="s">
        <v>765</v>
      </c>
      <c r="O35" s="19" t="s">
        <v>100</v>
      </c>
      <c r="P35" s="19"/>
      <c r="Q35" s="19"/>
      <c r="R35" s="19"/>
      <c r="S35" s="19"/>
      <c r="T35" s="19"/>
      <c r="U35" s="19"/>
      <c r="V35" s="19"/>
      <c r="W35" s="19"/>
      <c r="X35" s="19"/>
      <c r="Y35" s="19" t="s">
        <v>101</v>
      </c>
      <c r="Z35" s="19" t="s">
        <v>102</v>
      </c>
      <c r="AA35" s="19" t="s">
        <v>103</v>
      </c>
      <c r="AB35" s="19" t="s">
        <v>612</v>
      </c>
      <c r="AC35" s="19" t="s">
        <v>613</v>
      </c>
      <c r="AD35" s="19" t="s">
        <v>766</v>
      </c>
      <c r="AE35" s="19" t="s">
        <v>767</v>
      </c>
      <c r="AF35" s="19" t="s">
        <v>768</v>
      </c>
      <c r="AG35" s="19" t="s">
        <v>219</v>
      </c>
      <c r="AH35" s="19" t="s">
        <v>124</v>
      </c>
      <c r="AI35" s="19" t="s">
        <v>111</v>
      </c>
      <c r="AJ35" s="19" t="s">
        <v>769</v>
      </c>
      <c r="AK35" s="19"/>
      <c r="AL35" s="19"/>
      <c r="AM35" s="19" t="s">
        <v>770</v>
      </c>
      <c r="AN35" s="19" t="s">
        <v>771</v>
      </c>
      <c r="AO35" s="19" t="s">
        <v>772</v>
      </c>
      <c r="AP35" s="19" t="s">
        <v>773</v>
      </c>
      <c r="AQ35" s="19" t="s">
        <v>117</v>
      </c>
      <c r="AR35" s="19" t="s">
        <v>774</v>
      </c>
      <c r="AS35" s="19" t="s">
        <v>775</v>
      </c>
      <c r="AT35" s="19" t="s">
        <v>776</v>
      </c>
      <c r="AU35" s="19" t="s">
        <v>777</v>
      </c>
      <c r="AV35" s="19" t="s">
        <v>219</v>
      </c>
      <c r="AW35" s="19" t="s">
        <v>778</v>
      </c>
      <c r="AX35" s="19" t="s">
        <v>124</v>
      </c>
      <c r="AY35" s="19" t="s">
        <v>779</v>
      </c>
      <c r="AZ35" s="19" t="s">
        <v>780</v>
      </c>
      <c r="BA35" s="20">
        <v>36585</v>
      </c>
      <c r="BB35" s="19" t="s">
        <v>781</v>
      </c>
      <c r="BC35" s="19" t="s">
        <v>782</v>
      </c>
      <c r="BD35" s="19" t="s">
        <v>219</v>
      </c>
      <c r="BE35" s="19" t="s">
        <v>130</v>
      </c>
      <c r="BF35" s="19" t="s">
        <v>783</v>
      </c>
      <c r="BG35" s="19"/>
      <c r="BH35" s="19" t="s">
        <v>784</v>
      </c>
      <c r="BI35" s="19" t="s">
        <v>784</v>
      </c>
      <c r="BJ35" s="19" t="s">
        <v>166</v>
      </c>
      <c r="BK35" s="19" t="s">
        <v>785</v>
      </c>
      <c r="BL35" s="19" t="s">
        <v>122</v>
      </c>
      <c r="BM35" s="19" t="s">
        <v>196</v>
      </c>
      <c r="BN35" s="21">
        <v>1.827</v>
      </c>
      <c r="BO35" s="21">
        <v>1001.1411900000001</v>
      </c>
      <c r="BQ35" s="2"/>
      <c r="BR35" s="2"/>
      <c r="BS35" s="2"/>
      <c r="BT35" s="2"/>
      <c r="BU35" s="22"/>
      <c r="BV35" s="2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</row>
    <row r="36" spans="1:95" x14ac:dyDescent="0.25">
      <c r="A36" s="18">
        <v>33</v>
      </c>
      <c r="B36" s="19" t="s">
        <v>786</v>
      </c>
      <c r="C36" s="19" t="s">
        <v>787</v>
      </c>
      <c r="D36" s="20">
        <v>46003</v>
      </c>
      <c r="E36" s="20">
        <v>28436</v>
      </c>
      <c r="F36" s="19"/>
      <c r="G36" s="19"/>
      <c r="H36" s="19" t="s">
        <v>94</v>
      </c>
      <c r="I36" s="19"/>
      <c r="J36" s="19" t="s">
        <v>287</v>
      </c>
      <c r="K36" s="19" t="s">
        <v>288</v>
      </c>
      <c r="L36" s="19" t="s">
        <v>687</v>
      </c>
      <c r="M36" s="19" t="s">
        <v>688</v>
      </c>
      <c r="N36" s="19" t="s">
        <v>788</v>
      </c>
      <c r="O36" s="19" t="s">
        <v>100</v>
      </c>
      <c r="P36" s="19"/>
      <c r="Q36" s="19"/>
      <c r="R36" s="19"/>
      <c r="S36" s="19"/>
      <c r="T36" s="19"/>
      <c r="U36" s="19"/>
      <c r="V36" s="19"/>
      <c r="W36" s="19"/>
      <c r="X36" s="19"/>
      <c r="Y36" s="19" t="s">
        <v>101</v>
      </c>
      <c r="Z36" s="19" t="s">
        <v>102</v>
      </c>
      <c r="AA36" s="19" t="s">
        <v>103</v>
      </c>
      <c r="AB36" s="19" t="s">
        <v>789</v>
      </c>
      <c r="AC36" s="19" t="s">
        <v>790</v>
      </c>
      <c r="AD36" s="19" t="s">
        <v>791</v>
      </c>
      <c r="AE36" s="19" t="s">
        <v>792</v>
      </c>
      <c r="AF36" s="19" t="s">
        <v>793</v>
      </c>
      <c r="AG36" s="19" t="s">
        <v>148</v>
      </c>
      <c r="AH36" s="19" t="s">
        <v>149</v>
      </c>
      <c r="AI36" s="19" t="s">
        <v>111</v>
      </c>
      <c r="AJ36" s="19" t="s">
        <v>794</v>
      </c>
      <c r="AK36" s="19"/>
      <c r="AL36" s="19"/>
      <c r="AM36" s="19" t="s">
        <v>795</v>
      </c>
      <c r="AN36" s="19" t="s">
        <v>796</v>
      </c>
      <c r="AO36" s="19" t="s">
        <v>797</v>
      </c>
      <c r="AP36" s="19" t="s">
        <v>798</v>
      </c>
      <c r="AQ36" s="19" t="s">
        <v>117</v>
      </c>
      <c r="AR36" s="19" t="s">
        <v>799</v>
      </c>
      <c r="AS36" s="19" t="s">
        <v>800</v>
      </c>
      <c r="AT36" s="19" t="s">
        <v>801</v>
      </c>
      <c r="AU36" s="19" t="s">
        <v>802</v>
      </c>
      <c r="AV36" s="19" t="s">
        <v>148</v>
      </c>
      <c r="AW36" s="19" t="s">
        <v>441</v>
      </c>
      <c r="AX36" s="19" t="s">
        <v>149</v>
      </c>
      <c r="AY36" s="19" t="s">
        <v>803</v>
      </c>
      <c r="AZ36" s="19" t="s">
        <v>804</v>
      </c>
      <c r="BA36" s="20">
        <v>43111</v>
      </c>
      <c r="BB36" s="19" t="s">
        <v>331</v>
      </c>
      <c r="BC36" s="19" t="s">
        <v>805</v>
      </c>
      <c r="BD36" s="19" t="s">
        <v>806</v>
      </c>
      <c r="BE36" s="19" t="s">
        <v>130</v>
      </c>
      <c r="BF36" s="19" t="s">
        <v>807</v>
      </c>
      <c r="BG36" s="19"/>
      <c r="BH36" s="19" t="s">
        <v>808</v>
      </c>
      <c r="BI36" s="19" t="s">
        <v>808</v>
      </c>
      <c r="BJ36" s="19" t="s">
        <v>166</v>
      </c>
      <c r="BK36" s="19" t="s">
        <v>195</v>
      </c>
      <c r="BL36" s="19" t="s">
        <v>122</v>
      </c>
      <c r="BM36" s="19" t="s">
        <v>196</v>
      </c>
      <c r="BN36" s="21">
        <v>2516.23</v>
      </c>
      <c r="BO36" s="21">
        <v>49972.327799999999</v>
      </c>
      <c r="BQ36" s="2"/>
      <c r="BR36" s="2"/>
      <c r="BS36" s="2"/>
      <c r="BT36" s="2"/>
      <c r="BU36" s="22"/>
      <c r="BV36" s="2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</row>
    <row r="37" spans="1:95" x14ac:dyDescent="0.25">
      <c r="A37" s="18">
        <v>34</v>
      </c>
      <c r="B37" s="19" t="s">
        <v>809</v>
      </c>
      <c r="C37" s="19" t="s">
        <v>810</v>
      </c>
      <c r="D37" s="20">
        <v>46006</v>
      </c>
      <c r="E37" s="20">
        <v>34713</v>
      </c>
      <c r="F37" s="19"/>
      <c r="G37" s="19"/>
      <c r="H37" s="19" t="s">
        <v>94</v>
      </c>
      <c r="I37" s="19"/>
      <c r="J37" s="19"/>
      <c r="K37" s="19"/>
      <c r="L37" s="19" t="s">
        <v>140</v>
      </c>
      <c r="M37" s="19" t="s">
        <v>141</v>
      </c>
      <c r="N37" s="19" t="s">
        <v>811</v>
      </c>
      <c r="O37" s="19" t="s">
        <v>100</v>
      </c>
      <c r="P37" s="19"/>
      <c r="Q37" s="19"/>
      <c r="R37" s="19"/>
      <c r="S37" s="19"/>
      <c r="T37" s="19"/>
      <c r="U37" s="19"/>
      <c r="V37" s="19"/>
      <c r="W37" s="19"/>
      <c r="X37" s="19"/>
      <c r="Y37" s="19" t="s">
        <v>101</v>
      </c>
      <c r="Z37" s="19" t="s">
        <v>102</v>
      </c>
      <c r="AA37" s="19" t="s">
        <v>103</v>
      </c>
      <c r="AB37" s="19" t="s">
        <v>812</v>
      </c>
      <c r="AC37" s="19" t="s">
        <v>813</v>
      </c>
      <c r="AD37" s="19" t="s">
        <v>814</v>
      </c>
      <c r="AE37" s="19" t="s">
        <v>815</v>
      </c>
      <c r="AF37" s="19" t="s">
        <v>816</v>
      </c>
      <c r="AG37" s="19" t="s">
        <v>817</v>
      </c>
      <c r="AH37" s="19" t="s">
        <v>149</v>
      </c>
      <c r="AI37" s="19" t="s">
        <v>111</v>
      </c>
      <c r="AJ37" s="19" t="s">
        <v>818</v>
      </c>
      <c r="AK37" s="19"/>
      <c r="AL37" s="19"/>
      <c r="AM37" s="19" t="s">
        <v>819</v>
      </c>
      <c r="AN37" s="19" t="s">
        <v>820</v>
      </c>
      <c r="AO37" s="19" t="s">
        <v>579</v>
      </c>
      <c r="AP37" s="19" t="s">
        <v>580</v>
      </c>
      <c r="AQ37" s="19" t="s">
        <v>117</v>
      </c>
      <c r="AR37" s="19" t="s">
        <v>581</v>
      </c>
      <c r="AS37" s="19" t="s">
        <v>582</v>
      </c>
      <c r="AT37" s="19" t="s">
        <v>583</v>
      </c>
      <c r="AU37" s="19" t="s">
        <v>584</v>
      </c>
      <c r="AV37" s="19" t="s">
        <v>168</v>
      </c>
      <c r="AW37" s="19" t="s">
        <v>585</v>
      </c>
      <c r="AX37" s="19" t="s">
        <v>262</v>
      </c>
      <c r="AY37" s="19" t="s">
        <v>586</v>
      </c>
      <c r="AZ37" s="19" t="s">
        <v>587</v>
      </c>
      <c r="BA37" s="20">
        <v>44494</v>
      </c>
      <c r="BB37" s="19" t="s">
        <v>331</v>
      </c>
      <c r="BC37" s="19" t="s">
        <v>821</v>
      </c>
      <c r="BD37" s="19" t="s">
        <v>815</v>
      </c>
      <c r="BE37" s="19" t="s">
        <v>130</v>
      </c>
      <c r="BF37" s="19" t="s">
        <v>822</v>
      </c>
      <c r="BG37" s="19"/>
      <c r="BH37" s="19" t="s">
        <v>823</v>
      </c>
      <c r="BI37" s="19" t="s">
        <v>823</v>
      </c>
      <c r="BJ37" s="19" t="s">
        <v>194</v>
      </c>
      <c r="BK37" s="19" t="s">
        <v>591</v>
      </c>
      <c r="BL37" s="19" t="s">
        <v>122</v>
      </c>
      <c r="BM37" s="19" t="s">
        <v>592</v>
      </c>
      <c r="BN37" s="21">
        <v>14.797000000000001</v>
      </c>
      <c r="BO37" s="21">
        <v>513.01198999999997</v>
      </c>
      <c r="BQ37" s="2"/>
      <c r="BR37" s="2"/>
      <c r="BS37" s="2"/>
      <c r="BT37" s="2"/>
      <c r="BU37" s="22"/>
      <c r="BV37" s="2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</row>
    <row r="38" spans="1:95" x14ac:dyDescent="0.25">
      <c r="A38" s="18">
        <v>35</v>
      </c>
      <c r="B38" s="19" t="s">
        <v>824</v>
      </c>
      <c r="C38" s="19" t="s">
        <v>825</v>
      </c>
      <c r="D38" s="20">
        <v>46006</v>
      </c>
      <c r="E38" s="20">
        <v>34822</v>
      </c>
      <c r="F38" s="19"/>
      <c r="G38" s="19"/>
      <c r="H38" s="19" t="s">
        <v>94</v>
      </c>
      <c r="I38" s="19"/>
      <c r="J38" s="19"/>
      <c r="K38" s="19"/>
      <c r="L38" s="19" t="s">
        <v>97</v>
      </c>
      <c r="M38" s="19" t="s">
        <v>98</v>
      </c>
      <c r="N38" s="19" t="s">
        <v>826</v>
      </c>
      <c r="O38" s="19" t="s">
        <v>100</v>
      </c>
      <c r="P38" s="19"/>
      <c r="Q38" s="19"/>
      <c r="R38" s="19"/>
      <c r="S38" s="19"/>
      <c r="T38" s="19"/>
      <c r="U38" s="19"/>
      <c r="V38" s="19"/>
      <c r="W38" s="19"/>
      <c r="X38" s="19"/>
      <c r="Y38" s="19" t="s">
        <v>101</v>
      </c>
      <c r="Z38" s="19" t="s">
        <v>102</v>
      </c>
      <c r="AA38" s="19" t="s">
        <v>103</v>
      </c>
      <c r="AB38" s="19" t="s">
        <v>827</v>
      </c>
      <c r="AC38" s="19" t="s">
        <v>828</v>
      </c>
      <c r="AD38" s="19" t="s">
        <v>829</v>
      </c>
      <c r="AE38" s="19" t="s">
        <v>830</v>
      </c>
      <c r="AF38" s="19" t="s">
        <v>831</v>
      </c>
      <c r="AG38" s="19" t="s">
        <v>490</v>
      </c>
      <c r="AH38" s="19" t="s">
        <v>262</v>
      </c>
      <c r="AI38" s="19" t="s">
        <v>111</v>
      </c>
      <c r="AJ38" s="19" t="s">
        <v>832</v>
      </c>
      <c r="AK38" s="19"/>
      <c r="AL38" s="19"/>
      <c r="AM38" s="19" t="s">
        <v>833</v>
      </c>
      <c r="AN38" s="19" t="s">
        <v>834</v>
      </c>
      <c r="AO38" s="19" t="s">
        <v>835</v>
      </c>
      <c r="AP38" s="19" t="s">
        <v>836</v>
      </c>
      <c r="AQ38" s="19" t="s">
        <v>117</v>
      </c>
      <c r="AR38" s="19" t="s">
        <v>837</v>
      </c>
      <c r="AS38" s="19" t="s">
        <v>838</v>
      </c>
      <c r="AT38" s="19" t="s">
        <v>839</v>
      </c>
      <c r="AU38" s="19" t="s">
        <v>840</v>
      </c>
      <c r="AV38" s="19" t="s">
        <v>841</v>
      </c>
      <c r="AW38" s="19"/>
      <c r="AX38" s="19" t="s">
        <v>707</v>
      </c>
      <c r="AY38" s="19" t="s">
        <v>842</v>
      </c>
      <c r="AZ38" s="19" t="s">
        <v>843</v>
      </c>
      <c r="BA38" s="20">
        <v>45453</v>
      </c>
      <c r="BB38" s="19" t="s">
        <v>444</v>
      </c>
      <c r="BC38" s="19" t="s">
        <v>844</v>
      </c>
      <c r="BD38" s="19" t="s">
        <v>260</v>
      </c>
      <c r="BE38" s="19" t="s">
        <v>130</v>
      </c>
      <c r="BF38" s="19" t="s">
        <v>845</v>
      </c>
      <c r="BG38" s="19"/>
      <c r="BH38" s="19" t="s">
        <v>846</v>
      </c>
      <c r="BI38" s="19" t="s">
        <v>846</v>
      </c>
      <c r="BJ38" s="19" t="s">
        <v>194</v>
      </c>
      <c r="BK38" s="19" t="s">
        <v>195</v>
      </c>
      <c r="BL38" s="19" t="s">
        <v>122</v>
      </c>
      <c r="BM38" s="19" t="s">
        <v>196</v>
      </c>
      <c r="BN38" s="21">
        <v>11.891</v>
      </c>
      <c r="BO38" s="21">
        <v>2006.6407339</v>
      </c>
      <c r="BQ38" s="2"/>
      <c r="BR38" s="2"/>
      <c r="BS38" s="2"/>
      <c r="BT38" s="2"/>
      <c r="BU38" s="22"/>
      <c r="BV38" s="2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</row>
    <row r="39" spans="1:95" x14ac:dyDescent="0.25">
      <c r="A39" s="18">
        <v>36</v>
      </c>
      <c r="B39" s="19" t="s">
        <v>847</v>
      </c>
      <c r="C39" s="19" t="s">
        <v>848</v>
      </c>
      <c r="D39" s="20">
        <v>46006</v>
      </c>
      <c r="E39" s="20">
        <v>31152</v>
      </c>
      <c r="F39" s="19"/>
      <c r="G39" s="19"/>
      <c r="H39" s="19" t="s">
        <v>94</v>
      </c>
      <c r="I39" s="19"/>
      <c r="J39" s="19"/>
      <c r="K39" s="19"/>
      <c r="L39" s="19" t="s">
        <v>97</v>
      </c>
      <c r="M39" s="19" t="s">
        <v>98</v>
      </c>
      <c r="N39" s="19" t="s">
        <v>849</v>
      </c>
      <c r="O39" s="19" t="s">
        <v>100</v>
      </c>
      <c r="P39" s="19"/>
      <c r="Q39" s="19"/>
      <c r="R39" s="19"/>
      <c r="S39" s="19"/>
      <c r="T39" s="19"/>
      <c r="U39" s="19"/>
      <c r="V39" s="19"/>
      <c r="W39" s="19"/>
      <c r="X39" s="19"/>
      <c r="Y39" s="19" t="s">
        <v>101</v>
      </c>
      <c r="Z39" s="19" t="s">
        <v>102</v>
      </c>
      <c r="AA39" s="19" t="s">
        <v>103</v>
      </c>
      <c r="AB39" s="19" t="s">
        <v>850</v>
      </c>
      <c r="AC39" s="19" t="s">
        <v>851</v>
      </c>
      <c r="AD39" s="19" t="s">
        <v>852</v>
      </c>
      <c r="AE39" s="19" t="s">
        <v>853</v>
      </c>
      <c r="AF39" s="19"/>
      <c r="AG39" s="19" t="s">
        <v>646</v>
      </c>
      <c r="AH39" s="19" t="s">
        <v>110</v>
      </c>
      <c r="AI39" s="19" t="s">
        <v>111</v>
      </c>
      <c r="AJ39" s="19" t="s">
        <v>648</v>
      </c>
      <c r="AK39" s="19"/>
      <c r="AL39" s="19"/>
      <c r="AM39" s="19" t="s">
        <v>854</v>
      </c>
      <c r="AN39" s="19" t="s">
        <v>855</v>
      </c>
      <c r="AO39" s="19" t="s">
        <v>856</v>
      </c>
      <c r="AP39" s="19" t="s">
        <v>857</v>
      </c>
      <c r="AQ39" s="19" t="s">
        <v>117</v>
      </c>
      <c r="AR39" s="19" t="s">
        <v>858</v>
      </c>
      <c r="AS39" s="19" t="s">
        <v>859</v>
      </c>
      <c r="AT39" s="19" t="s">
        <v>860</v>
      </c>
      <c r="AU39" s="19"/>
      <c r="AV39" s="19" t="s">
        <v>861</v>
      </c>
      <c r="AW39" s="19" t="s">
        <v>862</v>
      </c>
      <c r="AX39" s="19" t="s">
        <v>110</v>
      </c>
      <c r="AY39" s="19" t="s">
        <v>863</v>
      </c>
      <c r="AZ39" s="19" t="s">
        <v>864</v>
      </c>
      <c r="BA39" s="20">
        <v>45776</v>
      </c>
      <c r="BB39" s="19" t="s">
        <v>331</v>
      </c>
      <c r="BC39" s="19" t="s">
        <v>865</v>
      </c>
      <c r="BD39" s="19" t="s">
        <v>646</v>
      </c>
      <c r="BE39" s="19" t="s">
        <v>130</v>
      </c>
      <c r="BF39" s="19" t="s">
        <v>866</v>
      </c>
      <c r="BG39" s="19" t="s">
        <v>867</v>
      </c>
      <c r="BH39" s="19" t="s">
        <v>868</v>
      </c>
      <c r="BI39" s="19" t="s">
        <v>868</v>
      </c>
      <c r="BJ39" s="19" t="s">
        <v>166</v>
      </c>
      <c r="BK39" s="19" t="s">
        <v>667</v>
      </c>
      <c r="BL39" s="19" t="s">
        <v>646</v>
      </c>
      <c r="BM39" s="19" t="s">
        <v>135</v>
      </c>
      <c r="BN39" s="21">
        <v>912.28</v>
      </c>
      <c r="BO39" s="21">
        <v>100341.67720000001</v>
      </c>
      <c r="BQ39" s="2"/>
      <c r="BR39" s="2"/>
      <c r="BS39" s="2"/>
      <c r="BT39" s="2"/>
      <c r="BU39" s="22"/>
      <c r="BV39" s="2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</row>
    <row r="40" spans="1:95" x14ac:dyDescent="0.25">
      <c r="A40" s="18">
        <v>37</v>
      </c>
      <c r="B40" s="19" t="s">
        <v>869</v>
      </c>
      <c r="C40" s="19" t="s">
        <v>870</v>
      </c>
      <c r="D40" s="20">
        <v>46007</v>
      </c>
      <c r="E40" s="20">
        <v>34151</v>
      </c>
      <c r="F40" s="19" t="s">
        <v>871</v>
      </c>
      <c r="G40" s="19" t="s">
        <v>139</v>
      </c>
      <c r="H40" s="19" t="s">
        <v>117</v>
      </c>
      <c r="I40" s="19" t="s">
        <v>872</v>
      </c>
      <c r="J40" s="19"/>
      <c r="K40" s="19"/>
      <c r="L40" s="19" t="s">
        <v>101</v>
      </c>
      <c r="M40" s="19" t="s">
        <v>290</v>
      </c>
      <c r="N40" s="19" t="s">
        <v>873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 t="s">
        <v>101</v>
      </c>
      <c r="Z40" s="19" t="s">
        <v>102</v>
      </c>
      <c r="AA40" s="19" t="s">
        <v>103</v>
      </c>
      <c r="AB40" s="19" t="s">
        <v>173</v>
      </c>
      <c r="AC40" s="19" t="s">
        <v>174</v>
      </c>
      <c r="AD40" s="19" t="s">
        <v>874</v>
      </c>
      <c r="AE40" s="19"/>
      <c r="AF40" s="19"/>
      <c r="AG40" s="19" t="s">
        <v>875</v>
      </c>
      <c r="AH40" s="19" t="s">
        <v>327</v>
      </c>
      <c r="AI40" s="19"/>
      <c r="AJ40" s="19" t="s">
        <v>876</v>
      </c>
      <c r="AK40" s="19"/>
      <c r="AL40" s="19"/>
      <c r="AM40" s="19" t="s">
        <v>877</v>
      </c>
      <c r="AN40" s="19" t="s">
        <v>878</v>
      </c>
      <c r="AO40" s="19" t="s">
        <v>476</v>
      </c>
      <c r="AP40" s="19" t="s">
        <v>477</v>
      </c>
      <c r="AQ40" s="19" t="s">
        <v>117</v>
      </c>
      <c r="AR40" s="19" t="s">
        <v>478</v>
      </c>
      <c r="AS40" s="19"/>
      <c r="AT40" s="19"/>
      <c r="AU40" s="19"/>
      <c r="AV40" s="19"/>
      <c r="AW40" s="19"/>
      <c r="AX40" s="19"/>
      <c r="AY40" s="19"/>
      <c r="AZ40" s="19"/>
      <c r="BA40" s="20">
        <v>44452</v>
      </c>
      <c r="BB40" s="19" t="s">
        <v>265</v>
      </c>
      <c r="BC40" s="19" t="s">
        <v>879</v>
      </c>
      <c r="BD40" s="19" t="s">
        <v>880</v>
      </c>
      <c r="BE40" s="19" t="s">
        <v>130</v>
      </c>
      <c r="BF40" s="19" t="s">
        <v>881</v>
      </c>
      <c r="BG40" s="19"/>
      <c r="BH40" s="19" t="s">
        <v>882</v>
      </c>
      <c r="BI40" s="19" t="s">
        <v>882</v>
      </c>
      <c r="BJ40" s="19" t="s">
        <v>166</v>
      </c>
      <c r="BK40" s="19" t="s">
        <v>167</v>
      </c>
      <c r="BL40" s="19" t="s">
        <v>168</v>
      </c>
      <c r="BM40" s="19" t="s">
        <v>169</v>
      </c>
      <c r="BN40" s="21">
        <v>3.3109999999999999</v>
      </c>
      <c r="BO40" s="21">
        <v>117.2895262</v>
      </c>
      <c r="BQ40" s="2"/>
      <c r="BR40" s="2"/>
      <c r="BS40" s="2"/>
      <c r="BT40" s="2"/>
      <c r="BU40" s="22"/>
      <c r="BV40" s="2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</row>
    <row r="41" spans="1:95" x14ac:dyDescent="0.25">
      <c r="A41" s="18">
        <v>38</v>
      </c>
      <c r="B41" s="19" t="s">
        <v>883</v>
      </c>
      <c r="C41" s="19" t="s">
        <v>884</v>
      </c>
      <c r="D41" s="20">
        <v>46007</v>
      </c>
      <c r="E41" s="20">
        <v>31170</v>
      </c>
      <c r="F41" s="19" t="s">
        <v>885</v>
      </c>
      <c r="G41" s="19" t="s">
        <v>139</v>
      </c>
      <c r="H41" s="19" t="s">
        <v>94</v>
      </c>
      <c r="I41" s="19"/>
      <c r="J41" s="19"/>
      <c r="K41" s="19"/>
      <c r="L41" s="19" t="s">
        <v>101</v>
      </c>
      <c r="M41" s="19" t="s">
        <v>290</v>
      </c>
      <c r="N41" s="19" t="s">
        <v>886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 t="s">
        <v>101</v>
      </c>
      <c r="Z41" s="19" t="s">
        <v>102</v>
      </c>
      <c r="AA41" s="19" t="s">
        <v>103</v>
      </c>
      <c r="AB41" s="19" t="s">
        <v>887</v>
      </c>
      <c r="AC41" s="19" t="s">
        <v>888</v>
      </c>
      <c r="AD41" s="19" t="s">
        <v>889</v>
      </c>
      <c r="AE41" s="19" t="s">
        <v>890</v>
      </c>
      <c r="AF41" s="19"/>
      <c r="AG41" s="19" t="s">
        <v>891</v>
      </c>
      <c r="AH41" s="19" t="s">
        <v>110</v>
      </c>
      <c r="AI41" s="19" t="s">
        <v>111</v>
      </c>
      <c r="AJ41" s="19" t="s">
        <v>892</v>
      </c>
      <c r="AK41" s="19"/>
      <c r="AL41" s="19"/>
      <c r="AM41" s="19" t="s">
        <v>893</v>
      </c>
      <c r="AN41" s="19" t="s">
        <v>894</v>
      </c>
      <c r="AO41" s="19" t="s">
        <v>895</v>
      </c>
      <c r="AP41" s="19" t="s">
        <v>896</v>
      </c>
      <c r="AQ41" s="19" t="s">
        <v>117</v>
      </c>
      <c r="AR41" s="19" t="s">
        <v>897</v>
      </c>
      <c r="AS41" s="19" t="s">
        <v>898</v>
      </c>
      <c r="AT41" s="19" t="s">
        <v>899</v>
      </c>
      <c r="AU41" s="19" t="s">
        <v>900</v>
      </c>
      <c r="AV41" s="19" t="s">
        <v>122</v>
      </c>
      <c r="AW41" s="19" t="s">
        <v>123</v>
      </c>
      <c r="AX41" s="19" t="s">
        <v>901</v>
      </c>
      <c r="AY41" s="19" t="s">
        <v>902</v>
      </c>
      <c r="AZ41" s="19" t="s">
        <v>903</v>
      </c>
      <c r="BA41" s="20">
        <v>37265</v>
      </c>
      <c r="BB41" s="19" t="s">
        <v>331</v>
      </c>
      <c r="BC41" s="19" t="s">
        <v>904</v>
      </c>
      <c r="BD41" s="19" t="s">
        <v>129</v>
      </c>
      <c r="BE41" s="19" t="s">
        <v>130</v>
      </c>
      <c r="BF41" s="19" t="s">
        <v>905</v>
      </c>
      <c r="BG41" s="19"/>
      <c r="BH41" s="19" t="s">
        <v>906</v>
      </c>
      <c r="BI41" s="19" t="s">
        <v>906</v>
      </c>
      <c r="BJ41" s="19" t="s">
        <v>166</v>
      </c>
      <c r="BK41" s="19" t="s">
        <v>907</v>
      </c>
      <c r="BL41" s="19" t="s">
        <v>122</v>
      </c>
      <c r="BM41" s="19" t="s">
        <v>592</v>
      </c>
      <c r="BN41" s="21">
        <v>24.896000000000001</v>
      </c>
      <c r="BO41" s="21">
        <v>509.02112640000001</v>
      </c>
      <c r="BQ41" s="2"/>
      <c r="BR41" s="2"/>
      <c r="BS41" s="2"/>
      <c r="BT41" s="2"/>
      <c r="BU41" s="22"/>
      <c r="BV41" s="2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</row>
    <row r="42" spans="1:95" x14ac:dyDescent="0.25">
      <c r="A42" s="18">
        <v>39</v>
      </c>
      <c r="B42" s="19" t="s">
        <v>908</v>
      </c>
      <c r="C42" s="19" t="s">
        <v>909</v>
      </c>
      <c r="D42" s="20">
        <v>46008</v>
      </c>
      <c r="E42" s="20">
        <v>24744</v>
      </c>
      <c r="F42" s="19"/>
      <c r="G42" s="19"/>
      <c r="H42" s="19" t="s">
        <v>94</v>
      </c>
      <c r="I42" s="19"/>
      <c r="J42" s="19" t="s">
        <v>287</v>
      </c>
      <c r="K42" s="19" t="s">
        <v>288</v>
      </c>
      <c r="L42" s="19" t="s">
        <v>97</v>
      </c>
      <c r="M42" s="19" t="s">
        <v>98</v>
      </c>
      <c r="N42" s="19" t="s">
        <v>910</v>
      </c>
      <c r="O42" s="19" t="s">
        <v>100</v>
      </c>
      <c r="P42" s="19"/>
      <c r="Q42" s="19"/>
      <c r="R42" s="19"/>
      <c r="S42" s="19"/>
      <c r="T42" s="19"/>
      <c r="U42" s="19"/>
      <c r="V42" s="19"/>
      <c r="W42" s="19"/>
      <c r="X42" s="19"/>
      <c r="Y42" s="19" t="s">
        <v>101</v>
      </c>
      <c r="Z42" s="19" t="s">
        <v>102</v>
      </c>
      <c r="AA42" s="19" t="s">
        <v>103</v>
      </c>
      <c r="AB42" s="19" t="s">
        <v>402</v>
      </c>
      <c r="AC42" s="19" t="s">
        <v>403</v>
      </c>
      <c r="AD42" s="19" t="s">
        <v>911</v>
      </c>
      <c r="AE42" s="19" t="s">
        <v>912</v>
      </c>
      <c r="AF42" s="19"/>
      <c r="AG42" s="19" t="s">
        <v>913</v>
      </c>
      <c r="AH42" s="19" t="s">
        <v>124</v>
      </c>
      <c r="AI42" s="19" t="s">
        <v>111</v>
      </c>
      <c r="AJ42" s="19" t="s">
        <v>914</v>
      </c>
      <c r="AK42" s="19"/>
      <c r="AL42" s="19"/>
      <c r="AM42" s="19" t="s">
        <v>915</v>
      </c>
      <c r="AN42" s="19" t="s">
        <v>916</v>
      </c>
      <c r="AO42" s="19" t="s">
        <v>917</v>
      </c>
      <c r="AP42" s="19" t="s">
        <v>918</v>
      </c>
      <c r="AQ42" s="19" t="s">
        <v>117</v>
      </c>
      <c r="AR42" s="19" t="s">
        <v>919</v>
      </c>
      <c r="AS42" s="19" t="s">
        <v>920</v>
      </c>
      <c r="AT42" s="19" t="s">
        <v>921</v>
      </c>
      <c r="AU42" s="19" t="s">
        <v>922</v>
      </c>
      <c r="AV42" s="19" t="s">
        <v>219</v>
      </c>
      <c r="AW42" s="19" t="s">
        <v>923</v>
      </c>
      <c r="AX42" s="19" t="s">
        <v>124</v>
      </c>
      <c r="AY42" s="19" t="s">
        <v>924</v>
      </c>
      <c r="AZ42" s="19" t="s">
        <v>925</v>
      </c>
      <c r="BA42" s="20">
        <v>39455</v>
      </c>
      <c r="BB42" s="19" t="s">
        <v>926</v>
      </c>
      <c r="BC42" s="19" t="s">
        <v>927</v>
      </c>
      <c r="BD42" s="19" t="s">
        <v>927</v>
      </c>
      <c r="BE42" s="19" t="s">
        <v>130</v>
      </c>
      <c r="BF42" s="19" t="s">
        <v>928</v>
      </c>
      <c r="BG42" s="19" t="s">
        <v>929</v>
      </c>
      <c r="BH42" s="19" t="s">
        <v>930</v>
      </c>
      <c r="BI42" s="19" t="s">
        <v>930</v>
      </c>
      <c r="BJ42" s="19" t="s">
        <v>931</v>
      </c>
      <c r="BK42" s="19" t="s">
        <v>932</v>
      </c>
      <c r="BL42" s="19" t="s">
        <v>933</v>
      </c>
      <c r="BM42" s="19" t="s">
        <v>196</v>
      </c>
      <c r="BN42" s="21">
        <v>0</v>
      </c>
      <c r="BO42" s="21">
        <v>0</v>
      </c>
      <c r="BQ42" s="2"/>
      <c r="BR42" s="2"/>
      <c r="BS42" s="2"/>
      <c r="BT42" s="2"/>
      <c r="BU42" s="22"/>
      <c r="BV42" s="2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</row>
    <row r="43" spans="1:95" x14ac:dyDescent="0.25">
      <c r="A43" s="18">
        <v>40</v>
      </c>
      <c r="B43" s="19" t="s">
        <v>934</v>
      </c>
      <c r="C43" s="19" t="s">
        <v>935</v>
      </c>
      <c r="D43" s="20">
        <v>46009</v>
      </c>
      <c r="E43" s="20">
        <v>37086</v>
      </c>
      <c r="F43" s="19" t="s">
        <v>936</v>
      </c>
      <c r="G43" s="19" t="s">
        <v>139</v>
      </c>
      <c r="H43" s="19" t="s">
        <v>94</v>
      </c>
      <c r="I43" s="19"/>
      <c r="J43" s="19"/>
      <c r="K43" s="19"/>
      <c r="L43" s="19" t="s">
        <v>244</v>
      </c>
      <c r="M43" s="19" t="s">
        <v>245</v>
      </c>
      <c r="N43" s="19" t="s">
        <v>937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 t="s">
        <v>101</v>
      </c>
      <c r="Z43" s="19" t="s">
        <v>102</v>
      </c>
      <c r="AA43" s="19" t="s">
        <v>103</v>
      </c>
      <c r="AB43" s="19" t="s">
        <v>143</v>
      </c>
      <c r="AC43" s="19" t="s">
        <v>144</v>
      </c>
      <c r="AD43" s="19" t="s">
        <v>938</v>
      </c>
      <c r="AE43" s="19" t="s">
        <v>939</v>
      </c>
      <c r="AF43" s="19" t="s">
        <v>940</v>
      </c>
      <c r="AG43" s="19" t="s">
        <v>941</v>
      </c>
      <c r="AH43" s="19" t="s">
        <v>942</v>
      </c>
      <c r="AI43" s="19"/>
      <c r="AJ43" s="19" t="s">
        <v>943</v>
      </c>
      <c r="AK43" s="19"/>
      <c r="AL43" s="19"/>
      <c r="AM43" s="19" t="s">
        <v>944</v>
      </c>
      <c r="AN43" s="19" t="s">
        <v>945</v>
      </c>
      <c r="AO43" s="19" t="s">
        <v>255</v>
      </c>
      <c r="AP43" s="19" t="s">
        <v>256</v>
      </c>
      <c r="AQ43" s="19" t="s">
        <v>117</v>
      </c>
      <c r="AR43" s="19" t="s">
        <v>257</v>
      </c>
      <c r="AS43" s="19" t="s">
        <v>258</v>
      </c>
      <c r="AT43" s="19" t="s">
        <v>259</v>
      </c>
      <c r="AU43" s="19" t="s">
        <v>260</v>
      </c>
      <c r="AV43" s="19" t="s">
        <v>260</v>
      </c>
      <c r="AW43" s="19" t="s">
        <v>261</v>
      </c>
      <c r="AX43" s="19" t="s">
        <v>262</v>
      </c>
      <c r="AY43" s="19" t="s">
        <v>263</v>
      </c>
      <c r="AZ43" s="19" t="s">
        <v>264</v>
      </c>
      <c r="BA43" s="20">
        <v>43627</v>
      </c>
      <c r="BB43" s="19" t="s">
        <v>331</v>
      </c>
      <c r="BC43" s="19" t="s">
        <v>946</v>
      </c>
      <c r="BD43" s="19" t="s">
        <v>946</v>
      </c>
      <c r="BE43" s="19" t="s">
        <v>130</v>
      </c>
      <c r="BF43" s="19" t="s">
        <v>947</v>
      </c>
      <c r="BG43" s="19"/>
      <c r="BH43" s="19" t="s">
        <v>948</v>
      </c>
      <c r="BI43" s="19" t="s">
        <v>948</v>
      </c>
      <c r="BJ43" s="19" t="s">
        <v>166</v>
      </c>
      <c r="BK43" s="19" t="s">
        <v>167</v>
      </c>
      <c r="BL43" s="19" t="s">
        <v>168</v>
      </c>
      <c r="BM43" s="19" t="s">
        <v>169</v>
      </c>
      <c r="BN43" s="21">
        <v>407.25599999999997</v>
      </c>
      <c r="BO43" s="21">
        <v>15512.38104</v>
      </c>
      <c r="BQ43" s="2"/>
      <c r="BR43" s="2"/>
      <c r="BS43" s="2"/>
      <c r="BT43" s="2"/>
      <c r="BU43" s="22"/>
      <c r="BV43" s="2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</row>
    <row r="44" spans="1:95" x14ac:dyDescent="0.25">
      <c r="A44" s="18">
        <v>41</v>
      </c>
      <c r="B44" s="19" t="s">
        <v>949</v>
      </c>
      <c r="C44" s="19" t="s">
        <v>950</v>
      </c>
      <c r="D44" s="20">
        <v>46010</v>
      </c>
      <c r="E44" s="20">
        <v>35467</v>
      </c>
      <c r="F44" s="19" t="s">
        <v>951</v>
      </c>
      <c r="G44" s="19" t="s">
        <v>139</v>
      </c>
      <c r="H44" s="19" t="s">
        <v>94</v>
      </c>
      <c r="I44" s="19"/>
      <c r="J44" s="19"/>
      <c r="K44" s="19"/>
      <c r="L44" s="19" t="s">
        <v>244</v>
      </c>
      <c r="M44" s="19" t="s">
        <v>245</v>
      </c>
      <c r="N44" s="19" t="s">
        <v>952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 t="s">
        <v>101</v>
      </c>
      <c r="Z44" s="19" t="s">
        <v>102</v>
      </c>
      <c r="AA44" s="19" t="s">
        <v>103</v>
      </c>
      <c r="AB44" s="19" t="s">
        <v>953</v>
      </c>
      <c r="AC44" s="19" t="s">
        <v>954</v>
      </c>
      <c r="AD44" s="19" t="s">
        <v>955</v>
      </c>
      <c r="AE44" s="19" t="s">
        <v>956</v>
      </c>
      <c r="AF44" s="19" t="s">
        <v>957</v>
      </c>
      <c r="AG44" s="19" t="s">
        <v>490</v>
      </c>
      <c r="AH44" s="19" t="s">
        <v>262</v>
      </c>
      <c r="AI44" s="19" t="s">
        <v>111</v>
      </c>
      <c r="AJ44" s="19" t="s">
        <v>958</v>
      </c>
      <c r="AK44" s="19"/>
      <c r="AL44" s="19"/>
      <c r="AM44" s="19" t="s">
        <v>959</v>
      </c>
      <c r="AN44" s="19" t="s">
        <v>960</v>
      </c>
      <c r="AO44" s="19" t="s">
        <v>255</v>
      </c>
      <c r="AP44" s="19" t="s">
        <v>256</v>
      </c>
      <c r="AQ44" s="19" t="s">
        <v>117</v>
      </c>
      <c r="AR44" s="19" t="s">
        <v>257</v>
      </c>
      <c r="AS44" s="19" t="s">
        <v>258</v>
      </c>
      <c r="AT44" s="19" t="s">
        <v>259</v>
      </c>
      <c r="AU44" s="19" t="s">
        <v>260</v>
      </c>
      <c r="AV44" s="19" t="s">
        <v>260</v>
      </c>
      <c r="AW44" s="19" t="s">
        <v>261</v>
      </c>
      <c r="AX44" s="19" t="s">
        <v>262</v>
      </c>
      <c r="AY44" s="19" t="s">
        <v>263</v>
      </c>
      <c r="AZ44" s="19" t="s">
        <v>264</v>
      </c>
      <c r="BA44" s="20">
        <v>43627</v>
      </c>
      <c r="BB44" s="19" t="s">
        <v>961</v>
      </c>
      <c r="BC44" s="19" t="s">
        <v>962</v>
      </c>
      <c r="BD44" s="19" t="s">
        <v>260</v>
      </c>
      <c r="BE44" s="19" t="s">
        <v>130</v>
      </c>
      <c r="BF44" s="19" t="s">
        <v>963</v>
      </c>
      <c r="BG44" s="19"/>
      <c r="BH44" s="19" t="s">
        <v>964</v>
      </c>
      <c r="BI44" s="19" t="s">
        <v>964</v>
      </c>
      <c r="BJ44" s="19" t="s">
        <v>166</v>
      </c>
      <c r="BK44" s="19" t="s">
        <v>167</v>
      </c>
      <c r="BL44" s="19" t="s">
        <v>168</v>
      </c>
      <c r="BM44" s="19" t="s">
        <v>169</v>
      </c>
      <c r="BN44" s="21">
        <v>49.957999999999998</v>
      </c>
      <c r="BO44" s="21">
        <v>2012.3931686000001</v>
      </c>
      <c r="BQ44" s="2"/>
      <c r="BR44" s="2"/>
      <c r="BS44" s="2"/>
      <c r="BT44" s="2"/>
      <c r="BU44" s="22"/>
      <c r="BV44" s="2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</row>
    <row r="45" spans="1:95" x14ac:dyDescent="0.25">
      <c r="A45" s="18">
        <v>42</v>
      </c>
      <c r="B45" s="19" t="s">
        <v>965</v>
      </c>
      <c r="C45" s="19" t="s">
        <v>966</v>
      </c>
      <c r="D45" s="20">
        <v>46010</v>
      </c>
      <c r="E45" s="20">
        <v>30496</v>
      </c>
      <c r="F45" s="19" t="s">
        <v>967</v>
      </c>
      <c r="G45" s="19" t="s">
        <v>139</v>
      </c>
      <c r="H45" s="19" t="s">
        <v>94</v>
      </c>
      <c r="I45" s="19"/>
      <c r="J45" s="19"/>
      <c r="K45" s="19"/>
      <c r="L45" s="19" t="s">
        <v>101</v>
      </c>
      <c r="M45" s="19" t="s">
        <v>290</v>
      </c>
      <c r="N45" s="19" t="s">
        <v>968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 t="s">
        <v>101</v>
      </c>
      <c r="Z45" s="19" t="s">
        <v>102</v>
      </c>
      <c r="AA45" s="19" t="s">
        <v>103</v>
      </c>
      <c r="AB45" s="19" t="s">
        <v>173</v>
      </c>
      <c r="AC45" s="19" t="s">
        <v>174</v>
      </c>
      <c r="AD45" s="19" t="s">
        <v>969</v>
      </c>
      <c r="AE45" s="19" t="s">
        <v>970</v>
      </c>
      <c r="AF45" s="19" t="s">
        <v>971</v>
      </c>
      <c r="AG45" s="19" t="s">
        <v>490</v>
      </c>
      <c r="AH45" s="19" t="s">
        <v>262</v>
      </c>
      <c r="AI45" s="19" t="s">
        <v>111</v>
      </c>
      <c r="AJ45" s="19" t="s">
        <v>972</v>
      </c>
      <c r="AK45" s="19"/>
      <c r="AL45" s="19" t="s">
        <v>973</v>
      </c>
      <c r="AM45" s="19" t="s">
        <v>974</v>
      </c>
      <c r="AN45" s="19" t="s">
        <v>975</v>
      </c>
      <c r="AO45" s="19" t="s">
        <v>154</v>
      </c>
      <c r="AP45" s="19" t="s">
        <v>155</v>
      </c>
      <c r="AQ45" s="19" t="s">
        <v>117</v>
      </c>
      <c r="AR45" s="19" t="s">
        <v>156</v>
      </c>
      <c r="AS45" s="19" t="s">
        <v>157</v>
      </c>
      <c r="AT45" s="19" t="s">
        <v>158</v>
      </c>
      <c r="AU45" s="19"/>
      <c r="AV45" s="19" t="s">
        <v>122</v>
      </c>
      <c r="AW45" s="19"/>
      <c r="AX45" s="19" t="s">
        <v>124</v>
      </c>
      <c r="AY45" s="19" t="s">
        <v>159</v>
      </c>
      <c r="AZ45" s="19" t="s">
        <v>160</v>
      </c>
      <c r="BA45" s="20">
        <v>44676</v>
      </c>
      <c r="BB45" s="19" t="s">
        <v>976</v>
      </c>
      <c r="BC45" s="19" t="s">
        <v>977</v>
      </c>
      <c r="BD45" s="19" t="s">
        <v>978</v>
      </c>
      <c r="BE45" s="19" t="s">
        <v>130</v>
      </c>
      <c r="BF45" s="19" t="s">
        <v>979</v>
      </c>
      <c r="BG45" s="19"/>
      <c r="BH45" s="19" t="s">
        <v>980</v>
      </c>
      <c r="BI45" s="19" t="s">
        <v>980</v>
      </c>
      <c r="BJ45" s="19" t="s">
        <v>166</v>
      </c>
      <c r="BK45" s="19" t="s">
        <v>167</v>
      </c>
      <c r="BL45" s="19" t="s">
        <v>168</v>
      </c>
      <c r="BM45" s="19" t="s">
        <v>169</v>
      </c>
      <c r="BN45" s="21">
        <v>158.84899999999999</v>
      </c>
      <c r="BO45" s="21">
        <v>5627.0987458</v>
      </c>
      <c r="BQ45" s="2"/>
      <c r="BR45" s="2"/>
      <c r="BS45" s="2"/>
      <c r="BT45" s="2"/>
      <c r="BU45" s="22"/>
      <c r="BV45" s="2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</row>
    <row r="46" spans="1:95" x14ac:dyDescent="0.25">
      <c r="A46" s="18">
        <v>43</v>
      </c>
      <c r="B46" s="19" t="s">
        <v>981</v>
      </c>
      <c r="C46" s="19" t="s">
        <v>982</v>
      </c>
      <c r="D46" s="20">
        <v>46009</v>
      </c>
      <c r="E46" s="20">
        <v>32509</v>
      </c>
      <c r="F46" s="19"/>
      <c r="G46" s="19"/>
      <c r="H46" s="19" t="s">
        <v>94</v>
      </c>
      <c r="I46" s="19"/>
      <c r="J46" s="19" t="s">
        <v>287</v>
      </c>
      <c r="K46" s="19" t="s">
        <v>288</v>
      </c>
      <c r="L46" s="19" t="s">
        <v>101</v>
      </c>
      <c r="M46" s="19" t="s">
        <v>290</v>
      </c>
      <c r="N46" s="19" t="s">
        <v>983</v>
      </c>
      <c r="O46" s="19" t="s">
        <v>100</v>
      </c>
      <c r="P46" s="19"/>
      <c r="Q46" s="19"/>
      <c r="R46" s="19"/>
      <c r="S46" s="19"/>
      <c r="T46" s="19"/>
      <c r="U46" s="19"/>
      <c r="V46" s="19"/>
      <c r="W46" s="19"/>
      <c r="X46" s="19"/>
      <c r="Y46" s="19" t="s">
        <v>101</v>
      </c>
      <c r="Z46" s="19" t="s">
        <v>102</v>
      </c>
      <c r="AA46" s="19" t="s">
        <v>103</v>
      </c>
      <c r="AB46" s="19" t="s">
        <v>984</v>
      </c>
      <c r="AC46" s="19" t="s">
        <v>985</v>
      </c>
      <c r="AD46" s="19" t="s">
        <v>986</v>
      </c>
      <c r="AE46" s="19" t="s">
        <v>987</v>
      </c>
      <c r="AF46" s="19" t="s">
        <v>988</v>
      </c>
      <c r="AG46" s="19" t="s">
        <v>989</v>
      </c>
      <c r="AH46" s="19" t="s">
        <v>149</v>
      </c>
      <c r="AI46" s="19" t="s">
        <v>111</v>
      </c>
      <c r="AJ46" s="19" t="s">
        <v>990</v>
      </c>
      <c r="AK46" s="19"/>
      <c r="AL46" s="19"/>
      <c r="AM46" s="19" t="s">
        <v>991</v>
      </c>
      <c r="AN46" s="19" t="s">
        <v>992</v>
      </c>
      <c r="AO46" s="19" t="s">
        <v>993</v>
      </c>
      <c r="AP46" s="19" t="s">
        <v>994</v>
      </c>
      <c r="AQ46" s="19" t="s">
        <v>117</v>
      </c>
      <c r="AR46" s="19" t="s">
        <v>995</v>
      </c>
      <c r="AS46" s="19" t="s">
        <v>996</v>
      </c>
      <c r="AT46" s="19" t="s">
        <v>997</v>
      </c>
      <c r="AU46" s="19" t="s">
        <v>998</v>
      </c>
      <c r="AV46" s="19" t="s">
        <v>989</v>
      </c>
      <c r="AW46" s="19" t="s">
        <v>999</v>
      </c>
      <c r="AX46" s="19" t="s">
        <v>149</v>
      </c>
      <c r="AY46" s="19" t="s">
        <v>1000</v>
      </c>
      <c r="AZ46" s="19" t="s">
        <v>1001</v>
      </c>
      <c r="BA46" s="20">
        <v>43046</v>
      </c>
      <c r="BB46" s="19" t="s">
        <v>1002</v>
      </c>
      <c r="BC46" s="19" t="s">
        <v>1003</v>
      </c>
      <c r="BD46" s="19" t="s">
        <v>1004</v>
      </c>
      <c r="BE46" s="19" t="s">
        <v>130</v>
      </c>
      <c r="BF46" s="19" t="s">
        <v>1005</v>
      </c>
      <c r="BG46" s="19"/>
      <c r="BH46" s="19" t="s">
        <v>1006</v>
      </c>
      <c r="BI46" s="19" t="s">
        <v>1006</v>
      </c>
      <c r="BJ46" s="19" t="s">
        <v>166</v>
      </c>
      <c r="BK46" s="19" t="s">
        <v>1007</v>
      </c>
      <c r="BL46" s="19" t="s">
        <v>989</v>
      </c>
      <c r="BM46" s="19" t="s">
        <v>196</v>
      </c>
      <c r="BN46" s="21">
        <v>5431.1930000000002</v>
      </c>
      <c r="BO46" s="21">
        <v>404005.80873659998</v>
      </c>
      <c r="BQ46" s="2"/>
      <c r="BR46" s="2"/>
      <c r="BS46" s="2"/>
      <c r="BT46" s="2"/>
      <c r="BU46" s="22"/>
      <c r="BV46" s="2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</row>
    <row r="47" spans="1:95" x14ac:dyDescent="0.25">
      <c r="A47" s="18">
        <v>44</v>
      </c>
      <c r="B47" s="19" t="s">
        <v>1008</v>
      </c>
      <c r="C47" s="19" t="s">
        <v>1009</v>
      </c>
      <c r="D47" s="20">
        <v>46020</v>
      </c>
      <c r="E47" s="20">
        <v>36742</v>
      </c>
      <c r="F47" s="19"/>
      <c r="G47" s="19"/>
      <c r="H47" s="19" t="s">
        <v>94</v>
      </c>
      <c r="I47" s="19"/>
      <c r="J47" s="19"/>
      <c r="K47" s="19"/>
      <c r="L47" s="19" t="s">
        <v>140</v>
      </c>
      <c r="M47" s="19" t="s">
        <v>141</v>
      </c>
      <c r="N47" s="19" t="s">
        <v>1010</v>
      </c>
      <c r="O47" s="19" t="s">
        <v>100</v>
      </c>
      <c r="P47" s="19"/>
      <c r="Q47" s="19"/>
      <c r="R47" s="19"/>
      <c r="S47" s="19"/>
      <c r="T47" s="19"/>
      <c r="U47" s="19"/>
      <c r="V47" s="19"/>
      <c r="W47" s="19"/>
      <c r="X47" s="19"/>
      <c r="Y47" s="19" t="s">
        <v>101</v>
      </c>
      <c r="Z47" s="19" t="s">
        <v>102</v>
      </c>
      <c r="AA47" s="19" t="s">
        <v>103</v>
      </c>
      <c r="AB47" s="19" t="s">
        <v>612</v>
      </c>
      <c r="AC47" s="19" t="s">
        <v>613</v>
      </c>
      <c r="AD47" s="19" t="s">
        <v>1011</v>
      </c>
      <c r="AE47" s="19" t="s">
        <v>1012</v>
      </c>
      <c r="AF47" s="19" t="s">
        <v>1013</v>
      </c>
      <c r="AG47" s="19" t="s">
        <v>1014</v>
      </c>
      <c r="AH47" s="19" t="s">
        <v>1015</v>
      </c>
      <c r="AI47" s="19" t="s">
        <v>111</v>
      </c>
      <c r="AJ47" s="19" t="s">
        <v>1016</v>
      </c>
      <c r="AK47" s="19"/>
      <c r="AL47" s="19"/>
      <c r="AM47" s="19" t="s">
        <v>1017</v>
      </c>
      <c r="AN47" s="19" t="s">
        <v>1018</v>
      </c>
      <c r="AO47" s="19" t="s">
        <v>579</v>
      </c>
      <c r="AP47" s="19" t="s">
        <v>580</v>
      </c>
      <c r="AQ47" s="19" t="s">
        <v>117</v>
      </c>
      <c r="AR47" s="19" t="s">
        <v>581</v>
      </c>
      <c r="AS47" s="19" t="s">
        <v>582</v>
      </c>
      <c r="AT47" s="19" t="s">
        <v>583</v>
      </c>
      <c r="AU47" s="19" t="s">
        <v>584</v>
      </c>
      <c r="AV47" s="19" t="s">
        <v>168</v>
      </c>
      <c r="AW47" s="19" t="s">
        <v>585</v>
      </c>
      <c r="AX47" s="19" t="s">
        <v>262</v>
      </c>
      <c r="AY47" s="19" t="s">
        <v>586</v>
      </c>
      <c r="AZ47" s="19" t="s">
        <v>587</v>
      </c>
      <c r="BA47" s="20">
        <v>44494</v>
      </c>
      <c r="BB47" s="19" t="s">
        <v>331</v>
      </c>
      <c r="BC47" s="19" t="s">
        <v>1019</v>
      </c>
      <c r="BD47" s="19" t="s">
        <v>1014</v>
      </c>
      <c r="BE47" s="19" t="s">
        <v>130</v>
      </c>
      <c r="BF47" s="19" t="s">
        <v>1020</v>
      </c>
      <c r="BG47" s="19"/>
      <c r="BH47" s="19" t="s">
        <v>1021</v>
      </c>
      <c r="BI47" s="19" t="s">
        <v>1021</v>
      </c>
      <c r="BJ47" s="19" t="s">
        <v>194</v>
      </c>
      <c r="BK47" s="19" t="s">
        <v>591</v>
      </c>
      <c r="BL47" s="19" t="s">
        <v>122</v>
      </c>
      <c r="BM47" s="19" t="s">
        <v>592</v>
      </c>
      <c r="BN47" s="21">
        <v>0.55100000000000005</v>
      </c>
      <c r="BO47" s="21">
        <v>301.93146999999999</v>
      </c>
      <c r="BQ47" s="2"/>
      <c r="BR47" s="2"/>
      <c r="BS47" s="2"/>
      <c r="BT47" s="2"/>
      <c r="BU47" s="22"/>
      <c r="BV47" s="2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</row>
    <row r="48" spans="1:95" x14ac:dyDescent="0.25">
      <c r="A48" s="18">
        <v>45</v>
      </c>
      <c r="B48" s="19" t="s">
        <v>1022</v>
      </c>
      <c r="C48" s="19" t="s">
        <v>1023</v>
      </c>
      <c r="D48" s="20">
        <v>46015</v>
      </c>
      <c r="E48" s="20">
        <v>31457</v>
      </c>
      <c r="F48" s="19"/>
      <c r="G48" s="19"/>
      <c r="H48" s="19" t="s">
        <v>94</v>
      </c>
      <c r="I48" s="19"/>
      <c r="J48" s="19"/>
      <c r="K48" s="19"/>
      <c r="L48" s="19" t="s">
        <v>467</v>
      </c>
      <c r="M48" s="19" t="s">
        <v>468</v>
      </c>
      <c r="N48" s="19" t="s">
        <v>1024</v>
      </c>
      <c r="O48" s="19" t="s">
        <v>100</v>
      </c>
      <c r="P48" s="19"/>
      <c r="Q48" s="19"/>
      <c r="R48" s="19"/>
      <c r="S48" s="19"/>
      <c r="T48" s="19"/>
      <c r="U48" s="19"/>
      <c r="V48" s="19"/>
      <c r="W48" s="19"/>
      <c r="X48" s="19"/>
      <c r="Y48" s="19" t="s">
        <v>101</v>
      </c>
      <c r="Z48" s="19" t="s">
        <v>102</v>
      </c>
      <c r="AA48" s="19" t="s">
        <v>103</v>
      </c>
      <c r="AB48" s="19" t="s">
        <v>1025</v>
      </c>
      <c r="AC48" s="19" t="s">
        <v>1026</v>
      </c>
      <c r="AD48" s="19" t="s">
        <v>1027</v>
      </c>
      <c r="AE48" s="19"/>
      <c r="AF48" s="19"/>
      <c r="AG48" s="19" t="s">
        <v>1028</v>
      </c>
      <c r="AH48" s="19" t="s">
        <v>1029</v>
      </c>
      <c r="AI48" s="19" t="s">
        <v>111</v>
      </c>
      <c r="AJ48" s="19" t="s">
        <v>1030</v>
      </c>
      <c r="AK48" s="19"/>
      <c r="AL48" s="19"/>
      <c r="AM48" s="19" t="s">
        <v>1031</v>
      </c>
      <c r="AN48" s="19" t="s">
        <v>1032</v>
      </c>
      <c r="AO48" s="19" t="s">
        <v>1033</v>
      </c>
      <c r="AP48" s="19" t="s">
        <v>1034</v>
      </c>
      <c r="AQ48" s="19" t="s">
        <v>94</v>
      </c>
      <c r="AR48" s="19" t="s">
        <v>1035</v>
      </c>
      <c r="AS48" s="19" t="s">
        <v>1036</v>
      </c>
      <c r="AT48" s="19" t="s">
        <v>1037</v>
      </c>
      <c r="AU48" s="19"/>
      <c r="AV48" s="19" t="s">
        <v>481</v>
      </c>
      <c r="AW48" s="19" t="s">
        <v>1038</v>
      </c>
      <c r="AX48" s="19" t="s">
        <v>707</v>
      </c>
      <c r="AY48" s="19" t="s">
        <v>1039</v>
      </c>
      <c r="AZ48" s="19" t="s">
        <v>1040</v>
      </c>
      <c r="BA48" s="20">
        <v>42625</v>
      </c>
      <c r="BB48" s="19" t="s">
        <v>444</v>
      </c>
      <c r="BC48" s="19" t="s">
        <v>1028</v>
      </c>
      <c r="BD48" s="19" t="s">
        <v>1028</v>
      </c>
      <c r="BE48" s="19" t="s">
        <v>130</v>
      </c>
      <c r="BF48" s="19" t="s">
        <v>1041</v>
      </c>
      <c r="BG48" s="19"/>
      <c r="BH48" s="19" t="s">
        <v>1042</v>
      </c>
      <c r="BI48" s="19" t="s">
        <v>1042</v>
      </c>
      <c r="BJ48" s="19" t="s">
        <v>194</v>
      </c>
      <c r="BK48" s="19" t="s">
        <v>1043</v>
      </c>
      <c r="BL48" s="19" t="s">
        <v>1044</v>
      </c>
      <c r="BM48" s="19" t="s">
        <v>1045</v>
      </c>
      <c r="BN48" s="21">
        <v>2971.5929999999998</v>
      </c>
      <c r="BO48" s="21">
        <v>103366.2681864</v>
      </c>
      <c r="BQ48" s="2"/>
      <c r="BR48" s="2"/>
      <c r="BS48" s="2"/>
      <c r="BT48" s="2"/>
      <c r="BU48" s="22"/>
      <c r="BV48" s="2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</row>
    <row r="49" spans="1:95" x14ac:dyDescent="0.25">
      <c r="A49" s="18">
        <v>46</v>
      </c>
      <c r="B49" s="19" t="s">
        <v>1046</v>
      </c>
      <c r="C49" s="19" t="s">
        <v>1047</v>
      </c>
      <c r="D49" s="20">
        <v>46020</v>
      </c>
      <c r="E49" s="20">
        <v>36576</v>
      </c>
      <c r="F49" s="19"/>
      <c r="G49" s="19"/>
      <c r="H49" s="19" t="s">
        <v>94</v>
      </c>
      <c r="I49" s="19"/>
      <c r="J49" s="19"/>
      <c r="K49" s="19"/>
      <c r="L49" s="19" t="s">
        <v>244</v>
      </c>
      <c r="M49" s="19" t="s">
        <v>245</v>
      </c>
      <c r="N49" s="19" t="s">
        <v>1048</v>
      </c>
      <c r="O49" s="19" t="s">
        <v>100</v>
      </c>
      <c r="P49" s="19"/>
      <c r="Q49" s="19"/>
      <c r="R49" s="19"/>
      <c r="S49" s="19"/>
      <c r="T49" s="19"/>
      <c r="U49" s="19"/>
      <c r="V49" s="19"/>
      <c r="W49" s="19"/>
      <c r="X49" s="19"/>
      <c r="Y49" s="19" t="s">
        <v>101</v>
      </c>
      <c r="Z49" s="19" t="s">
        <v>102</v>
      </c>
      <c r="AA49" s="19" t="s">
        <v>103</v>
      </c>
      <c r="AB49" s="19" t="s">
        <v>402</v>
      </c>
      <c r="AC49" s="19" t="s">
        <v>403</v>
      </c>
      <c r="AD49" s="19" t="s">
        <v>1049</v>
      </c>
      <c r="AE49" s="19" t="s">
        <v>1050</v>
      </c>
      <c r="AF49" s="19"/>
      <c r="AG49" s="19" t="s">
        <v>1051</v>
      </c>
      <c r="AH49" s="19" t="s">
        <v>1029</v>
      </c>
      <c r="AI49" s="19" t="s">
        <v>111</v>
      </c>
      <c r="AJ49" s="19" t="s">
        <v>1052</v>
      </c>
      <c r="AK49" s="19"/>
      <c r="AL49" s="19"/>
      <c r="AM49" s="19" t="s">
        <v>1053</v>
      </c>
      <c r="AN49" s="19" t="s">
        <v>1054</v>
      </c>
      <c r="AO49" s="19" t="s">
        <v>1055</v>
      </c>
      <c r="AP49" s="19" t="s">
        <v>1056</v>
      </c>
      <c r="AQ49" s="19" t="s">
        <v>117</v>
      </c>
      <c r="AR49" s="19" t="s">
        <v>1057</v>
      </c>
      <c r="AS49" s="19" t="s">
        <v>1058</v>
      </c>
      <c r="AT49" s="19" t="s">
        <v>1059</v>
      </c>
      <c r="AU49" s="19" t="s">
        <v>1060</v>
      </c>
      <c r="AV49" s="19" t="s">
        <v>1028</v>
      </c>
      <c r="AW49" s="19" t="s">
        <v>1061</v>
      </c>
      <c r="AX49" s="19" t="s">
        <v>1029</v>
      </c>
      <c r="AY49" s="19" t="s">
        <v>1062</v>
      </c>
      <c r="AZ49" s="19" t="s">
        <v>1063</v>
      </c>
      <c r="BA49" s="20">
        <v>44469</v>
      </c>
      <c r="BB49" s="19" t="s">
        <v>1002</v>
      </c>
      <c r="BC49" s="19" t="s">
        <v>1064</v>
      </c>
      <c r="BD49" s="19" t="s">
        <v>1064</v>
      </c>
      <c r="BE49" s="19" t="s">
        <v>130</v>
      </c>
      <c r="BF49" s="19" t="s">
        <v>1065</v>
      </c>
      <c r="BG49" s="19"/>
      <c r="BH49" s="19" t="s">
        <v>1066</v>
      </c>
      <c r="BI49" s="19" t="s">
        <v>1066</v>
      </c>
      <c r="BJ49" s="19" t="s">
        <v>194</v>
      </c>
      <c r="BK49" s="19" t="s">
        <v>591</v>
      </c>
      <c r="BL49" s="19" t="s">
        <v>122</v>
      </c>
      <c r="BM49" s="19" t="s">
        <v>592</v>
      </c>
      <c r="BN49" s="21">
        <v>0.79800000000000004</v>
      </c>
      <c r="BO49" s="21">
        <v>1510.87734</v>
      </c>
      <c r="BQ49" s="2"/>
      <c r="BR49" s="2"/>
      <c r="BS49" s="2"/>
      <c r="BT49" s="2"/>
      <c r="BU49" s="22"/>
      <c r="BV49" s="2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</row>
    <row r="50" spans="1:95" x14ac:dyDescent="0.25">
      <c r="A50" s="18">
        <v>47</v>
      </c>
      <c r="B50" s="19" t="s">
        <v>1067</v>
      </c>
      <c r="C50" s="19" t="s">
        <v>1068</v>
      </c>
      <c r="D50" s="20">
        <v>46015</v>
      </c>
      <c r="E50" s="20">
        <v>23635</v>
      </c>
      <c r="F50" s="19"/>
      <c r="G50" s="19"/>
      <c r="H50" s="19" t="s">
        <v>94</v>
      </c>
      <c r="I50" s="19"/>
      <c r="J50" s="19"/>
      <c r="K50" s="19"/>
      <c r="L50" s="19"/>
      <c r="M50" s="19"/>
      <c r="N50" s="19" t="s">
        <v>1069</v>
      </c>
      <c r="O50" s="19" t="s">
        <v>100</v>
      </c>
      <c r="P50" s="19"/>
      <c r="Q50" s="19"/>
      <c r="R50" s="19"/>
      <c r="S50" s="19"/>
      <c r="T50" s="19"/>
      <c r="U50" s="19"/>
      <c r="V50" s="19"/>
      <c r="W50" s="19"/>
      <c r="X50" s="19"/>
      <c r="Y50" s="19" t="s">
        <v>101</v>
      </c>
      <c r="Z50" s="19" t="s">
        <v>102</v>
      </c>
      <c r="AA50" s="19" t="s">
        <v>103</v>
      </c>
      <c r="AB50" s="19" t="s">
        <v>173</v>
      </c>
      <c r="AC50" s="19" t="s">
        <v>174</v>
      </c>
      <c r="AD50" s="19" t="s">
        <v>1070</v>
      </c>
      <c r="AE50" s="19" t="s">
        <v>1071</v>
      </c>
      <c r="AF50" s="19" t="s">
        <v>1072</v>
      </c>
      <c r="AG50" s="19" t="s">
        <v>1073</v>
      </c>
      <c r="AH50" s="19" t="s">
        <v>757</v>
      </c>
      <c r="AI50" s="19" t="s">
        <v>111</v>
      </c>
      <c r="AJ50" s="19" t="s">
        <v>1074</v>
      </c>
      <c r="AK50" s="19"/>
      <c r="AL50" s="19"/>
      <c r="AM50" s="19" t="s">
        <v>1075</v>
      </c>
      <c r="AN50" s="19" t="s">
        <v>1076</v>
      </c>
      <c r="AO50" s="19" t="s">
        <v>1077</v>
      </c>
      <c r="AP50" s="19" t="s">
        <v>1077</v>
      </c>
      <c r="AQ50" s="19" t="s">
        <v>117</v>
      </c>
      <c r="AR50" s="19"/>
      <c r="AS50" s="19" t="s">
        <v>1078</v>
      </c>
      <c r="AT50" s="19"/>
      <c r="AU50" s="19"/>
      <c r="AV50" s="19"/>
      <c r="AW50" s="19" t="s">
        <v>1079</v>
      </c>
      <c r="AX50" s="19"/>
      <c r="AY50" s="19"/>
      <c r="AZ50" s="19"/>
      <c r="BA50" s="20">
        <v>38627</v>
      </c>
      <c r="BB50" s="19" t="s">
        <v>331</v>
      </c>
      <c r="BC50" s="19" t="s">
        <v>1080</v>
      </c>
      <c r="BD50" s="19" t="s">
        <v>1081</v>
      </c>
      <c r="BE50" s="19" t="s">
        <v>130</v>
      </c>
      <c r="BF50" s="19" t="s">
        <v>1082</v>
      </c>
      <c r="BG50" s="19"/>
      <c r="BH50" s="19" t="s">
        <v>1083</v>
      </c>
      <c r="BI50" s="19" t="s">
        <v>1083</v>
      </c>
      <c r="BJ50" s="19" t="s">
        <v>166</v>
      </c>
      <c r="BK50" s="19" t="s">
        <v>1084</v>
      </c>
      <c r="BL50" s="19" t="s">
        <v>222</v>
      </c>
      <c r="BM50" s="19" t="s">
        <v>169</v>
      </c>
      <c r="BN50" s="21">
        <v>36.997999999999998</v>
      </c>
      <c r="BO50" s="21">
        <v>1310.6245515999999</v>
      </c>
      <c r="BQ50" s="2"/>
      <c r="BR50" s="2"/>
      <c r="BS50" s="2"/>
      <c r="BT50" s="2"/>
      <c r="BU50" s="22"/>
      <c r="BV50" s="2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</row>
    <row r="51" spans="1:95" x14ac:dyDescent="0.25">
      <c r="A51" s="18">
        <v>48</v>
      </c>
      <c r="B51" s="19" t="s">
        <v>1085</v>
      </c>
      <c r="C51" s="19" t="s">
        <v>1086</v>
      </c>
      <c r="D51" s="20">
        <v>46017</v>
      </c>
      <c r="E51" s="20">
        <v>31296</v>
      </c>
      <c r="F51" s="19" t="s">
        <v>1087</v>
      </c>
      <c r="G51" s="19" t="s">
        <v>139</v>
      </c>
      <c r="H51" s="19" t="s">
        <v>94</v>
      </c>
      <c r="I51" s="19"/>
      <c r="J51" s="19"/>
      <c r="K51" s="19"/>
      <c r="L51" s="19" t="s">
        <v>101</v>
      </c>
      <c r="M51" s="19" t="s">
        <v>290</v>
      </c>
      <c r="N51" s="19" t="s">
        <v>1088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 t="s">
        <v>101</v>
      </c>
      <c r="Z51" s="19" t="s">
        <v>102</v>
      </c>
      <c r="AA51" s="19" t="s">
        <v>103</v>
      </c>
      <c r="AB51" s="19" t="s">
        <v>1025</v>
      </c>
      <c r="AC51" s="19" t="s">
        <v>1026</v>
      </c>
      <c r="AD51" s="19" t="s">
        <v>1089</v>
      </c>
      <c r="AE51" s="19" t="s">
        <v>1090</v>
      </c>
      <c r="AF51" s="19" t="s">
        <v>1091</v>
      </c>
      <c r="AG51" s="19" t="s">
        <v>277</v>
      </c>
      <c r="AH51" s="19" t="s">
        <v>124</v>
      </c>
      <c r="AI51" s="19" t="s">
        <v>111</v>
      </c>
      <c r="AJ51" s="19" t="s">
        <v>1092</v>
      </c>
      <c r="AK51" s="19"/>
      <c r="AL51" s="19"/>
      <c r="AM51" s="19" t="s">
        <v>1093</v>
      </c>
      <c r="AN51" s="19" t="s">
        <v>1094</v>
      </c>
      <c r="AO51" s="19" t="s">
        <v>1095</v>
      </c>
      <c r="AP51" s="19" t="s">
        <v>1096</v>
      </c>
      <c r="AQ51" s="19" t="s">
        <v>117</v>
      </c>
      <c r="AR51" s="19" t="s">
        <v>1097</v>
      </c>
      <c r="AS51" s="19" t="s">
        <v>1098</v>
      </c>
      <c r="AT51" s="19" t="s">
        <v>1099</v>
      </c>
      <c r="AU51" s="19" t="s">
        <v>1100</v>
      </c>
      <c r="AV51" s="19" t="s">
        <v>219</v>
      </c>
      <c r="AW51" s="19" t="s">
        <v>1101</v>
      </c>
      <c r="AX51" s="19" t="s">
        <v>124</v>
      </c>
      <c r="AY51" s="19"/>
      <c r="AZ51" s="19" t="s">
        <v>1102</v>
      </c>
      <c r="BA51" s="20">
        <v>40110</v>
      </c>
      <c r="BB51" s="19" t="s">
        <v>444</v>
      </c>
      <c r="BC51" s="19" t="s">
        <v>1103</v>
      </c>
      <c r="BD51" s="19" t="s">
        <v>514</v>
      </c>
      <c r="BE51" s="19" t="s">
        <v>130</v>
      </c>
      <c r="BF51" s="19" t="s">
        <v>1104</v>
      </c>
      <c r="BG51" s="19"/>
      <c r="BH51" s="19" t="s">
        <v>1105</v>
      </c>
      <c r="BI51" s="19" t="s">
        <v>1105</v>
      </c>
      <c r="BJ51" s="19" t="s">
        <v>166</v>
      </c>
      <c r="BK51" s="19" t="s">
        <v>907</v>
      </c>
      <c r="BL51" s="19" t="s">
        <v>122</v>
      </c>
      <c r="BM51" s="19" t="s">
        <v>592</v>
      </c>
      <c r="BN51" s="21">
        <v>1137.0239999999999</v>
      </c>
      <c r="BO51" s="21">
        <v>39551.152435199998</v>
      </c>
      <c r="BQ51" s="2"/>
      <c r="BR51" s="2"/>
      <c r="BS51" s="2"/>
      <c r="BT51" s="2"/>
      <c r="BU51" s="22"/>
      <c r="BV51" s="2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</row>
    <row r="52" spans="1:95" x14ac:dyDescent="0.25">
      <c r="A52" s="18">
        <v>49</v>
      </c>
      <c r="B52" s="19" t="s">
        <v>1106</v>
      </c>
      <c r="C52" s="19" t="s">
        <v>1107</v>
      </c>
      <c r="D52" s="20">
        <v>46017</v>
      </c>
      <c r="E52" s="20">
        <v>35074</v>
      </c>
      <c r="F52" s="19"/>
      <c r="G52" s="19"/>
      <c r="H52" s="19" t="s">
        <v>94</v>
      </c>
      <c r="I52" s="19"/>
      <c r="J52" s="19"/>
      <c r="K52" s="19"/>
      <c r="L52" s="19" t="s">
        <v>244</v>
      </c>
      <c r="M52" s="19" t="s">
        <v>245</v>
      </c>
      <c r="N52" s="19" t="s">
        <v>1108</v>
      </c>
      <c r="O52" s="19" t="s">
        <v>100</v>
      </c>
      <c r="P52" s="19"/>
      <c r="Q52" s="19"/>
      <c r="R52" s="19"/>
      <c r="S52" s="19"/>
      <c r="T52" s="19"/>
      <c r="U52" s="19"/>
      <c r="V52" s="19"/>
      <c r="W52" s="19"/>
      <c r="X52" s="19"/>
      <c r="Y52" s="19" t="s">
        <v>101</v>
      </c>
      <c r="Z52" s="19" t="s">
        <v>102</v>
      </c>
      <c r="AA52" s="19" t="s">
        <v>103</v>
      </c>
      <c r="AB52" s="19" t="s">
        <v>143</v>
      </c>
      <c r="AC52" s="19" t="s">
        <v>144</v>
      </c>
      <c r="AD52" s="19" t="s">
        <v>1109</v>
      </c>
      <c r="AE52" s="19" t="s">
        <v>1110</v>
      </c>
      <c r="AF52" s="19" t="s">
        <v>1111</v>
      </c>
      <c r="AG52" s="19" t="s">
        <v>1112</v>
      </c>
      <c r="AH52" s="19" t="s">
        <v>327</v>
      </c>
      <c r="AI52" s="19" t="s">
        <v>111</v>
      </c>
      <c r="AJ52" s="19" t="s">
        <v>1113</v>
      </c>
      <c r="AK52" s="19"/>
      <c r="AL52" s="19"/>
      <c r="AM52" s="19" t="s">
        <v>1114</v>
      </c>
      <c r="AN52" s="19" t="s">
        <v>1115</v>
      </c>
      <c r="AO52" s="19" t="s">
        <v>255</v>
      </c>
      <c r="AP52" s="19" t="s">
        <v>256</v>
      </c>
      <c r="AQ52" s="19" t="s">
        <v>117</v>
      </c>
      <c r="AR52" s="19" t="s">
        <v>257</v>
      </c>
      <c r="AS52" s="19" t="s">
        <v>258</v>
      </c>
      <c r="AT52" s="19" t="s">
        <v>259</v>
      </c>
      <c r="AU52" s="19" t="s">
        <v>260</v>
      </c>
      <c r="AV52" s="19" t="s">
        <v>260</v>
      </c>
      <c r="AW52" s="19" t="s">
        <v>261</v>
      </c>
      <c r="AX52" s="19" t="s">
        <v>262</v>
      </c>
      <c r="AY52" s="19" t="s">
        <v>263</v>
      </c>
      <c r="AZ52" s="19" t="s">
        <v>264</v>
      </c>
      <c r="BA52" s="20">
        <v>43627</v>
      </c>
      <c r="BB52" s="19" t="s">
        <v>331</v>
      </c>
      <c r="BC52" s="19" t="s">
        <v>1116</v>
      </c>
      <c r="BD52" s="19" t="s">
        <v>1117</v>
      </c>
      <c r="BE52" s="19" t="s">
        <v>130</v>
      </c>
      <c r="BF52" s="19" t="s">
        <v>1118</v>
      </c>
      <c r="BG52" s="19"/>
      <c r="BH52" s="19" t="s">
        <v>1119</v>
      </c>
      <c r="BI52" s="19" t="s">
        <v>1119</v>
      </c>
      <c r="BJ52" s="19" t="s">
        <v>194</v>
      </c>
      <c r="BK52" s="19" t="s">
        <v>195</v>
      </c>
      <c r="BL52" s="19" t="s">
        <v>122</v>
      </c>
      <c r="BM52" s="19" t="s">
        <v>196</v>
      </c>
      <c r="BN52" s="21">
        <v>26.728999999999999</v>
      </c>
      <c r="BO52" s="21">
        <v>1018.10761</v>
      </c>
      <c r="BQ52" s="2"/>
      <c r="BR52" s="2"/>
      <c r="BS52" s="2"/>
      <c r="BT52" s="2"/>
      <c r="BU52" s="22"/>
      <c r="BV52" s="2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</row>
    <row r="53" spans="1:95" x14ac:dyDescent="0.25">
      <c r="A53" s="18">
        <v>50</v>
      </c>
      <c r="B53" s="19" t="s">
        <v>1120</v>
      </c>
      <c r="C53" s="19" t="s">
        <v>1121</v>
      </c>
      <c r="D53" s="20">
        <v>45998</v>
      </c>
      <c r="E53" s="20">
        <v>33184</v>
      </c>
      <c r="F53" s="19" t="s">
        <v>1122</v>
      </c>
      <c r="G53" s="19" t="s">
        <v>139</v>
      </c>
      <c r="H53" s="19" t="s">
        <v>94</v>
      </c>
      <c r="I53" s="19"/>
      <c r="J53" s="19"/>
      <c r="K53" s="19"/>
      <c r="L53" s="19" t="s">
        <v>244</v>
      </c>
      <c r="M53" s="19" t="s">
        <v>245</v>
      </c>
      <c r="N53" s="19" t="s">
        <v>1123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 t="s">
        <v>101</v>
      </c>
      <c r="Z53" s="19" t="s">
        <v>102</v>
      </c>
      <c r="AA53" s="19" t="s">
        <v>103</v>
      </c>
      <c r="AB53" s="19" t="s">
        <v>247</v>
      </c>
      <c r="AC53" s="19" t="s">
        <v>248</v>
      </c>
      <c r="AD53" s="19" t="s">
        <v>1124</v>
      </c>
      <c r="AE53" s="19" t="s">
        <v>1125</v>
      </c>
      <c r="AF53" s="19" t="s">
        <v>1126</v>
      </c>
      <c r="AG53" s="19" t="s">
        <v>1127</v>
      </c>
      <c r="AH53" s="19" t="s">
        <v>757</v>
      </c>
      <c r="AI53" s="19" t="s">
        <v>111</v>
      </c>
      <c r="AJ53" s="19" t="s">
        <v>1128</v>
      </c>
      <c r="AK53" s="19"/>
      <c r="AL53" s="19"/>
      <c r="AM53" s="19" t="s">
        <v>1129</v>
      </c>
      <c r="AN53" s="19" t="s">
        <v>1130</v>
      </c>
      <c r="AO53" s="19" t="s">
        <v>255</v>
      </c>
      <c r="AP53" s="19" t="s">
        <v>256</v>
      </c>
      <c r="AQ53" s="19" t="s">
        <v>117</v>
      </c>
      <c r="AR53" s="19" t="s">
        <v>257</v>
      </c>
      <c r="AS53" s="19" t="s">
        <v>258</v>
      </c>
      <c r="AT53" s="19" t="s">
        <v>259</v>
      </c>
      <c r="AU53" s="19" t="s">
        <v>260</v>
      </c>
      <c r="AV53" s="19" t="s">
        <v>260</v>
      </c>
      <c r="AW53" s="19" t="s">
        <v>261</v>
      </c>
      <c r="AX53" s="19" t="s">
        <v>262</v>
      </c>
      <c r="AY53" s="19" t="s">
        <v>263</v>
      </c>
      <c r="AZ53" s="19" t="s">
        <v>264</v>
      </c>
      <c r="BA53" s="20">
        <v>43627</v>
      </c>
      <c r="BB53" s="19" t="s">
        <v>444</v>
      </c>
      <c r="BC53" s="19" t="s">
        <v>1131</v>
      </c>
      <c r="BD53" s="19" t="s">
        <v>481</v>
      </c>
      <c r="BE53" s="19" t="s">
        <v>130</v>
      </c>
      <c r="BF53" s="19" t="s">
        <v>1132</v>
      </c>
      <c r="BG53" s="19"/>
      <c r="BH53" s="19" t="s">
        <v>1133</v>
      </c>
      <c r="BI53" s="19" t="s">
        <v>1133</v>
      </c>
      <c r="BJ53" s="19" t="s">
        <v>166</v>
      </c>
      <c r="BK53" s="19" t="s">
        <v>167</v>
      </c>
      <c r="BL53" s="19" t="s">
        <v>168</v>
      </c>
      <c r="BM53" s="19" t="s">
        <v>169</v>
      </c>
      <c r="BN53" s="21">
        <v>13.734999999999999</v>
      </c>
      <c r="BO53" s="21">
        <v>6022.9678139999996</v>
      </c>
      <c r="BQ53" s="2"/>
      <c r="BR53" s="2"/>
      <c r="BS53" s="2"/>
      <c r="BT53" s="2"/>
      <c r="BU53" s="22"/>
      <c r="BV53" s="2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</row>
    <row r="54" spans="1:95" x14ac:dyDescent="0.25">
      <c r="A54" s="18">
        <v>51</v>
      </c>
      <c r="B54" s="19" t="s">
        <v>1134</v>
      </c>
      <c r="C54" s="19" t="s">
        <v>1135</v>
      </c>
      <c r="D54" s="20">
        <v>45998</v>
      </c>
      <c r="E54" s="20">
        <v>38776</v>
      </c>
      <c r="F54" s="19" t="s">
        <v>1136</v>
      </c>
      <c r="G54" s="19" t="s">
        <v>139</v>
      </c>
      <c r="H54" s="19" t="s">
        <v>94</v>
      </c>
      <c r="I54" s="19"/>
      <c r="J54" s="19"/>
      <c r="K54" s="19"/>
      <c r="L54" s="19" t="s">
        <v>244</v>
      </c>
      <c r="M54" s="19" t="s">
        <v>245</v>
      </c>
      <c r="N54" s="19" t="s">
        <v>1137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 t="s">
        <v>101</v>
      </c>
      <c r="Z54" s="19" t="s">
        <v>102</v>
      </c>
      <c r="AA54" s="19" t="s">
        <v>103</v>
      </c>
      <c r="AB54" s="19" t="s">
        <v>247</v>
      </c>
      <c r="AC54" s="19" t="s">
        <v>248</v>
      </c>
      <c r="AD54" s="19" t="s">
        <v>1138</v>
      </c>
      <c r="AE54" s="19" t="s">
        <v>1139</v>
      </c>
      <c r="AF54" s="19"/>
      <c r="AG54" s="19" t="s">
        <v>1140</v>
      </c>
      <c r="AH54" s="19" t="s">
        <v>327</v>
      </c>
      <c r="AI54" s="19" t="s">
        <v>111</v>
      </c>
      <c r="AJ54" s="19" t="s">
        <v>1141</v>
      </c>
      <c r="AK54" s="19"/>
      <c r="AL54" s="19"/>
      <c r="AM54" s="19" t="s">
        <v>1142</v>
      </c>
      <c r="AN54" s="19" t="s">
        <v>1143</v>
      </c>
      <c r="AO54" s="19" t="s">
        <v>255</v>
      </c>
      <c r="AP54" s="19" t="s">
        <v>256</v>
      </c>
      <c r="AQ54" s="19" t="s">
        <v>117</v>
      </c>
      <c r="AR54" s="19" t="s">
        <v>257</v>
      </c>
      <c r="AS54" s="19" t="s">
        <v>258</v>
      </c>
      <c r="AT54" s="19" t="s">
        <v>259</v>
      </c>
      <c r="AU54" s="19" t="s">
        <v>260</v>
      </c>
      <c r="AV54" s="19" t="s">
        <v>260</v>
      </c>
      <c r="AW54" s="19" t="s">
        <v>261</v>
      </c>
      <c r="AX54" s="19" t="s">
        <v>262</v>
      </c>
      <c r="AY54" s="19" t="s">
        <v>263</v>
      </c>
      <c r="AZ54" s="19" t="s">
        <v>264</v>
      </c>
      <c r="BA54" s="20">
        <v>43627</v>
      </c>
      <c r="BB54" s="19" t="s">
        <v>1144</v>
      </c>
      <c r="BC54" s="19" t="s">
        <v>1145</v>
      </c>
      <c r="BD54" s="19" t="s">
        <v>365</v>
      </c>
      <c r="BE54" s="19" t="s">
        <v>130</v>
      </c>
      <c r="BF54" s="19" t="s">
        <v>1146</v>
      </c>
      <c r="BG54" s="19"/>
      <c r="BH54" s="19" t="s">
        <v>1147</v>
      </c>
      <c r="BI54" s="19" t="s">
        <v>1147</v>
      </c>
      <c r="BJ54" s="19" t="s">
        <v>166</v>
      </c>
      <c r="BK54" s="19" t="s">
        <v>167</v>
      </c>
      <c r="BL54" s="19" t="s">
        <v>168</v>
      </c>
      <c r="BM54" s="19" t="s">
        <v>169</v>
      </c>
      <c r="BN54" s="21">
        <v>0</v>
      </c>
      <c r="BO54" s="21">
        <v>0</v>
      </c>
      <c r="BQ54" s="2"/>
      <c r="BR54" s="2"/>
      <c r="BS54" s="2"/>
      <c r="BT54" s="2"/>
      <c r="BU54" s="22"/>
      <c r="BV54" s="2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</row>
    <row r="55" spans="1:95" x14ac:dyDescent="0.25">
      <c r="A55" s="18">
        <v>52</v>
      </c>
      <c r="B55" s="19" t="s">
        <v>1148</v>
      </c>
      <c r="C55" s="19" t="s">
        <v>1149</v>
      </c>
      <c r="D55" s="20">
        <v>45999</v>
      </c>
      <c r="E55" s="20">
        <v>14699</v>
      </c>
      <c r="F55" s="19"/>
      <c r="G55" s="19"/>
      <c r="H55" s="19" t="s">
        <v>94</v>
      </c>
      <c r="I55" s="19"/>
      <c r="J55" s="19"/>
      <c r="K55" s="19"/>
      <c r="L55" s="19" t="s">
        <v>1150</v>
      </c>
      <c r="M55" s="19" t="s">
        <v>688</v>
      </c>
      <c r="N55" s="19" t="s">
        <v>1151</v>
      </c>
      <c r="O55" s="19" t="s">
        <v>100</v>
      </c>
      <c r="P55" s="19"/>
      <c r="Q55" s="19"/>
      <c r="R55" s="19"/>
      <c r="S55" s="19"/>
      <c r="T55" s="19"/>
      <c r="U55" s="19"/>
      <c r="V55" s="19"/>
      <c r="W55" s="19"/>
      <c r="X55" s="19"/>
      <c r="Y55" s="19" t="s">
        <v>101</v>
      </c>
      <c r="Z55" s="19" t="s">
        <v>102</v>
      </c>
      <c r="AA55" s="19" t="s">
        <v>103</v>
      </c>
      <c r="AB55" s="19" t="s">
        <v>1152</v>
      </c>
      <c r="AC55" s="19" t="s">
        <v>1153</v>
      </c>
      <c r="AD55" s="19" t="s">
        <v>1154</v>
      </c>
      <c r="AE55" s="19" t="s">
        <v>1155</v>
      </c>
      <c r="AF55" s="19" t="s">
        <v>1156</v>
      </c>
      <c r="AG55" s="19" t="s">
        <v>1157</v>
      </c>
      <c r="AH55" s="19" t="s">
        <v>149</v>
      </c>
      <c r="AI55" s="19" t="s">
        <v>1158</v>
      </c>
      <c r="AJ55" s="19" t="s">
        <v>1159</v>
      </c>
      <c r="AK55" s="19"/>
      <c r="AL55" s="19"/>
      <c r="AM55" s="19" t="s">
        <v>1160</v>
      </c>
      <c r="AN55" s="19" t="s">
        <v>1161</v>
      </c>
      <c r="AO55" s="19" t="s">
        <v>1077</v>
      </c>
      <c r="AP55" s="19" t="s">
        <v>1077</v>
      </c>
      <c r="AQ55" s="19" t="s">
        <v>117</v>
      </c>
      <c r="AR55" s="19"/>
      <c r="AS55" s="19" t="s">
        <v>1078</v>
      </c>
      <c r="AT55" s="19"/>
      <c r="AU55" s="19"/>
      <c r="AV55" s="19"/>
      <c r="AW55" s="19" t="s">
        <v>1079</v>
      </c>
      <c r="AX55" s="19"/>
      <c r="AY55" s="19"/>
      <c r="AZ55" s="19"/>
      <c r="BA55" s="20">
        <v>38627</v>
      </c>
      <c r="BB55" s="19" t="s">
        <v>265</v>
      </c>
      <c r="BC55" s="19" t="s">
        <v>1162</v>
      </c>
      <c r="BD55" s="19" t="s">
        <v>1157</v>
      </c>
      <c r="BE55" s="19" t="s">
        <v>130</v>
      </c>
      <c r="BF55" s="19" t="s">
        <v>1163</v>
      </c>
      <c r="BG55" s="19" t="s">
        <v>1164</v>
      </c>
      <c r="BH55" s="19" t="s">
        <v>1165</v>
      </c>
      <c r="BI55" s="19" t="s">
        <v>1165</v>
      </c>
      <c r="BJ55" s="19" t="s">
        <v>166</v>
      </c>
      <c r="BK55" s="19" t="s">
        <v>1166</v>
      </c>
      <c r="BL55" s="19" t="s">
        <v>440</v>
      </c>
      <c r="BM55" s="19" t="s">
        <v>592</v>
      </c>
      <c r="BN55" s="21">
        <v>0</v>
      </c>
      <c r="BO55" s="21">
        <v>0</v>
      </c>
      <c r="BQ55" s="2"/>
      <c r="BR55" s="2"/>
      <c r="BS55" s="2"/>
      <c r="BT55" s="2"/>
      <c r="BU55" s="22"/>
      <c r="BV55" s="2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</row>
    <row r="56" spans="1:95" x14ac:dyDescent="0.25">
      <c r="A56" s="18">
        <v>53</v>
      </c>
      <c r="B56" s="19" t="s">
        <v>1167</v>
      </c>
      <c r="C56" s="19" t="s">
        <v>1168</v>
      </c>
      <c r="D56" s="20">
        <v>45992</v>
      </c>
      <c r="E56" s="20">
        <v>35535</v>
      </c>
      <c r="F56" s="19" t="s">
        <v>1169</v>
      </c>
      <c r="G56" s="19" t="s">
        <v>139</v>
      </c>
      <c r="H56" s="19" t="s">
        <v>94</v>
      </c>
      <c r="I56" s="19"/>
      <c r="J56" s="19"/>
      <c r="K56" s="19"/>
      <c r="L56" s="19" t="s">
        <v>244</v>
      </c>
      <c r="M56" s="19" t="s">
        <v>245</v>
      </c>
      <c r="N56" s="19" t="s">
        <v>1170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 t="s">
        <v>101</v>
      </c>
      <c r="Z56" s="19" t="s">
        <v>102</v>
      </c>
      <c r="AA56" s="19" t="s">
        <v>103</v>
      </c>
      <c r="AB56" s="19" t="s">
        <v>173</v>
      </c>
      <c r="AC56" s="19" t="s">
        <v>174</v>
      </c>
      <c r="AD56" s="19" t="s">
        <v>1171</v>
      </c>
      <c r="AE56" s="19" t="s">
        <v>1172</v>
      </c>
      <c r="AF56" s="19" t="s">
        <v>1173</v>
      </c>
      <c r="AG56" s="19" t="s">
        <v>1174</v>
      </c>
      <c r="AH56" s="19" t="s">
        <v>1015</v>
      </c>
      <c r="AI56" s="19" t="s">
        <v>111</v>
      </c>
      <c r="AJ56" s="19" t="s">
        <v>1175</v>
      </c>
      <c r="AK56" s="19"/>
      <c r="AL56" s="19"/>
      <c r="AM56" s="19" t="s">
        <v>1176</v>
      </c>
      <c r="AN56" s="19" t="s">
        <v>1177</v>
      </c>
      <c r="AO56" s="19" t="s">
        <v>255</v>
      </c>
      <c r="AP56" s="19" t="s">
        <v>256</v>
      </c>
      <c r="AQ56" s="19" t="s">
        <v>117</v>
      </c>
      <c r="AR56" s="19" t="s">
        <v>257</v>
      </c>
      <c r="AS56" s="19" t="s">
        <v>258</v>
      </c>
      <c r="AT56" s="19" t="s">
        <v>259</v>
      </c>
      <c r="AU56" s="19" t="s">
        <v>260</v>
      </c>
      <c r="AV56" s="19" t="s">
        <v>260</v>
      </c>
      <c r="AW56" s="19" t="s">
        <v>261</v>
      </c>
      <c r="AX56" s="19" t="s">
        <v>262</v>
      </c>
      <c r="AY56" s="19" t="s">
        <v>263</v>
      </c>
      <c r="AZ56" s="19" t="s">
        <v>264</v>
      </c>
      <c r="BA56" s="20">
        <v>43627</v>
      </c>
      <c r="BB56" s="19" t="s">
        <v>363</v>
      </c>
      <c r="BC56" s="19" t="s">
        <v>1178</v>
      </c>
      <c r="BD56" s="19" t="s">
        <v>1174</v>
      </c>
      <c r="BE56" s="19" t="s">
        <v>130</v>
      </c>
      <c r="BF56" s="19" t="s">
        <v>1179</v>
      </c>
      <c r="BG56" s="19"/>
      <c r="BH56" s="19" t="s">
        <v>1180</v>
      </c>
      <c r="BI56" s="19" t="s">
        <v>1180</v>
      </c>
      <c r="BJ56" s="19" t="s">
        <v>166</v>
      </c>
      <c r="BK56" s="19" t="s">
        <v>167</v>
      </c>
      <c r="BL56" s="19" t="s">
        <v>168</v>
      </c>
      <c r="BM56" s="19" t="s">
        <v>169</v>
      </c>
      <c r="BN56" s="21">
        <v>92.275999999999996</v>
      </c>
      <c r="BO56" s="21">
        <v>3268.8034791999999</v>
      </c>
      <c r="BQ56" s="2"/>
      <c r="BR56" s="2"/>
      <c r="BS56" s="2"/>
      <c r="BT56" s="2"/>
      <c r="BU56" s="22"/>
      <c r="BV56" s="2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</row>
    <row r="57" spans="1:95" x14ac:dyDescent="0.25">
      <c r="A57" s="18">
        <v>54</v>
      </c>
      <c r="B57" s="19" t="s">
        <v>1181</v>
      </c>
      <c r="C57" s="19" t="s">
        <v>1182</v>
      </c>
      <c r="D57" s="20">
        <v>45999</v>
      </c>
      <c r="E57" s="20">
        <v>37693</v>
      </c>
      <c r="F57" s="19" t="s">
        <v>1183</v>
      </c>
      <c r="G57" s="19" t="s">
        <v>139</v>
      </c>
      <c r="H57" s="19" t="s">
        <v>94</v>
      </c>
      <c r="I57" s="19"/>
      <c r="J57" s="19"/>
      <c r="K57" s="19"/>
      <c r="L57" s="19" t="s">
        <v>244</v>
      </c>
      <c r="M57" s="19" t="s">
        <v>245</v>
      </c>
      <c r="N57" s="19" t="s">
        <v>1184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 t="s">
        <v>101</v>
      </c>
      <c r="Z57" s="19" t="s">
        <v>102</v>
      </c>
      <c r="AA57" s="19" t="s">
        <v>103</v>
      </c>
      <c r="AB57" s="19" t="s">
        <v>143</v>
      </c>
      <c r="AC57" s="19" t="s">
        <v>144</v>
      </c>
      <c r="AD57" s="19" t="s">
        <v>1185</v>
      </c>
      <c r="AE57" s="19" t="s">
        <v>1186</v>
      </c>
      <c r="AF57" s="19" t="s">
        <v>1187</v>
      </c>
      <c r="AG57" s="19" t="s">
        <v>1188</v>
      </c>
      <c r="AH57" s="19" t="s">
        <v>1015</v>
      </c>
      <c r="AI57" s="19"/>
      <c r="AJ57" s="19" t="s">
        <v>1189</v>
      </c>
      <c r="AK57" s="19"/>
      <c r="AL57" s="19" t="s">
        <v>1190</v>
      </c>
      <c r="AM57" s="19" t="s">
        <v>1191</v>
      </c>
      <c r="AN57" s="19" t="s">
        <v>1192</v>
      </c>
      <c r="AO57" s="19" t="s">
        <v>154</v>
      </c>
      <c r="AP57" s="19" t="s">
        <v>155</v>
      </c>
      <c r="AQ57" s="19" t="s">
        <v>117</v>
      </c>
      <c r="AR57" s="19" t="s">
        <v>156</v>
      </c>
      <c r="AS57" s="19" t="s">
        <v>157</v>
      </c>
      <c r="AT57" s="19" t="s">
        <v>158</v>
      </c>
      <c r="AU57" s="19"/>
      <c r="AV57" s="19" t="s">
        <v>122</v>
      </c>
      <c r="AW57" s="19"/>
      <c r="AX57" s="19" t="s">
        <v>124</v>
      </c>
      <c r="AY57" s="19" t="s">
        <v>159</v>
      </c>
      <c r="AZ57" s="19" t="s">
        <v>160</v>
      </c>
      <c r="BA57" s="20">
        <v>44676</v>
      </c>
      <c r="BB57" s="19" t="s">
        <v>331</v>
      </c>
      <c r="BC57" s="19" t="s">
        <v>1188</v>
      </c>
      <c r="BD57" s="19" t="s">
        <v>1193</v>
      </c>
      <c r="BE57" s="19" t="s">
        <v>130</v>
      </c>
      <c r="BF57" s="19" t="s">
        <v>1194</v>
      </c>
      <c r="BG57" s="19"/>
      <c r="BH57" s="19" t="s">
        <v>1195</v>
      </c>
      <c r="BI57" s="19" t="s">
        <v>1195</v>
      </c>
      <c r="BJ57" s="19" t="s">
        <v>166</v>
      </c>
      <c r="BK57" s="19" t="s">
        <v>167</v>
      </c>
      <c r="BL57" s="19" t="s">
        <v>168</v>
      </c>
      <c r="BM57" s="19" t="s">
        <v>169</v>
      </c>
      <c r="BN57" s="21">
        <v>13.679</v>
      </c>
      <c r="BO57" s="21">
        <v>521.03310999999997</v>
      </c>
      <c r="BQ57" s="2"/>
      <c r="BR57" s="2"/>
      <c r="BS57" s="2"/>
      <c r="BT57" s="2"/>
      <c r="BU57" s="22"/>
      <c r="BV57" s="2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</row>
    <row r="58" spans="1:95" x14ac:dyDescent="0.25">
      <c r="A58" s="18">
        <v>55</v>
      </c>
      <c r="B58" s="19" t="s">
        <v>1196</v>
      </c>
      <c r="C58" s="19" t="s">
        <v>1197</v>
      </c>
      <c r="D58" s="20">
        <v>45992</v>
      </c>
      <c r="E58" s="20">
        <v>36505</v>
      </c>
      <c r="F58" s="19"/>
      <c r="G58" s="19"/>
      <c r="H58" s="19" t="s">
        <v>94</v>
      </c>
      <c r="I58" s="19"/>
      <c r="J58" s="19"/>
      <c r="K58" s="19"/>
      <c r="L58" s="19" t="s">
        <v>140</v>
      </c>
      <c r="M58" s="19" t="s">
        <v>141</v>
      </c>
      <c r="N58" s="19" t="s">
        <v>1198</v>
      </c>
      <c r="O58" s="19" t="s">
        <v>100</v>
      </c>
      <c r="P58" s="19"/>
      <c r="Q58" s="19"/>
      <c r="R58" s="19"/>
      <c r="S58" s="19"/>
      <c r="T58" s="19"/>
      <c r="U58" s="19"/>
      <c r="V58" s="19"/>
      <c r="W58" s="19"/>
      <c r="X58" s="19"/>
      <c r="Y58" s="19" t="s">
        <v>101</v>
      </c>
      <c r="Z58" s="19" t="s">
        <v>102</v>
      </c>
      <c r="AA58" s="19" t="s">
        <v>103</v>
      </c>
      <c r="AB58" s="19" t="s">
        <v>402</v>
      </c>
      <c r="AC58" s="19" t="s">
        <v>403</v>
      </c>
      <c r="AD58" s="19" t="s">
        <v>1199</v>
      </c>
      <c r="AE58" s="19" t="s">
        <v>1200</v>
      </c>
      <c r="AF58" s="19" t="s">
        <v>1201</v>
      </c>
      <c r="AG58" s="19" t="s">
        <v>1200</v>
      </c>
      <c r="AH58" s="19" t="s">
        <v>1202</v>
      </c>
      <c r="AI58" s="19" t="s">
        <v>111</v>
      </c>
      <c r="AJ58" s="19" t="s">
        <v>1203</v>
      </c>
      <c r="AK58" s="19"/>
      <c r="AL58" s="19"/>
      <c r="AM58" s="19" t="s">
        <v>1204</v>
      </c>
      <c r="AN58" s="19" t="s">
        <v>1205</v>
      </c>
      <c r="AO58" s="19" t="s">
        <v>1206</v>
      </c>
      <c r="AP58" s="19" t="s">
        <v>1207</v>
      </c>
      <c r="AQ58" s="19" t="s">
        <v>117</v>
      </c>
      <c r="AR58" s="19" t="s">
        <v>1208</v>
      </c>
      <c r="AS58" s="19" t="s">
        <v>1209</v>
      </c>
      <c r="AT58" s="19" t="s">
        <v>1210</v>
      </c>
      <c r="AU58" s="19" t="s">
        <v>1211</v>
      </c>
      <c r="AV58" s="19" t="s">
        <v>219</v>
      </c>
      <c r="AW58" s="19" t="s">
        <v>1212</v>
      </c>
      <c r="AX58" s="19" t="s">
        <v>124</v>
      </c>
      <c r="AY58" s="19" t="s">
        <v>1213</v>
      </c>
      <c r="AZ58" s="19" t="s">
        <v>1214</v>
      </c>
      <c r="BA58" s="20">
        <v>37560</v>
      </c>
      <c r="BB58" s="19" t="s">
        <v>161</v>
      </c>
      <c r="BC58" s="19" t="s">
        <v>1215</v>
      </c>
      <c r="BD58" s="19" t="s">
        <v>1216</v>
      </c>
      <c r="BE58" s="19" t="s">
        <v>130</v>
      </c>
      <c r="BF58" s="19" t="s">
        <v>1217</v>
      </c>
      <c r="BG58" s="19"/>
      <c r="BH58" s="19" t="s">
        <v>1218</v>
      </c>
      <c r="BI58" s="19" t="s">
        <v>1218</v>
      </c>
      <c r="BJ58" s="19" t="s">
        <v>194</v>
      </c>
      <c r="BK58" s="19" t="s">
        <v>591</v>
      </c>
      <c r="BL58" s="19" t="s">
        <v>122</v>
      </c>
      <c r="BM58" s="19" t="s">
        <v>592</v>
      </c>
      <c r="BN58" s="21">
        <v>2.6520000000000001</v>
      </c>
      <c r="BO58" s="21">
        <v>5021.1111600000004</v>
      </c>
      <c r="BQ58" s="2"/>
      <c r="BR58" s="2"/>
      <c r="BS58" s="2"/>
      <c r="BT58" s="2"/>
      <c r="BU58" s="22"/>
      <c r="BV58" s="2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</row>
    <row r="59" spans="1:95" x14ac:dyDescent="0.25">
      <c r="A59" s="18">
        <v>56</v>
      </c>
      <c r="B59" s="19" t="s">
        <v>1219</v>
      </c>
      <c r="C59" s="19" t="s">
        <v>1220</v>
      </c>
      <c r="D59" s="20">
        <v>45992</v>
      </c>
      <c r="E59" s="20">
        <v>30018</v>
      </c>
      <c r="F59" s="19"/>
      <c r="G59" s="19"/>
      <c r="H59" s="19" t="s">
        <v>94</v>
      </c>
      <c r="I59" s="19"/>
      <c r="J59" s="19" t="s">
        <v>287</v>
      </c>
      <c r="K59" s="19" t="s">
        <v>288</v>
      </c>
      <c r="L59" s="19" t="s">
        <v>687</v>
      </c>
      <c r="M59" s="19" t="s">
        <v>688</v>
      </c>
      <c r="N59" s="19" t="s">
        <v>1221</v>
      </c>
      <c r="O59" s="19" t="s">
        <v>100</v>
      </c>
      <c r="P59" s="19"/>
      <c r="Q59" s="19"/>
      <c r="R59" s="19"/>
      <c r="S59" s="19"/>
      <c r="T59" s="19"/>
      <c r="U59" s="19"/>
      <c r="V59" s="19"/>
      <c r="W59" s="19"/>
      <c r="X59" s="19"/>
      <c r="Y59" s="19" t="s">
        <v>101</v>
      </c>
      <c r="Z59" s="19" t="s">
        <v>102</v>
      </c>
      <c r="AA59" s="19" t="s">
        <v>103</v>
      </c>
      <c r="AB59" s="19" t="s">
        <v>1222</v>
      </c>
      <c r="AC59" s="19" t="s">
        <v>1223</v>
      </c>
      <c r="AD59" s="19" t="s">
        <v>1224</v>
      </c>
      <c r="AE59" s="19"/>
      <c r="AF59" s="19"/>
      <c r="AG59" s="19" t="s">
        <v>1225</v>
      </c>
      <c r="AH59" s="19" t="s">
        <v>1226</v>
      </c>
      <c r="AI59" s="19" t="s">
        <v>111</v>
      </c>
      <c r="AJ59" s="19" t="s">
        <v>1227</v>
      </c>
      <c r="AK59" s="19"/>
      <c r="AL59" s="19"/>
      <c r="AM59" s="19" t="s">
        <v>1228</v>
      </c>
      <c r="AN59" s="19" t="s">
        <v>1229</v>
      </c>
      <c r="AO59" s="19" t="s">
        <v>1230</v>
      </c>
      <c r="AP59" s="19" t="s">
        <v>1231</v>
      </c>
      <c r="AQ59" s="19" t="s">
        <v>117</v>
      </c>
      <c r="AR59" s="19" t="s">
        <v>1232</v>
      </c>
      <c r="AS59" s="19" t="s">
        <v>1233</v>
      </c>
      <c r="AT59" s="19" t="s">
        <v>1234</v>
      </c>
      <c r="AU59" s="19"/>
      <c r="AV59" s="19" t="s">
        <v>1235</v>
      </c>
      <c r="AW59" s="19" t="s">
        <v>1236</v>
      </c>
      <c r="AX59" s="19" t="s">
        <v>1237</v>
      </c>
      <c r="AY59" s="19" t="s">
        <v>1238</v>
      </c>
      <c r="AZ59" s="19" t="s">
        <v>1239</v>
      </c>
      <c r="BA59" s="20">
        <v>42306</v>
      </c>
      <c r="BB59" s="19" t="s">
        <v>127</v>
      </c>
      <c r="BC59" s="19" t="s">
        <v>1240</v>
      </c>
      <c r="BD59" s="19" t="s">
        <v>1235</v>
      </c>
      <c r="BE59" s="19" t="s">
        <v>130</v>
      </c>
      <c r="BF59" s="19" t="s">
        <v>1241</v>
      </c>
      <c r="BG59" s="19" t="s">
        <v>1242</v>
      </c>
      <c r="BH59" s="19" t="s">
        <v>1243</v>
      </c>
      <c r="BI59" s="19" t="s">
        <v>1243</v>
      </c>
      <c r="BJ59" s="19" t="s">
        <v>133</v>
      </c>
      <c r="BK59" s="19" t="s">
        <v>1244</v>
      </c>
      <c r="BL59" s="19" t="s">
        <v>1225</v>
      </c>
      <c r="BM59" s="19" t="s">
        <v>135</v>
      </c>
      <c r="BN59" s="21">
        <v>11.332000000000001</v>
      </c>
      <c r="BO59" s="21">
        <v>2485.9008399999998</v>
      </c>
      <c r="BQ59" s="2"/>
      <c r="BR59" s="2"/>
      <c r="BS59" s="2"/>
      <c r="BT59" s="2"/>
      <c r="BU59" s="22"/>
      <c r="BV59" s="2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</row>
    <row r="60" spans="1:95" x14ac:dyDescent="0.25">
      <c r="A60" s="18">
        <v>57</v>
      </c>
      <c r="B60" s="19" t="s">
        <v>1245</v>
      </c>
      <c r="C60" s="19" t="s">
        <v>1246</v>
      </c>
      <c r="D60" s="20">
        <v>45992</v>
      </c>
      <c r="E60" s="20">
        <v>22873</v>
      </c>
      <c r="F60" s="19" t="s">
        <v>1247</v>
      </c>
      <c r="G60" s="19" t="s">
        <v>1248</v>
      </c>
      <c r="H60" s="19" t="s">
        <v>94</v>
      </c>
      <c r="I60" s="19"/>
      <c r="J60" s="19"/>
      <c r="K60" s="19"/>
      <c r="L60" s="19" t="s">
        <v>140</v>
      </c>
      <c r="M60" s="19" t="s">
        <v>141</v>
      </c>
      <c r="N60" s="19" t="s">
        <v>1249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 t="s">
        <v>101</v>
      </c>
      <c r="Z60" s="19" t="s">
        <v>102</v>
      </c>
      <c r="AA60" s="19" t="s">
        <v>103</v>
      </c>
      <c r="AB60" s="19" t="s">
        <v>720</v>
      </c>
      <c r="AC60" s="19" t="s">
        <v>721</v>
      </c>
      <c r="AD60" s="19" t="s">
        <v>1250</v>
      </c>
      <c r="AE60" s="19" t="s">
        <v>1251</v>
      </c>
      <c r="AF60" s="19" t="s">
        <v>1252</v>
      </c>
      <c r="AG60" s="19" t="s">
        <v>219</v>
      </c>
      <c r="AH60" s="19" t="s">
        <v>124</v>
      </c>
      <c r="AI60" s="19" t="s">
        <v>111</v>
      </c>
      <c r="AJ60" s="19" t="s">
        <v>1253</v>
      </c>
      <c r="AK60" s="19"/>
      <c r="AL60" s="19"/>
      <c r="AM60" s="19" t="s">
        <v>1254</v>
      </c>
      <c r="AN60" s="19" t="s">
        <v>1255</v>
      </c>
      <c r="AO60" s="19" t="s">
        <v>208</v>
      </c>
      <c r="AP60" s="19" t="s">
        <v>209</v>
      </c>
      <c r="AQ60" s="19" t="s">
        <v>117</v>
      </c>
      <c r="AR60" s="19" t="s">
        <v>210</v>
      </c>
      <c r="AS60" s="19" t="s">
        <v>211</v>
      </c>
      <c r="AT60" s="19" t="s">
        <v>212</v>
      </c>
      <c r="AU60" s="19" t="s">
        <v>213</v>
      </c>
      <c r="AV60" s="19" t="s">
        <v>214</v>
      </c>
      <c r="AW60" s="19" t="s">
        <v>215</v>
      </c>
      <c r="AX60" s="19" t="s">
        <v>149</v>
      </c>
      <c r="AY60" s="19" t="s">
        <v>216</v>
      </c>
      <c r="AZ60" s="19" t="s">
        <v>217</v>
      </c>
      <c r="BA60" s="20">
        <v>35521</v>
      </c>
      <c r="BB60" s="19" t="s">
        <v>1144</v>
      </c>
      <c r="BC60" s="19" t="s">
        <v>1256</v>
      </c>
      <c r="BD60" s="19" t="s">
        <v>219</v>
      </c>
      <c r="BE60" s="19" t="s">
        <v>130</v>
      </c>
      <c r="BF60" s="19" t="s">
        <v>1257</v>
      </c>
      <c r="BG60" s="19"/>
      <c r="BH60" s="19" t="s">
        <v>1258</v>
      </c>
      <c r="BI60" s="19" t="s">
        <v>1258</v>
      </c>
      <c r="BJ60" s="19" t="s">
        <v>1259</v>
      </c>
      <c r="BK60" s="19" t="s">
        <v>591</v>
      </c>
      <c r="BL60" s="19" t="s">
        <v>122</v>
      </c>
      <c r="BM60" s="19" t="s">
        <v>592</v>
      </c>
      <c r="BN60" s="21">
        <v>8.8659999999999997</v>
      </c>
      <c r="BO60" s="21">
        <v>5020.5498200000002</v>
      </c>
      <c r="BQ60" s="2"/>
      <c r="BR60" s="2"/>
      <c r="BS60" s="2"/>
      <c r="BT60" s="2"/>
      <c r="BU60" s="22"/>
      <c r="BV60" s="2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</row>
    <row r="61" spans="1:95" x14ac:dyDescent="0.25">
      <c r="A61" s="18">
        <v>58</v>
      </c>
      <c r="B61" s="19" t="s">
        <v>1260</v>
      </c>
      <c r="C61" s="19" t="s">
        <v>1261</v>
      </c>
      <c r="D61" s="20">
        <v>46000</v>
      </c>
      <c r="E61" s="20">
        <v>36910</v>
      </c>
      <c r="F61" s="19"/>
      <c r="G61" s="19"/>
      <c r="H61" s="19" t="s">
        <v>94</v>
      </c>
      <c r="I61" s="19"/>
      <c r="J61" s="19"/>
      <c r="K61" s="19"/>
      <c r="L61" s="19" t="s">
        <v>1262</v>
      </c>
      <c r="M61" s="19" t="s">
        <v>1263</v>
      </c>
      <c r="N61" s="19" t="s">
        <v>1264</v>
      </c>
      <c r="O61" s="19" t="s">
        <v>100</v>
      </c>
      <c r="P61" s="19"/>
      <c r="Q61" s="19"/>
      <c r="R61" s="19"/>
      <c r="S61" s="19"/>
      <c r="T61" s="19"/>
      <c r="U61" s="19"/>
      <c r="V61" s="19"/>
      <c r="W61" s="19"/>
      <c r="X61" s="19"/>
      <c r="Y61" s="19" t="s">
        <v>101</v>
      </c>
      <c r="Z61" s="19" t="s">
        <v>102</v>
      </c>
      <c r="AA61" s="19" t="s">
        <v>103</v>
      </c>
      <c r="AB61" s="19" t="s">
        <v>953</v>
      </c>
      <c r="AC61" s="19" t="s">
        <v>954</v>
      </c>
      <c r="AD61" s="19" t="s">
        <v>1265</v>
      </c>
      <c r="AE61" s="19" t="s">
        <v>1266</v>
      </c>
      <c r="AF61" s="19" t="s">
        <v>1267</v>
      </c>
      <c r="AG61" s="19" t="s">
        <v>277</v>
      </c>
      <c r="AH61" s="19" t="s">
        <v>124</v>
      </c>
      <c r="AI61" s="19" t="s">
        <v>111</v>
      </c>
      <c r="AJ61" s="19" t="s">
        <v>1268</v>
      </c>
      <c r="AK61" s="19"/>
      <c r="AL61" s="19"/>
      <c r="AM61" s="19" t="s">
        <v>1269</v>
      </c>
      <c r="AN61" s="19" t="s">
        <v>1270</v>
      </c>
      <c r="AO61" s="19" t="s">
        <v>181</v>
      </c>
      <c r="AP61" s="19" t="s">
        <v>182</v>
      </c>
      <c r="AQ61" s="19" t="s">
        <v>117</v>
      </c>
      <c r="AR61" s="19" t="s">
        <v>183</v>
      </c>
      <c r="AS61" s="19" t="s">
        <v>184</v>
      </c>
      <c r="AT61" s="19" t="s">
        <v>185</v>
      </c>
      <c r="AU61" s="19"/>
      <c r="AV61" s="19" t="s">
        <v>186</v>
      </c>
      <c r="AW61" s="19" t="s">
        <v>187</v>
      </c>
      <c r="AX61" s="19" t="s">
        <v>188</v>
      </c>
      <c r="AY61" s="19"/>
      <c r="AZ61" s="19" t="s">
        <v>189</v>
      </c>
      <c r="BA61" s="20">
        <v>44673</v>
      </c>
      <c r="BB61" s="19" t="s">
        <v>444</v>
      </c>
      <c r="BC61" s="19" t="s">
        <v>1271</v>
      </c>
      <c r="BD61" s="19" t="s">
        <v>277</v>
      </c>
      <c r="BE61" s="19" t="s">
        <v>130</v>
      </c>
      <c r="BF61" s="19" t="s">
        <v>1272</v>
      </c>
      <c r="BG61" s="19"/>
      <c r="BH61" s="19" t="s">
        <v>1273</v>
      </c>
      <c r="BI61" s="19" t="s">
        <v>1273</v>
      </c>
      <c r="BJ61" s="19" t="s">
        <v>194</v>
      </c>
      <c r="BK61" s="19" t="s">
        <v>195</v>
      </c>
      <c r="BL61" s="19" t="s">
        <v>122</v>
      </c>
      <c r="BM61" s="19" t="s">
        <v>196</v>
      </c>
      <c r="BN61" s="21">
        <v>5.0640000000000001</v>
      </c>
      <c r="BO61" s="21">
        <v>203.9865288</v>
      </c>
      <c r="BQ61" s="2"/>
      <c r="BR61" s="2"/>
      <c r="BS61" s="2"/>
      <c r="BT61" s="2"/>
      <c r="BU61" s="22"/>
      <c r="BV61" s="2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</row>
    <row r="62" spans="1:95" x14ac:dyDescent="0.25">
      <c r="A62" s="18">
        <v>59</v>
      </c>
      <c r="B62" s="19" t="s">
        <v>1274</v>
      </c>
      <c r="C62" s="19" t="s">
        <v>1275</v>
      </c>
      <c r="D62" s="20">
        <v>46000</v>
      </c>
      <c r="E62" s="20">
        <v>25215</v>
      </c>
      <c r="F62" s="19"/>
      <c r="G62" s="19"/>
      <c r="H62" s="19" t="s">
        <v>94</v>
      </c>
      <c r="I62" s="19"/>
      <c r="J62" s="19" t="s">
        <v>1276</v>
      </c>
      <c r="K62" s="19" t="s">
        <v>1277</v>
      </c>
      <c r="L62" s="19" t="s">
        <v>97</v>
      </c>
      <c r="M62" s="19" t="s">
        <v>98</v>
      </c>
      <c r="N62" s="19" t="s">
        <v>1278</v>
      </c>
      <c r="O62" s="19" t="s">
        <v>100</v>
      </c>
      <c r="P62" s="19"/>
      <c r="Q62" s="19"/>
      <c r="R62" s="19"/>
      <c r="S62" s="19"/>
      <c r="T62" s="19"/>
      <c r="U62" s="19"/>
      <c r="V62" s="19"/>
      <c r="W62" s="19"/>
      <c r="X62" s="19"/>
      <c r="Y62" s="19" t="s">
        <v>1279</v>
      </c>
      <c r="Z62" s="19" t="s">
        <v>1280</v>
      </c>
      <c r="AA62" s="19" t="s">
        <v>103</v>
      </c>
      <c r="AB62" s="19" t="s">
        <v>247</v>
      </c>
      <c r="AC62" s="19" t="s">
        <v>248</v>
      </c>
      <c r="AD62" s="19" t="s">
        <v>1281</v>
      </c>
      <c r="AE62" s="19" t="s">
        <v>1282</v>
      </c>
      <c r="AF62" s="19"/>
      <c r="AG62" s="19" t="s">
        <v>124</v>
      </c>
      <c r="AH62" s="19" t="s">
        <v>124</v>
      </c>
      <c r="AI62" s="19" t="s">
        <v>1283</v>
      </c>
      <c r="AJ62" s="19" t="s">
        <v>1284</v>
      </c>
      <c r="AK62" s="19"/>
      <c r="AL62" s="19"/>
      <c r="AM62" s="19" t="s">
        <v>1285</v>
      </c>
      <c r="AN62" s="19"/>
      <c r="AO62" s="19" t="s">
        <v>1077</v>
      </c>
      <c r="AP62" s="19" t="s">
        <v>1077</v>
      </c>
      <c r="AQ62" s="19" t="s">
        <v>117</v>
      </c>
      <c r="AR62" s="19"/>
      <c r="AS62" s="19" t="s">
        <v>1078</v>
      </c>
      <c r="AT62" s="19"/>
      <c r="AU62" s="19"/>
      <c r="AV62" s="19"/>
      <c r="AW62" s="19" t="s">
        <v>1079</v>
      </c>
      <c r="AX62" s="19"/>
      <c r="AY62" s="19"/>
      <c r="AZ62" s="19"/>
      <c r="BA62" s="20">
        <v>38627</v>
      </c>
      <c r="BB62" s="19" t="s">
        <v>127</v>
      </c>
      <c r="BC62" s="19" t="s">
        <v>1286</v>
      </c>
      <c r="BD62" s="19" t="s">
        <v>219</v>
      </c>
      <c r="BE62" s="19" t="s">
        <v>1287</v>
      </c>
      <c r="BF62" s="19" t="s">
        <v>1288</v>
      </c>
      <c r="BG62" s="19"/>
      <c r="BH62" s="19" t="s">
        <v>1289</v>
      </c>
      <c r="BI62" s="19" t="s">
        <v>1289</v>
      </c>
      <c r="BJ62" s="19" t="s">
        <v>133</v>
      </c>
      <c r="BK62" s="19" t="s">
        <v>785</v>
      </c>
      <c r="BL62" s="19" t="s">
        <v>122</v>
      </c>
      <c r="BM62" s="19" t="s">
        <v>196</v>
      </c>
      <c r="BN62" s="21">
        <v>9154.6959999999999</v>
      </c>
      <c r="BO62" s="21">
        <v>4014447.7142304</v>
      </c>
      <c r="BQ62" s="2"/>
      <c r="BR62" s="2"/>
      <c r="BS62" s="2"/>
      <c r="BT62" s="2"/>
      <c r="BU62" s="22"/>
      <c r="BV62" s="2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</row>
    <row r="63" spans="1:95" x14ac:dyDescent="0.25">
      <c r="A63" s="18">
        <v>60</v>
      </c>
      <c r="B63" s="19" t="s">
        <v>1290</v>
      </c>
      <c r="C63" s="19" t="s">
        <v>1291</v>
      </c>
      <c r="D63" s="20">
        <v>45995</v>
      </c>
      <c r="E63" s="20">
        <v>35314</v>
      </c>
      <c r="F63" s="19"/>
      <c r="G63" s="19"/>
      <c r="H63" s="19" t="s">
        <v>94</v>
      </c>
      <c r="I63" s="19"/>
      <c r="J63" s="19"/>
      <c r="K63" s="19"/>
      <c r="L63" s="19" t="s">
        <v>101</v>
      </c>
      <c r="M63" s="19" t="s">
        <v>290</v>
      </c>
      <c r="N63" s="19" t="s">
        <v>1292</v>
      </c>
      <c r="O63" s="19" t="s">
        <v>100</v>
      </c>
      <c r="P63" s="19"/>
      <c r="Q63" s="19"/>
      <c r="R63" s="19"/>
      <c r="S63" s="19"/>
      <c r="T63" s="19"/>
      <c r="U63" s="19"/>
      <c r="V63" s="19"/>
      <c r="W63" s="19"/>
      <c r="X63" s="19"/>
      <c r="Y63" s="19" t="s">
        <v>101</v>
      </c>
      <c r="Z63" s="19" t="s">
        <v>102</v>
      </c>
      <c r="AA63" s="19" t="s">
        <v>103</v>
      </c>
      <c r="AB63" s="19" t="s">
        <v>173</v>
      </c>
      <c r="AC63" s="19" t="s">
        <v>174</v>
      </c>
      <c r="AD63" s="19" t="s">
        <v>1293</v>
      </c>
      <c r="AE63" s="19" t="s">
        <v>1294</v>
      </c>
      <c r="AF63" s="19" t="s">
        <v>1295</v>
      </c>
      <c r="AG63" s="19" t="s">
        <v>1174</v>
      </c>
      <c r="AH63" s="19" t="s">
        <v>1015</v>
      </c>
      <c r="AI63" s="19" t="s">
        <v>111</v>
      </c>
      <c r="AJ63" s="19" t="s">
        <v>1296</v>
      </c>
      <c r="AK63" s="19"/>
      <c r="AL63" s="19"/>
      <c r="AM63" s="19" t="s">
        <v>1297</v>
      </c>
      <c r="AN63" s="19" t="s">
        <v>1298</v>
      </c>
      <c r="AO63" s="19" t="s">
        <v>181</v>
      </c>
      <c r="AP63" s="19" t="s">
        <v>182</v>
      </c>
      <c r="AQ63" s="19" t="s">
        <v>117</v>
      </c>
      <c r="AR63" s="19" t="s">
        <v>183</v>
      </c>
      <c r="AS63" s="19" t="s">
        <v>184</v>
      </c>
      <c r="AT63" s="19" t="s">
        <v>185</v>
      </c>
      <c r="AU63" s="19"/>
      <c r="AV63" s="19" t="s">
        <v>186</v>
      </c>
      <c r="AW63" s="19" t="s">
        <v>187</v>
      </c>
      <c r="AX63" s="19" t="s">
        <v>188</v>
      </c>
      <c r="AY63" s="19"/>
      <c r="AZ63" s="19" t="s">
        <v>189</v>
      </c>
      <c r="BA63" s="20">
        <v>44673</v>
      </c>
      <c r="BB63" s="19" t="s">
        <v>349</v>
      </c>
      <c r="BC63" s="19" t="s">
        <v>1299</v>
      </c>
      <c r="BD63" s="19" t="s">
        <v>1300</v>
      </c>
      <c r="BE63" s="19" t="s">
        <v>130</v>
      </c>
      <c r="BF63" s="19" t="s">
        <v>1301</v>
      </c>
      <c r="BG63" s="19"/>
      <c r="BH63" s="19" t="s">
        <v>1302</v>
      </c>
      <c r="BI63" s="19" t="s">
        <v>1302</v>
      </c>
      <c r="BJ63" s="19" t="s">
        <v>194</v>
      </c>
      <c r="BK63" s="19" t="s">
        <v>195</v>
      </c>
      <c r="BL63" s="19" t="s">
        <v>122</v>
      </c>
      <c r="BM63" s="19" t="s">
        <v>196</v>
      </c>
      <c r="BN63" s="21">
        <v>18.291</v>
      </c>
      <c r="BO63" s="21">
        <v>647.94404220000001</v>
      </c>
      <c r="BQ63" s="2"/>
      <c r="BR63" s="2"/>
      <c r="BS63" s="2"/>
      <c r="BT63" s="2"/>
      <c r="BU63" s="22"/>
      <c r="BV63" s="2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</row>
    <row r="64" spans="1:95" x14ac:dyDescent="0.25">
      <c r="A64" s="18">
        <v>61</v>
      </c>
      <c r="B64" s="19" t="s">
        <v>1303</v>
      </c>
      <c r="C64" s="19" t="s">
        <v>1304</v>
      </c>
      <c r="D64" s="20">
        <v>45995</v>
      </c>
      <c r="E64" s="20">
        <v>34336</v>
      </c>
      <c r="F64" s="19"/>
      <c r="G64" s="19"/>
      <c r="H64" s="19" t="s">
        <v>94</v>
      </c>
      <c r="I64" s="19"/>
      <c r="J64" s="19"/>
      <c r="K64" s="19"/>
      <c r="L64" s="19" t="s">
        <v>244</v>
      </c>
      <c r="M64" s="19" t="s">
        <v>245</v>
      </c>
      <c r="N64" s="19" t="s">
        <v>1305</v>
      </c>
      <c r="O64" s="19" t="s">
        <v>100</v>
      </c>
      <c r="P64" s="19"/>
      <c r="Q64" s="19"/>
      <c r="R64" s="19"/>
      <c r="S64" s="19"/>
      <c r="T64" s="19"/>
      <c r="U64" s="19"/>
      <c r="V64" s="19"/>
      <c r="W64" s="19"/>
      <c r="X64" s="19"/>
      <c r="Y64" s="19" t="s">
        <v>101</v>
      </c>
      <c r="Z64" s="19" t="s">
        <v>102</v>
      </c>
      <c r="AA64" s="19" t="s">
        <v>103</v>
      </c>
      <c r="AB64" s="19" t="s">
        <v>1306</v>
      </c>
      <c r="AC64" s="19" t="s">
        <v>1307</v>
      </c>
      <c r="AD64" s="19" t="s">
        <v>1308</v>
      </c>
      <c r="AE64" s="19" t="s">
        <v>1309</v>
      </c>
      <c r="AF64" s="19"/>
      <c r="AG64" s="19" t="s">
        <v>1310</v>
      </c>
      <c r="AH64" s="19" t="s">
        <v>110</v>
      </c>
      <c r="AI64" s="19" t="s">
        <v>111</v>
      </c>
      <c r="AJ64" s="19" t="s">
        <v>1311</v>
      </c>
      <c r="AK64" s="19"/>
      <c r="AL64" s="19"/>
      <c r="AM64" s="19" t="s">
        <v>1312</v>
      </c>
      <c r="AN64" s="19" t="s">
        <v>1313</v>
      </c>
      <c r="AO64" s="19" t="s">
        <v>255</v>
      </c>
      <c r="AP64" s="19" t="s">
        <v>256</v>
      </c>
      <c r="AQ64" s="19" t="s">
        <v>117</v>
      </c>
      <c r="AR64" s="19" t="s">
        <v>257</v>
      </c>
      <c r="AS64" s="19" t="s">
        <v>258</v>
      </c>
      <c r="AT64" s="19" t="s">
        <v>259</v>
      </c>
      <c r="AU64" s="19" t="s">
        <v>260</v>
      </c>
      <c r="AV64" s="19" t="s">
        <v>260</v>
      </c>
      <c r="AW64" s="19" t="s">
        <v>261</v>
      </c>
      <c r="AX64" s="19" t="s">
        <v>262</v>
      </c>
      <c r="AY64" s="19" t="s">
        <v>263</v>
      </c>
      <c r="AZ64" s="19" t="s">
        <v>264</v>
      </c>
      <c r="BA64" s="20">
        <v>43627</v>
      </c>
      <c r="BB64" s="19" t="s">
        <v>444</v>
      </c>
      <c r="BC64" s="19" t="s">
        <v>1314</v>
      </c>
      <c r="BD64" s="19" t="s">
        <v>1315</v>
      </c>
      <c r="BE64" s="19" t="s">
        <v>130</v>
      </c>
      <c r="BF64" s="19" t="s">
        <v>1316</v>
      </c>
      <c r="BG64" s="19"/>
      <c r="BH64" s="19" t="s">
        <v>1317</v>
      </c>
      <c r="BI64" s="19" t="s">
        <v>1317</v>
      </c>
      <c r="BJ64" s="19" t="s">
        <v>194</v>
      </c>
      <c r="BK64" s="19" t="s">
        <v>195</v>
      </c>
      <c r="BL64" s="19" t="s">
        <v>122</v>
      </c>
      <c r="BM64" s="19" t="s">
        <v>196</v>
      </c>
      <c r="BN64" s="21">
        <v>0</v>
      </c>
      <c r="BO64" s="21">
        <v>0</v>
      </c>
      <c r="BQ64" s="2"/>
      <c r="BR64" s="2"/>
      <c r="BS64" s="2"/>
      <c r="BT64" s="2"/>
      <c r="BU64" s="22"/>
      <c r="BV64" s="2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</row>
    <row r="65" spans="1:95" x14ac:dyDescent="0.25">
      <c r="A65" s="18">
        <v>62</v>
      </c>
      <c r="B65" s="19" t="s">
        <v>1318</v>
      </c>
      <c r="C65" s="19" t="s">
        <v>1319</v>
      </c>
      <c r="D65" s="20">
        <v>45993</v>
      </c>
      <c r="E65" s="20">
        <v>36040</v>
      </c>
      <c r="F65" s="19" t="s">
        <v>1320</v>
      </c>
      <c r="G65" s="19" t="s">
        <v>139</v>
      </c>
      <c r="H65" s="19" t="s">
        <v>94</v>
      </c>
      <c r="I65" s="19"/>
      <c r="J65" s="19"/>
      <c r="K65" s="19"/>
      <c r="L65" s="19" t="s">
        <v>244</v>
      </c>
      <c r="M65" s="19" t="s">
        <v>245</v>
      </c>
      <c r="N65" s="19" t="s">
        <v>1321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 t="s">
        <v>101</v>
      </c>
      <c r="Z65" s="19" t="s">
        <v>102</v>
      </c>
      <c r="AA65" s="19" t="s">
        <v>103</v>
      </c>
      <c r="AB65" s="19" t="s">
        <v>173</v>
      </c>
      <c r="AC65" s="19" t="s">
        <v>174</v>
      </c>
      <c r="AD65" s="19" t="s">
        <v>1322</v>
      </c>
      <c r="AE65" s="19" t="s">
        <v>1323</v>
      </c>
      <c r="AF65" s="19" t="s">
        <v>1324</v>
      </c>
      <c r="AG65" s="19" t="s">
        <v>1325</v>
      </c>
      <c r="AH65" s="19" t="s">
        <v>1326</v>
      </c>
      <c r="AI65" s="19" t="s">
        <v>111</v>
      </c>
      <c r="AJ65" s="19" t="s">
        <v>1327</v>
      </c>
      <c r="AK65" s="19"/>
      <c r="AL65" s="19" t="s">
        <v>1328</v>
      </c>
      <c r="AM65" s="19" t="s">
        <v>1329</v>
      </c>
      <c r="AN65" s="19" t="s">
        <v>1330</v>
      </c>
      <c r="AO65" s="19" t="s">
        <v>154</v>
      </c>
      <c r="AP65" s="19" t="s">
        <v>155</v>
      </c>
      <c r="AQ65" s="19" t="s">
        <v>117</v>
      </c>
      <c r="AR65" s="19" t="s">
        <v>156</v>
      </c>
      <c r="AS65" s="19" t="s">
        <v>157</v>
      </c>
      <c r="AT65" s="19" t="s">
        <v>158</v>
      </c>
      <c r="AU65" s="19"/>
      <c r="AV65" s="19" t="s">
        <v>122</v>
      </c>
      <c r="AW65" s="19"/>
      <c r="AX65" s="19" t="s">
        <v>124</v>
      </c>
      <c r="AY65" s="19" t="s">
        <v>159</v>
      </c>
      <c r="AZ65" s="19" t="s">
        <v>160</v>
      </c>
      <c r="BA65" s="20">
        <v>44676</v>
      </c>
      <c r="BB65" s="19" t="s">
        <v>331</v>
      </c>
      <c r="BC65" s="19" t="s">
        <v>1331</v>
      </c>
      <c r="BD65" s="19" t="s">
        <v>1325</v>
      </c>
      <c r="BE65" s="19" t="s">
        <v>130</v>
      </c>
      <c r="BF65" s="19" t="s">
        <v>1332</v>
      </c>
      <c r="BG65" s="19"/>
      <c r="BH65" s="19" t="s">
        <v>1333</v>
      </c>
      <c r="BI65" s="19" t="s">
        <v>1333</v>
      </c>
      <c r="BJ65" s="19" t="s">
        <v>166</v>
      </c>
      <c r="BK65" s="19" t="s">
        <v>167</v>
      </c>
      <c r="BL65" s="19" t="s">
        <v>168</v>
      </c>
      <c r="BM65" s="19" t="s">
        <v>169</v>
      </c>
      <c r="BN65" s="21">
        <v>0</v>
      </c>
      <c r="BO65" s="21">
        <v>0</v>
      </c>
      <c r="BQ65" s="2"/>
      <c r="BR65" s="2"/>
      <c r="BS65" s="2"/>
      <c r="BT65" s="2"/>
      <c r="BU65" s="22"/>
      <c r="BV65" s="2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</row>
    <row r="66" spans="1:95" x14ac:dyDescent="0.25">
      <c r="A66" s="18">
        <v>63</v>
      </c>
      <c r="B66" s="19" t="s">
        <v>1334</v>
      </c>
      <c r="C66" s="19" t="s">
        <v>1335</v>
      </c>
      <c r="D66" s="20">
        <v>45999</v>
      </c>
      <c r="E66" s="20"/>
      <c r="F66" s="19"/>
      <c r="G66" s="19"/>
      <c r="H66" s="19" t="s">
        <v>94</v>
      </c>
      <c r="I66" s="19"/>
      <c r="J66" s="19"/>
      <c r="K66" s="19"/>
      <c r="L66" s="19"/>
      <c r="M66" s="19"/>
      <c r="N66" s="19" t="s">
        <v>1336</v>
      </c>
      <c r="O66" s="19" t="s">
        <v>1337</v>
      </c>
      <c r="P66" s="19"/>
      <c r="Q66" s="19"/>
      <c r="R66" s="19"/>
      <c r="S66" s="19"/>
      <c r="T66" s="19"/>
      <c r="U66" s="19"/>
      <c r="V66" s="19"/>
      <c r="W66" s="19"/>
      <c r="X66" s="19"/>
      <c r="Y66" s="19" t="s">
        <v>101</v>
      </c>
      <c r="Z66" s="19" t="s">
        <v>102</v>
      </c>
      <c r="AA66" s="19" t="s">
        <v>103</v>
      </c>
      <c r="AB66" s="19" t="s">
        <v>612</v>
      </c>
      <c r="AC66" s="19" t="s">
        <v>613</v>
      </c>
      <c r="AD66" s="19" t="s">
        <v>1338</v>
      </c>
      <c r="AE66" s="19" t="s">
        <v>1339</v>
      </c>
      <c r="AF66" s="19" t="s">
        <v>1340</v>
      </c>
      <c r="AG66" s="19" t="s">
        <v>219</v>
      </c>
      <c r="AH66" s="19" t="s">
        <v>124</v>
      </c>
      <c r="AI66" s="19" t="s">
        <v>111</v>
      </c>
      <c r="AJ66" s="19" t="s">
        <v>1341</v>
      </c>
      <c r="AK66" s="19"/>
      <c r="AL66" s="19"/>
      <c r="AM66" s="19"/>
      <c r="AN66" s="19"/>
      <c r="AO66" s="19" t="s">
        <v>208</v>
      </c>
      <c r="AP66" s="19" t="s">
        <v>209</v>
      </c>
      <c r="AQ66" s="19" t="s">
        <v>117</v>
      </c>
      <c r="AR66" s="19" t="s">
        <v>210</v>
      </c>
      <c r="AS66" s="19" t="s">
        <v>211</v>
      </c>
      <c r="AT66" s="19" t="s">
        <v>212</v>
      </c>
      <c r="AU66" s="19" t="s">
        <v>213</v>
      </c>
      <c r="AV66" s="19" t="s">
        <v>214</v>
      </c>
      <c r="AW66" s="19" t="s">
        <v>215</v>
      </c>
      <c r="AX66" s="19" t="s">
        <v>149</v>
      </c>
      <c r="AY66" s="19" t="s">
        <v>216</v>
      </c>
      <c r="AZ66" s="19" t="s">
        <v>217</v>
      </c>
      <c r="BA66" s="20">
        <v>35521</v>
      </c>
      <c r="BB66" s="19" t="s">
        <v>1342</v>
      </c>
      <c r="BC66" s="19"/>
      <c r="BD66" s="19" t="s">
        <v>219</v>
      </c>
      <c r="BE66" s="19"/>
      <c r="BF66" s="19" t="s">
        <v>1343</v>
      </c>
      <c r="BG66" s="19"/>
      <c r="BH66" s="19"/>
      <c r="BI66" s="19"/>
      <c r="BJ66" s="19" t="s">
        <v>166</v>
      </c>
      <c r="BK66" s="19" t="s">
        <v>221</v>
      </c>
      <c r="BL66" s="19" t="s">
        <v>222</v>
      </c>
      <c r="BM66" s="19" t="s">
        <v>169</v>
      </c>
      <c r="BN66" s="21">
        <v>287.64600000000002</v>
      </c>
      <c r="BO66" s="21">
        <v>157621.37862</v>
      </c>
      <c r="BQ66" s="2"/>
      <c r="BR66" s="2"/>
      <c r="BS66" s="2"/>
      <c r="BT66" s="2"/>
      <c r="BU66" s="22"/>
      <c r="BV66" s="2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</row>
    <row r="67" spans="1:95" x14ac:dyDescent="0.25">
      <c r="A67" s="18">
        <v>64</v>
      </c>
      <c r="B67" s="19" t="s">
        <v>1344</v>
      </c>
      <c r="C67" s="19" t="s">
        <v>1345</v>
      </c>
      <c r="D67" s="20">
        <v>46005</v>
      </c>
      <c r="E67" s="20">
        <v>35704</v>
      </c>
      <c r="F67" s="19"/>
      <c r="G67" s="19"/>
      <c r="H67" s="19" t="s">
        <v>94</v>
      </c>
      <c r="I67" s="19"/>
      <c r="J67" s="19" t="s">
        <v>95</v>
      </c>
      <c r="K67" s="19" t="s">
        <v>96</v>
      </c>
      <c r="L67" s="19" t="s">
        <v>101</v>
      </c>
      <c r="M67" s="19" t="s">
        <v>290</v>
      </c>
      <c r="N67" s="19" t="s">
        <v>1346</v>
      </c>
      <c r="O67" s="19" t="s">
        <v>100</v>
      </c>
      <c r="P67" s="19"/>
      <c r="Q67" s="19"/>
      <c r="R67" s="19"/>
      <c r="S67" s="19"/>
      <c r="T67" s="19"/>
      <c r="U67" s="19"/>
      <c r="V67" s="19"/>
      <c r="W67" s="19"/>
      <c r="X67" s="19"/>
      <c r="Y67" s="19" t="s">
        <v>101</v>
      </c>
      <c r="Z67" s="19" t="s">
        <v>102</v>
      </c>
      <c r="AA67" s="19" t="s">
        <v>103</v>
      </c>
      <c r="AB67" s="19" t="s">
        <v>1347</v>
      </c>
      <c r="AC67" s="19" t="s">
        <v>1348</v>
      </c>
      <c r="AD67" s="19" t="s">
        <v>1349</v>
      </c>
      <c r="AE67" s="19" t="s">
        <v>1350</v>
      </c>
      <c r="AF67" s="19" t="s">
        <v>1351</v>
      </c>
      <c r="AG67" s="19" t="s">
        <v>1351</v>
      </c>
      <c r="AH67" s="19" t="s">
        <v>149</v>
      </c>
      <c r="AI67" s="19" t="s">
        <v>111</v>
      </c>
      <c r="AJ67" s="19" t="s">
        <v>1352</v>
      </c>
      <c r="AK67" s="19"/>
      <c r="AL67" s="19"/>
      <c r="AM67" s="19" t="s">
        <v>1353</v>
      </c>
      <c r="AN67" s="19" t="s">
        <v>1354</v>
      </c>
      <c r="AO67" s="19" t="s">
        <v>1355</v>
      </c>
      <c r="AP67" s="19" t="s">
        <v>1356</v>
      </c>
      <c r="AQ67" s="19" t="s">
        <v>117</v>
      </c>
      <c r="AR67" s="19" t="s">
        <v>1357</v>
      </c>
      <c r="AS67" s="19" t="s">
        <v>1358</v>
      </c>
      <c r="AT67" s="19" t="s">
        <v>1359</v>
      </c>
      <c r="AU67" s="19"/>
      <c r="AV67" s="19" t="s">
        <v>1360</v>
      </c>
      <c r="AW67" s="19" t="s">
        <v>1361</v>
      </c>
      <c r="AX67" s="19" t="s">
        <v>149</v>
      </c>
      <c r="AY67" s="19" t="s">
        <v>1362</v>
      </c>
      <c r="AZ67" s="19" t="s">
        <v>1363</v>
      </c>
      <c r="BA67" s="20">
        <v>44559</v>
      </c>
      <c r="BB67" s="19" t="s">
        <v>331</v>
      </c>
      <c r="BC67" s="19" t="s">
        <v>815</v>
      </c>
      <c r="BD67" s="19" t="s">
        <v>815</v>
      </c>
      <c r="BE67" s="19" t="s">
        <v>130</v>
      </c>
      <c r="BF67" s="19" t="s">
        <v>1364</v>
      </c>
      <c r="BG67" s="19"/>
      <c r="BH67" s="19" t="s">
        <v>1365</v>
      </c>
      <c r="BI67" s="19" t="s">
        <v>1365</v>
      </c>
      <c r="BJ67" s="19" t="s">
        <v>166</v>
      </c>
      <c r="BK67" s="19" t="s">
        <v>221</v>
      </c>
      <c r="BL67" s="19" t="s">
        <v>222</v>
      </c>
      <c r="BM67" s="19" t="s">
        <v>169</v>
      </c>
      <c r="BN67" s="21">
        <v>1109.556</v>
      </c>
      <c r="BO67" s="21">
        <v>12060.87372</v>
      </c>
      <c r="BQ67" s="2"/>
      <c r="BR67" s="2"/>
      <c r="BS67" s="2"/>
      <c r="BT67" s="2"/>
      <c r="BU67" s="22"/>
      <c r="BV67" s="2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</row>
    <row r="68" spans="1:95" x14ac:dyDescent="0.25">
      <c r="A68" s="18">
        <v>65</v>
      </c>
      <c r="B68" s="19" t="s">
        <v>1366</v>
      </c>
      <c r="C68" s="19" t="s">
        <v>1367</v>
      </c>
      <c r="D68" s="20">
        <v>46020</v>
      </c>
      <c r="E68" s="20">
        <v>40043</v>
      </c>
      <c r="F68" s="19"/>
      <c r="G68" s="19"/>
      <c r="H68" s="19" t="s">
        <v>94</v>
      </c>
      <c r="I68" s="19"/>
      <c r="J68" s="19" t="s">
        <v>287</v>
      </c>
      <c r="K68" s="19" t="s">
        <v>288</v>
      </c>
      <c r="L68" s="19" t="s">
        <v>1368</v>
      </c>
      <c r="M68" s="19" t="s">
        <v>468</v>
      </c>
      <c r="N68" s="19"/>
      <c r="O68" s="19"/>
      <c r="P68" s="19" t="s">
        <v>1369</v>
      </c>
      <c r="Q68" s="19" t="s">
        <v>1370</v>
      </c>
      <c r="R68" s="19" t="s">
        <v>100</v>
      </c>
      <c r="S68" s="19"/>
      <c r="T68" s="19"/>
      <c r="U68" s="19"/>
      <c r="V68" s="19"/>
      <c r="W68" s="19"/>
      <c r="X68" s="19"/>
      <c r="Y68" s="19" t="s">
        <v>244</v>
      </c>
      <c r="Z68" s="19" t="s">
        <v>1371</v>
      </c>
      <c r="AA68" s="19" t="s">
        <v>103</v>
      </c>
      <c r="AB68" s="19" t="s">
        <v>1372</v>
      </c>
      <c r="AC68" s="19" t="s">
        <v>1373</v>
      </c>
      <c r="AD68" s="19" t="s">
        <v>1374</v>
      </c>
      <c r="AE68" s="19" t="s">
        <v>1375</v>
      </c>
      <c r="AF68" s="19" t="s">
        <v>1376</v>
      </c>
      <c r="AG68" s="19" t="s">
        <v>1376</v>
      </c>
      <c r="AH68" s="19" t="s">
        <v>231</v>
      </c>
      <c r="AI68" s="19" t="s">
        <v>111</v>
      </c>
      <c r="AJ68" s="19" t="s">
        <v>1377</v>
      </c>
      <c r="AK68" s="19"/>
      <c r="AL68" s="19"/>
      <c r="AM68" s="19" t="s">
        <v>1378</v>
      </c>
      <c r="AN68" s="19" t="s">
        <v>1379</v>
      </c>
      <c r="AO68" s="19" t="s">
        <v>1380</v>
      </c>
      <c r="AP68" s="19" t="s">
        <v>1381</v>
      </c>
      <c r="AQ68" s="19" t="s">
        <v>117</v>
      </c>
      <c r="AR68" s="19" t="s">
        <v>1382</v>
      </c>
      <c r="AS68" s="19" t="s">
        <v>1383</v>
      </c>
      <c r="AT68" s="19" t="s">
        <v>1384</v>
      </c>
      <c r="AU68" s="19" t="s">
        <v>1385</v>
      </c>
      <c r="AV68" s="19" t="s">
        <v>1376</v>
      </c>
      <c r="AW68" s="19" t="s">
        <v>1377</v>
      </c>
      <c r="AX68" s="19" t="s">
        <v>231</v>
      </c>
      <c r="AY68" s="19" t="s">
        <v>1386</v>
      </c>
      <c r="AZ68" s="19" t="s">
        <v>1387</v>
      </c>
      <c r="BA68" s="20">
        <v>37844</v>
      </c>
      <c r="BB68" s="19" t="s">
        <v>1388</v>
      </c>
      <c r="BC68" s="19" t="s">
        <v>1389</v>
      </c>
      <c r="BD68" s="19" t="s">
        <v>1390</v>
      </c>
      <c r="BE68" s="19" t="s">
        <v>130</v>
      </c>
      <c r="BF68" s="19" t="s">
        <v>1391</v>
      </c>
      <c r="BG68" s="19" t="s">
        <v>1392</v>
      </c>
      <c r="BH68" s="19" t="s">
        <v>1393</v>
      </c>
      <c r="BI68" s="19" t="s">
        <v>1393</v>
      </c>
      <c r="BJ68" s="19" t="s">
        <v>1394</v>
      </c>
      <c r="BK68" s="19" t="s">
        <v>1395</v>
      </c>
      <c r="BL68" s="19" t="s">
        <v>1390</v>
      </c>
      <c r="BM68" s="19" t="s">
        <v>135</v>
      </c>
      <c r="BN68" s="21">
        <v>25.661000000000001</v>
      </c>
      <c r="BO68" s="21">
        <v>993.0345102</v>
      </c>
      <c r="BQ68" s="2"/>
      <c r="BR68" s="2"/>
      <c r="BS68" s="2"/>
      <c r="BT68" s="2"/>
      <c r="BU68" s="22"/>
      <c r="BV68" s="2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</row>
    <row r="69" spans="1:95" x14ac:dyDescent="0.25">
      <c r="A69" s="18">
        <v>66</v>
      </c>
      <c r="B69" s="19" t="s">
        <v>1396</v>
      </c>
      <c r="C69" s="19" t="s">
        <v>1397</v>
      </c>
      <c r="D69" s="20">
        <v>46002</v>
      </c>
      <c r="E69" s="20">
        <v>36599</v>
      </c>
      <c r="F69" s="19" t="s">
        <v>1398</v>
      </c>
      <c r="G69" s="19" t="s">
        <v>139</v>
      </c>
      <c r="H69" s="19" t="s">
        <v>94</v>
      </c>
      <c r="I69" s="19"/>
      <c r="J69" s="19"/>
      <c r="K69" s="19"/>
      <c r="L69" s="19" t="s">
        <v>244</v>
      </c>
      <c r="M69" s="19" t="s">
        <v>245</v>
      </c>
      <c r="N69" s="19" t="s">
        <v>1399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 t="s">
        <v>101</v>
      </c>
      <c r="Z69" s="19" t="s">
        <v>102</v>
      </c>
      <c r="AA69" s="19" t="s">
        <v>103</v>
      </c>
      <c r="AB69" s="19" t="s">
        <v>812</v>
      </c>
      <c r="AC69" s="19" t="s">
        <v>813</v>
      </c>
      <c r="AD69" s="19" t="s">
        <v>1400</v>
      </c>
      <c r="AE69" s="19" t="s">
        <v>1401</v>
      </c>
      <c r="AF69" s="19" t="s">
        <v>1402</v>
      </c>
      <c r="AG69" s="19" t="s">
        <v>514</v>
      </c>
      <c r="AH69" s="19" t="s">
        <v>515</v>
      </c>
      <c r="AI69" s="19" t="s">
        <v>111</v>
      </c>
      <c r="AJ69" s="19" t="s">
        <v>1403</v>
      </c>
      <c r="AK69" s="19"/>
      <c r="AL69" s="19" t="s">
        <v>1404</v>
      </c>
      <c r="AM69" s="19" t="s">
        <v>1405</v>
      </c>
      <c r="AN69" s="19" t="s">
        <v>1406</v>
      </c>
      <c r="AO69" s="19" t="s">
        <v>1407</v>
      </c>
      <c r="AP69" s="19" t="s">
        <v>1408</v>
      </c>
      <c r="AQ69" s="19" t="s">
        <v>117</v>
      </c>
      <c r="AR69" s="19" t="s">
        <v>156</v>
      </c>
      <c r="AS69" s="19" t="s">
        <v>1409</v>
      </c>
      <c r="AT69" s="19" t="s">
        <v>1410</v>
      </c>
      <c r="AU69" s="19" t="s">
        <v>1411</v>
      </c>
      <c r="AV69" s="19" t="s">
        <v>219</v>
      </c>
      <c r="AW69" s="19" t="s">
        <v>1412</v>
      </c>
      <c r="AX69" s="19" t="s">
        <v>124</v>
      </c>
      <c r="AY69" s="19" t="s">
        <v>1413</v>
      </c>
      <c r="AZ69" s="19" t="s">
        <v>1414</v>
      </c>
      <c r="BA69" s="20">
        <v>40180</v>
      </c>
      <c r="BB69" s="19" t="s">
        <v>638</v>
      </c>
      <c r="BC69" s="19" t="s">
        <v>1415</v>
      </c>
      <c r="BD69" s="19" t="s">
        <v>514</v>
      </c>
      <c r="BE69" s="19" t="s">
        <v>130</v>
      </c>
      <c r="BF69" s="19" t="s">
        <v>1416</v>
      </c>
      <c r="BG69" s="19"/>
      <c r="BH69" s="19" t="s">
        <v>1417</v>
      </c>
      <c r="BI69" s="19" t="s">
        <v>1417</v>
      </c>
      <c r="BJ69" s="19" t="s">
        <v>166</v>
      </c>
      <c r="BK69" s="19" t="s">
        <v>907</v>
      </c>
      <c r="BL69" s="19" t="s">
        <v>122</v>
      </c>
      <c r="BM69" s="19" t="s">
        <v>592</v>
      </c>
      <c r="BN69" s="21">
        <v>5.968</v>
      </c>
      <c r="BO69" s="21">
        <v>206.91056</v>
      </c>
      <c r="BQ69" s="2"/>
      <c r="BR69" s="2"/>
      <c r="BS69" s="2"/>
      <c r="BT69" s="2"/>
      <c r="BU69" s="22"/>
      <c r="BV69" s="2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</row>
    <row r="70" spans="1:95" x14ac:dyDescent="0.25">
      <c r="A70" s="18">
        <v>67</v>
      </c>
      <c r="B70" s="19" t="s">
        <v>1418</v>
      </c>
      <c r="C70" s="19" t="s">
        <v>1419</v>
      </c>
      <c r="D70" s="20">
        <v>46003</v>
      </c>
      <c r="E70" s="20">
        <v>36362</v>
      </c>
      <c r="F70" s="19" t="s">
        <v>1420</v>
      </c>
      <c r="G70" s="19" t="s">
        <v>139</v>
      </c>
      <c r="H70" s="19" t="s">
        <v>94</v>
      </c>
      <c r="I70" s="19"/>
      <c r="J70" s="19"/>
      <c r="K70" s="19"/>
      <c r="L70" s="19" t="s">
        <v>244</v>
      </c>
      <c r="M70" s="19" t="s">
        <v>245</v>
      </c>
      <c r="N70" s="19" t="s">
        <v>1421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 t="s">
        <v>101</v>
      </c>
      <c r="Z70" s="19" t="s">
        <v>102</v>
      </c>
      <c r="AA70" s="19" t="s">
        <v>103</v>
      </c>
      <c r="AB70" s="19" t="s">
        <v>143</v>
      </c>
      <c r="AC70" s="19" t="s">
        <v>144</v>
      </c>
      <c r="AD70" s="19" t="s">
        <v>1422</v>
      </c>
      <c r="AE70" s="19" t="s">
        <v>1423</v>
      </c>
      <c r="AF70" s="19" t="s">
        <v>1424</v>
      </c>
      <c r="AG70" s="19" t="s">
        <v>1425</v>
      </c>
      <c r="AH70" s="19" t="s">
        <v>149</v>
      </c>
      <c r="AI70" s="19" t="s">
        <v>111</v>
      </c>
      <c r="AJ70" s="19" t="s">
        <v>1426</v>
      </c>
      <c r="AK70" s="19"/>
      <c r="AL70" s="19"/>
      <c r="AM70" s="19" t="s">
        <v>1427</v>
      </c>
      <c r="AN70" s="19" t="s">
        <v>1428</v>
      </c>
      <c r="AO70" s="19" t="s">
        <v>255</v>
      </c>
      <c r="AP70" s="19" t="s">
        <v>256</v>
      </c>
      <c r="AQ70" s="19" t="s">
        <v>117</v>
      </c>
      <c r="AR70" s="19" t="s">
        <v>257</v>
      </c>
      <c r="AS70" s="19" t="s">
        <v>258</v>
      </c>
      <c r="AT70" s="19" t="s">
        <v>259</v>
      </c>
      <c r="AU70" s="19" t="s">
        <v>260</v>
      </c>
      <c r="AV70" s="19" t="s">
        <v>260</v>
      </c>
      <c r="AW70" s="19" t="s">
        <v>261</v>
      </c>
      <c r="AX70" s="19" t="s">
        <v>262</v>
      </c>
      <c r="AY70" s="19" t="s">
        <v>263</v>
      </c>
      <c r="AZ70" s="19" t="s">
        <v>264</v>
      </c>
      <c r="BA70" s="20">
        <v>43627</v>
      </c>
      <c r="BB70" s="19" t="s">
        <v>331</v>
      </c>
      <c r="BC70" s="19" t="s">
        <v>1429</v>
      </c>
      <c r="BD70" s="19" t="s">
        <v>1430</v>
      </c>
      <c r="BE70" s="19" t="s">
        <v>130</v>
      </c>
      <c r="BF70" s="19" t="s">
        <v>1431</v>
      </c>
      <c r="BG70" s="19"/>
      <c r="BH70" s="19" t="s">
        <v>1432</v>
      </c>
      <c r="BI70" s="19" t="s">
        <v>1432</v>
      </c>
      <c r="BJ70" s="19" t="s">
        <v>166</v>
      </c>
      <c r="BK70" s="19" t="s">
        <v>167</v>
      </c>
      <c r="BL70" s="19" t="s">
        <v>168</v>
      </c>
      <c r="BM70" s="19" t="s">
        <v>169</v>
      </c>
      <c r="BN70" s="21">
        <v>13.477</v>
      </c>
      <c r="BO70" s="21">
        <v>513.33893</v>
      </c>
      <c r="BQ70" s="2"/>
      <c r="BR70" s="2"/>
      <c r="BS70" s="2"/>
      <c r="BT70" s="2"/>
      <c r="BU70" s="22"/>
      <c r="BV70" s="2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</row>
    <row r="71" spans="1:95" x14ac:dyDescent="0.25">
      <c r="A71" s="18">
        <v>68</v>
      </c>
      <c r="B71" s="19" t="s">
        <v>1433</v>
      </c>
      <c r="C71" s="19" t="s">
        <v>1434</v>
      </c>
      <c r="D71" s="20">
        <v>46003</v>
      </c>
      <c r="E71" s="20">
        <v>31413</v>
      </c>
      <c r="F71" s="19"/>
      <c r="G71" s="19"/>
      <c r="H71" s="19" t="s">
        <v>94</v>
      </c>
      <c r="I71" s="19"/>
      <c r="J71" s="19"/>
      <c r="K71" s="19"/>
      <c r="L71" s="19" t="s">
        <v>140</v>
      </c>
      <c r="M71" s="19" t="s">
        <v>141</v>
      </c>
      <c r="N71" s="19" t="s">
        <v>1435</v>
      </c>
      <c r="O71" s="19" t="s">
        <v>100</v>
      </c>
      <c r="P71" s="19"/>
      <c r="Q71" s="19"/>
      <c r="R71" s="19"/>
      <c r="S71" s="19"/>
      <c r="T71" s="19"/>
      <c r="U71" s="19"/>
      <c r="V71" s="19"/>
      <c r="W71" s="19"/>
      <c r="X71" s="19"/>
      <c r="Y71" s="19" t="s">
        <v>101</v>
      </c>
      <c r="Z71" s="19" t="s">
        <v>102</v>
      </c>
      <c r="AA71" s="19" t="s">
        <v>103</v>
      </c>
      <c r="AB71" s="19" t="s">
        <v>702</v>
      </c>
      <c r="AC71" s="19" t="s">
        <v>703</v>
      </c>
      <c r="AD71" s="19" t="s">
        <v>1436</v>
      </c>
      <c r="AE71" s="19" t="s">
        <v>1437</v>
      </c>
      <c r="AF71" s="19" t="s">
        <v>1438</v>
      </c>
      <c r="AG71" s="19" t="s">
        <v>1439</v>
      </c>
      <c r="AH71" s="19" t="s">
        <v>124</v>
      </c>
      <c r="AI71" s="19" t="s">
        <v>111</v>
      </c>
      <c r="AJ71" s="19" t="s">
        <v>1440</v>
      </c>
      <c r="AK71" s="19"/>
      <c r="AL71" s="19"/>
      <c r="AM71" s="19" t="s">
        <v>1441</v>
      </c>
      <c r="AN71" s="19" t="s">
        <v>1442</v>
      </c>
      <c r="AO71" s="19" t="s">
        <v>519</v>
      </c>
      <c r="AP71" s="19" t="s">
        <v>520</v>
      </c>
      <c r="AQ71" s="19" t="s">
        <v>117</v>
      </c>
      <c r="AR71" s="19" t="s">
        <v>521</v>
      </c>
      <c r="AS71" s="19" t="s">
        <v>522</v>
      </c>
      <c r="AT71" s="19" t="s">
        <v>523</v>
      </c>
      <c r="AU71" s="19" t="s">
        <v>524</v>
      </c>
      <c r="AV71" s="19" t="s">
        <v>260</v>
      </c>
      <c r="AW71" s="19" t="s">
        <v>525</v>
      </c>
      <c r="AX71" s="19"/>
      <c r="AY71" s="19" t="s">
        <v>526</v>
      </c>
      <c r="AZ71" s="19" t="s">
        <v>527</v>
      </c>
      <c r="BA71" s="20">
        <v>42669</v>
      </c>
      <c r="BB71" s="19" t="s">
        <v>331</v>
      </c>
      <c r="BC71" s="19" t="s">
        <v>1443</v>
      </c>
      <c r="BD71" s="19" t="s">
        <v>1444</v>
      </c>
      <c r="BE71" s="19" t="s">
        <v>130</v>
      </c>
      <c r="BF71" s="19" t="s">
        <v>1445</v>
      </c>
      <c r="BG71" s="19"/>
      <c r="BH71" s="19" t="s">
        <v>1446</v>
      </c>
      <c r="BI71" s="19" t="s">
        <v>1446</v>
      </c>
      <c r="BJ71" s="19" t="s">
        <v>194</v>
      </c>
      <c r="BK71" s="19" t="s">
        <v>195</v>
      </c>
      <c r="BL71" s="19" t="s">
        <v>122</v>
      </c>
      <c r="BM71" s="19" t="s">
        <v>196</v>
      </c>
      <c r="BN71" s="21">
        <v>8490.4140000000007</v>
      </c>
      <c r="BO71" s="21">
        <v>250969.8455088</v>
      </c>
      <c r="BQ71" s="2"/>
      <c r="BR71" s="2"/>
      <c r="BS71" s="2"/>
      <c r="BT71" s="2"/>
      <c r="BU71" s="22"/>
      <c r="BV71" s="2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</row>
    <row r="72" spans="1:95" x14ac:dyDescent="0.25">
      <c r="A72" s="18">
        <v>69</v>
      </c>
      <c r="B72" s="19" t="s">
        <v>1447</v>
      </c>
      <c r="C72" s="19" t="s">
        <v>1448</v>
      </c>
      <c r="D72" s="20">
        <v>46007</v>
      </c>
      <c r="E72" s="20">
        <v>34433</v>
      </c>
      <c r="F72" s="19"/>
      <c r="G72" s="19"/>
      <c r="H72" s="19" t="s">
        <v>94</v>
      </c>
      <c r="I72" s="19"/>
      <c r="J72" s="19"/>
      <c r="K72" s="19"/>
      <c r="L72" s="19" t="s">
        <v>244</v>
      </c>
      <c r="M72" s="19" t="s">
        <v>245</v>
      </c>
      <c r="N72" s="19" t="s">
        <v>1449</v>
      </c>
      <c r="O72" s="19" t="s">
        <v>100</v>
      </c>
      <c r="P72" s="19"/>
      <c r="Q72" s="19"/>
      <c r="R72" s="19"/>
      <c r="S72" s="19"/>
      <c r="T72" s="19"/>
      <c r="U72" s="19"/>
      <c r="V72" s="19"/>
      <c r="W72" s="19"/>
      <c r="X72" s="19"/>
      <c r="Y72" s="19" t="s">
        <v>101</v>
      </c>
      <c r="Z72" s="19" t="s">
        <v>102</v>
      </c>
      <c r="AA72" s="19" t="s">
        <v>103</v>
      </c>
      <c r="AB72" s="19" t="s">
        <v>1450</v>
      </c>
      <c r="AC72" s="19" t="s">
        <v>1451</v>
      </c>
      <c r="AD72" s="19" t="s">
        <v>1452</v>
      </c>
      <c r="AE72" s="19" t="s">
        <v>1453</v>
      </c>
      <c r="AF72" s="19" t="s">
        <v>1454</v>
      </c>
      <c r="AG72" s="19" t="s">
        <v>1455</v>
      </c>
      <c r="AH72" s="19" t="s">
        <v>124</v>
      </c>
      <c r="AI72" s="19" t="s">
        <v>111</v>
      </c>
      <c r="AJ72" s="19" t="s">
        <v>1456</v>
      </c>
      <c r="AK72" s="19"/>
      <c r="AL72" s="19"/>
      <c r="AM72" s="19" t="s">
        <v>1457</v>
      </c>
      <c r="AN72" s="19" t="s">
        <v>1458</v>
      </c>
      <c r="AO72" s="19" t="s">
        <v>255</v>
      </c>
      <c r="AP72" s="19" t="s">
        <v>256</v>
      </c>
      <c r="AQ72" s="19" t="s">
        <v>117</v>
      </c>
      <c r="AR72" s="19" t="s">
        <v>257</v>
      </c>
      <c r="AS72" s="19" t="s">
        <v>258</v>
      </c>
      <c r="AT72" s="19" t="s">
        <v>259</v>
      </c>
      <c r="AU72" s="19" t="s">
        <v>260</v>
      </c>
      <c r="AV72" s="19" t="s">
        <v>260</v>
      </c>
      <c r="AW72" s="19" t="s">
        <v>261</v>
      </c>
      <c r="AX72" s="19" t="s">
        <v>262</v>
      </c>
      <c r="AY72" s="19" t="s">
        <v>263</v>
      </c>
      <c r="AZ72" s="19" t="s">
        <v>264</v>
      </c>
      <c r="BA72" s="20">
        <v>43627</v>
      </c>
      <c r="BB72" s="19" t="s">
        <v>479</v>
      </c>
      <c r="BC72" s="19" t="s">
        <v>1459</v>
      </c>
      <c r="BD72" s="19" t="s">
        <v>1460</v>
      </c>
      <c r="BE72" s="19" t="s">
        <v>130</v>
      </c>
      <c r="BF72" s="19" t="s">
        <v>1461</v>
      </c>
      <c r="BG72" s="19"/>
      <c r="BH72" s="19" t="s">
        <v>1462</v>
      </c>
      <c r="BI72" s="19" t="s">
        <v>1462</v>
      </c>
      <c r="BJ72" s="19" t="s">
        <v>194</v>
      </c>
      <c r="BK72" s="19" t="s">
        <v>195</v>
      </c>
      <c r="BL72" s="19" t="s">
        <v>122</v>
      </c>
      <c r="BM72" s="19" t="s">
        <v>196</v>
      </c>
      <c r="BN72" s="21">
        <v>3.32</v>
      </c>
      <c r="BO72" s="21">
        <v>2016.5347999999999</v>
      </c>
      <c r="BQ72" s="2"/>
      <c r="BR72" s="2"/>
      <c r="BS72" s="2"/>
      <c r="BT72" s="2"/>
      <c r="BU72" s="22"/>
      <c r="BV72" s="2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</row>
    <row r="73" spans="1:95" x14ac:dyDescent="0.25">
      <c r="A73" s="18">
        <v>70</v>
      </c>
      <c r="B73" s="19" t="s">
        <v>1463</v>
      </c>
      <c r="C73" s="19" t="s">
        <v>1464</v>
      </c>
      <c r="D73" s="20">
        <v>46007</v>
      </c>
      <c r="E73" s="20">
        <v>26802</v>
      </c>
      <c r="F73" s="19" t="s">
        <v>1465</v>
      </c>
      <c r="G73" s="19" t="s">
        <v>139</v>
      </c>
      <c r="H73" s="19" t="s">
        <v>94</v>
      </c>
      <c r="I73" s="19"/>
      <c r="J73" s="19"/>
      <c r="K73" s="19"/>
      <c r="L73" s="19" t="s">
        <v>467</v>
      </c>
      <c r="M73" s="19" t="s">
        <v>468</v>
      </c>
      <c r="N73" s="19" t="s">
        <v>1466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 t="s">
        <v>101</v>
      </c>
      <c r="Z73" s="19" t="s">
        <v>102</v>
      </c>
      <c r="AA73" s="19" t="s">
        <v>103</v>
      </c>
      <c r="AB73" s="19" t="s">
        <v>387</v>
      </c>
      <c r="AC73" s="19" t="s">
        <v>388</v>
      </c>
      <c r="AD73" s="19" t="s">
        <v>1467</v>
      </c>
      <c r="AE73" s="19" t="s">
        <v>1468</v>
      </c>
      <c r="AF73" s="19" t="s">
        <v>1469</v>
      </c>
      <c r="AG73" s="19" t="s">
        <v>1470</v>
      </c>
      <c r="AH73" s="19" t="s">
        <v>188</v>
      </c>
      <c r="AI73" s="19" t="s">
        <v>111</v>
      </c>
      <c r="AJ73" s="19" t="s">
        <v>1471</v>
      </c>
      <c r="AK73" s="19"/>
      <c r="AL73" s="19"/>
      <c r="AM73" s="19" t="s">
        <v>1472</v>
      </c>
      <c r="AN73" s="19" t="s">
        <v>1473</v>
      </c>
      <c r="AO73" s="19" t="s">
        <v>1474</v>
      </c>
      <c r="AP73" s="19" t="s">
        <v>1475</v>
      </c>
      <c r="AQ73" s="19" t="s">
        <v>117</v>
      </c>
      <c r="AR73" s="19"/>
      <c r="AS73" s="19"/>
      <c r="AT73" s="19"/>
      <c r="AU73" s="19"/>
      <c r="AV73" s="19"/>
      <c r="AW73" s="19"/>
      <c r="AX73" s="19"/>
      <c r="AY73" s="19"/>
      <c r="AZ73" s="19" t="s">
        <v>1476</v>
      </c>
      <c r="BA73" s="20"/>
      <c r="BB73" s="19" t="s">
        <v>479</v>
      </c>
      <c r="BC73" s="19" t="s">
        <v>1477</v>
      </c>
      <c r="BD73" s="19" t="s">
        <v>365</v>
      </c>
      <c r="BE73" s="19" t="s">
        <v>130</v>
      </c>
      <c r="BF73" s="19" t="s">
        <v>1478</v>
      </c>
      <c r="BG73" s="19"/>
      <c r="BH73" s="19" t="s">
        <v>1479</v>
      </c>
      <c r="BI73" s="19" t="s">
        <v>1479</v>
      </c>
      <c r="BJ73" s="19" t="s">
        <v>166</v>
      </c>
      <c r="BK73" s="19" t="s">
        <v>195</v>
      </c>
      <c r="BL73" s="19" t="s">
        <v>122</v>
      </c>
      <c r="BM73" s="19" t="s">
        <v>196</v>
      </c>
      <c r="BN73" s="21">
        <v>95.427999999999997</v>
      </c>
      <c r="BO73" s="21">
        <v>202646.12940000001</v>
      </c>
      <c r="BQ73" s="2"/>
      <c r="BR73" s="2"/>
      <c r="BS73" s="2"/>
      <c r="BT73" s="2"/>
      <c r="BU73" s="22"/>
      <c r="BV73" s="2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</row>
    <row r="74" spans="1:95" x14ac:dyDescent="0.25">
      <c r="A74" s="18">
        <v>71</v>
      </c>
      <c r="B74" s="19" t="s">
        <v>1480</v>
      </c>
      <c r="C74" s="19" t="s">
        <v>1481</v>
      </c>
      <c r="D74" s="20">
        <v>46007</v>
      </c>
      <c r="E74" s="20">
        <v>33970</v>
      </c>
      <c r="F74" s="19"/>
      <c r="G74" s="19"/>
      <c r="H74" s="19" t="s">
        <v>94</v>
      </c>
      <c r="I74" s="19"/>
      <c r="J74" s="19"/>
      <c r="K74" s="19"/>
      <c r="L74" s="19" t="s">
        <v>244</v>
      </c>
      <c r="M74" s="19" t="s">
        <v>245</v>
      </c>
      <c r="N74" s="19" t="s">
        <v>1482</v>
      </c>
      <c r="O74" s="19" t="s">
        <v>100</v>
      </c>
      <c r="P74" s="19"/>
      <c r="Q74" s="19"/>
      <c r="R74" s="19"/>
      <c r="S74" s="19"/>
      <c r="T74" s="19"/>
      <c r="U74" s="19"/>
      <c r="V74" s="19"/>
      <c r="W74" s="19"/>
      <c r="X74" s="19"/>
      <c r="Y74" s="19" t="s">
        <v>101</v>
      </c>
      <c r="Z74" s="19" t="s">
        <v>102</v>
      </c>
      <c r="AA74" s="19" t="s">
        <v>103</v>
      </c>
      <c r="AB74" s="19" t="s">
        <v>292</v>
      </c>
      <c r="AC74" s="19" t="s">
        <v>293</v>
      </c>
      <c r="AD74" s="19" t="s">
        <v>1483</v>
      </c>
      <c r="AE74" s="19"/>
      <c r="AF74" s="19"/>
      <c r="AG74" s="19" t="s">
        <v>1310</v>
      </c>
      <c r="AH74" s="19" t="s">
        <v>110</v>
      </c>
      <c r="AI74" s="19" t="s">
        <v>111</v>
      </c>
      <c r="AJ74" s="19" t="s">
        <v>1484</v>
      </c>
      <c r="AK74" s="19"/>
      <c r="AL74" s="19"/>
      <c r="AM74" s="19" t="s">
        <v>1485</v>
      </c>
      <c r="AN74" s="19" t="s">
        <v>1486</v>
      </c>
      <c r="AO74" s="19" t="s">
        <v>208</v>
      </c>
      <c r="AP74" s="19" t="s">
        <v>209</v>
      </c>
      <c r="AQ74" s="19" t="s">
        <v>117</v>
      </c>
      <c r="AR74" s="19" t="s">
        <v>210</v>
      </c>
      <c r="AS74" s="19" t="s">
        <v>211</v>
      </c>
      <c r="AT74" s="19" t="s">
        <v>212</v>
      </c>
      <c r="AU74" s="19" t="s">
        <v>213</v>
      </c>
      <c r="AV74" s="19" t="s">
        <v>214</v>
      </c>
      <c r="AW74" s="19" t="s">
        <v>215</v>
      </c>
      <c r="AX74" s="19" t="s">
        <v>149</v>
      </c>
      <c r="AY74" s="19" t="s">
        <v>216</v>
      </c>
      <c r="AZ74" s="19" t="s">
        <v>217</v>
      </c>
      <c r="BA74" s="20">
        <v>35521</v>
      </c>
      <c r="BB74" s="19" t="s">
        <v>1487</v>
      </c>
      <c r="BC74" s="19" t="s">
        <v>1488</v>
      </c>
      <c r="BD74" s="19" t="s">
        <v>129</v>
      </c>
      <c r="BE74" s="19" t="s">
        <v>130</v>
      </c>
      <c r="BF74" s="19" t="s">
        <v>1489</v>
      </c>
      <c r="BG74" s="19"/>
      <c r="BH74" s="19" t="s">
        <v>1490</v>
      </c>
      <c r="BI74" s="19" t="s">
        <v>1490</v>
      </c>
      <c r="BJ74" s="19" t="s">
        <v>1259</v>
      </c>
      <c r="BK74" s="19" t="s">
        <v>1491</v>
      </c>
      <c r="BL74" s="19" t="s">
        <v>122</v>
      </c>
      <c r="BM74" s="19" t="s">
        <v>196</v>
      </c>
      <c r="BN74" s="21">
        <v>43.402999999999999</v>
      </c>
      <c r="BO74" s="21">
        <v>714.56529049999995</v>
      </c>
      <c r="BQ74" s="2"/>
      <c r="BR74" s="2"/>
      <c r="BS74" s="2"/>
      <c r="BT74" s="2"/>
      <c r="BU74" s="22"/>
      <c r="BV74" s="2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</row>
    <row r="75" spans="1:95" x14ac:dyDescent="0.25">
      <c r="A75" s="18">
        <v>72</v>
      </c>
      <c r="B75" s="19" t="s">
        <v>1492</v>
      </c>
      <c r="C75" s="19" t="s">
        <v>1493</v>
      </c>
      <c r="D75" s="20">
        <v>46007</v>
      </c>
      <c r="E75" s="20">
        <v>35849</v>
      </c>
      <c r="F75" s="19" t="s">
        <v>1494</v>
      </c>
      <c r="G75" s="19" t="s">
        <v>139</v>
      </c>
      <c r="H75" s="19" t="s">
        <v>94</v>
      </c>
      <c r="I75" s="19"/>
      <c r="J75" s="19"/>
      <c r="K75" s="19"/>
      <c r="L75" s="19" t="s">
        <v>244</v>
      </c>
      <c r="M75" s="19" t="s">
        <v>245</v>
      </c>
      <c r="N75" s="19" t="s">
        <v>1495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 t="s">
        <v>101</v>
      </c>
      <c r="Z75" s="19" t="s">
        <v>102</v>
      </c>
      <c r="AA75" s="19" t="s">
        <v>103</v>
      </c>
      <c r="AB75" s="19" t="s">
        <v>1496</v>
      </c>
      <c r="AC75" s="19" t="s">
        <v>1497</v>
      </c>
      <c r="AD75" s="19" t="s">
        <v>1498</v>
      </c>
      <c r="AE75" s="19" t="s">
        <v>1499</v>
      </c>
      <c r="AF75" s="19" t="s">
        <v>1500</v>
      </c>
      <c r="AG75" s="19" t="s">
        <v>1501</v>
      </c>
      <c r="AH75" s="19" t="s">
        <v>231</v>
      </c>
      <c r="AI75" s="19"/>
      <c r="AJ75" s="19" t="s">
        <v>1502</v>
      </c>
      <c r="AK75" s="19"/>
      <c r="AL75" s="19"/>
      <c r="AM75" s="19" t="s">
        <v>1503</v>
      </c>
      <c r="AN75" s="19" t="s">
        <v>1504</v>
      </c>
      <c r="AO75" s="19" t="s">
        <v>255</v>
      </c>
      <c r="AP75" s="19" t="s">
        <v>256</v>
      </c>
      <c r="AQ75" s="19" t="s">
        <v>117</v>
      </c>
      <c r="AR75" s="19" t="s">
        <v>257</v>
      </c>
      <c r="AS75" s="19" t="s">
        <v>258</v>
      </c>
      <c r="AT75" s="19" t="s">
        <v>259</v>
      </c>
      <c r="AU75" s="19" t="s">
        <v>260</v>
      </c>
      <c r="AV75" s="19" t="s">
        <v>260</v>
      </c>
      <c r="AW75" s="19" t="s">
        <v>261</v>
      </c>
      <c r="AX75" s="19" t="s">
        <v>262</v>
      </c>
      <c r="AY75" s="19" t="s">
        <v>263</v>
      </c>
      <c r="AZ75" s="19" t="s">
        <v>264</v>
      </c>
      <c r="BA75" s="20">
        <v>43627</v>
      </c>
      <c r="BB75" s="19" t="s">
        <v>444</v>
      </c>
      <c r="BC75" s="19" t="s">
        <v>1505</v>
      </c>
      <c r="BD75" s="19" t="s">
        <v>148</v>
      </c>
      <c r="BE75" s="19" t="s">
        <v>130</v>
      </c>
      <c r="BF75" s="19" t="s">
        <v>1506</v>
      </c>
      <c r="BG75" s="19"/>
      <c r="BH75" s="19" t="s">
        <v>1507</v>
      </c>
      <c r="BI75" s="19" t="s">
        <v>1507</v>
      </c>
      <c r="BJ75" s="19" t="s">
        <v>166</v>
      </c>
      <c r="BK75" s="19" t="s">
        <v>167</v>
      </c>
      <c r="BL75" s="19" t="s">
        <v>168</v>
      </c>
      <c r="BM75" s="19" t="s">
        <v>169</v>
      </c>
      <c r="BN75" s="21">
        <v>0.498</v>
      </c>
      <c r="BO75" s="21">
        <v>99.425700000000006</v>
      </c>
      <c r="BQ75" s="2"/>
      <c r="BR75" s="2"/>
      <c r="BS75" s="2"/>
      <c r="BT75" s="2"/>
      <c r="BU75" s="22"/>
      <c r="BV75" s="2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</row>
    <row r="76" spans="1:95" x14ac:dyDescent="0.25">
      <c r="A76" s="18">
        <v>73</v>
      </c>
      <c r="B76" s="19" t="s">
        <v>1508</v>
      </c>
      <c r="C76" s="19" t="s">
        <v>1509</v>
      </c>
      <c r="D76" s="20">
        <v>46010</v>
      </c>
      <c r="E76" s="20">
        <v>34887</v>
      </c>
      <c r="F76" s="19" t="s">
        <v>1510</v>
      </c>
      <c r="G76" s="19" t="s">
        <v>139</v>
      </c>
      <c r="H76" s="19" t="s">
        <v>94</v>
      </c>
      <c r="I76" s="19"/>
      <c r="J76" s="19"/>
      <c r="K76" s="19"/>
      <c r="L76" s="19" t="s">
        <v>244</v>
      </c>
      <c r="M76" s="19" t="s">
        <v>245</v>
      </c>
      <c r="N76" s="19" t="s">
        <v>1511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 t="s">
        <v>101</v>
      </c>
      <c r="Z76" s="19" t="s">
        <v>102</v>
      </c>
      <c r="AA76" s="19" t="s">
        <v>103</v>
      </c>
      <c r="AB76" s="19" t="s">
        <v>173</v>
      </c>
      <c r="AC76" s="19" t="s">
        <v>174</v>
      </c>
      <c r="AD76" s="19" t="s">
        <v>1512</v>
      </c>
      <c r="AE76" s="19"/>
      <c r="AF76" s="19"/>
      <c r="AG76" s="19" t="s">
        <v>326</v>
      </c>
      <c r="AH76" s="19" t="s">
        <v>327</v>
      </c>
      <c r="AI76" s="19" t="s">
        <v>111</v>
      </c>
      <c r="AJ76" s="19" t="s">
        <v>1513</v>
      </c>
      <c r="AK76" s="19"/>
      <c r="AL76" s="19" t="s">
        <v>1514</v>
      </c>
      <c r="AM76" s="19" t="s">
        <v>1515</v>
      </c>
      <c r="AN76" s="19" t="s">
        <v>1516</v>
      </c>
      <c r="AO76" s="19" t="s">
        <v>154</v>
      </c>
      <c r="AP76" s="19" t="s">
        <v>155</v>
      </c>
      <c r="AQ76" s="19" t="s">
        <v>117</v>
      </c>
      <c r="AR76" s="19" t="s">
        <v>156</v>
      </c>
      <c r="AS76" s="19" t="s">
        <v>157</v>
      </c>
      <c r="AT76" s="19" t="s">
        <v>158</v>
      </c>
      <c r="AU76" s="19"/>
      <c r="AV76" s="19" t="s">
        <v>122</v>
      </c>
      <c r="AW76" s="19"/>
      <c r="AX76" s="19" t="s">
        <v>124</v>
      </c>
      <c r="AY76" s="19" t="s">
        <v>159</v>
      </c>
      <c r="AZ76" s="19" t="s">
        <v>160</v>
      </c>
      <c r="BA76" s="20">
        <v>44676</v>
      </c>
      <c r="BB76" s="19" t="s">
        <v>236</v>
      </c>
      <c r="BC76" s="19" t="s">
        <v>1517</v>
      </c>
      <c r="BD76" s="19" t="s">
        <v>1517</v>
      </c>
      <c r="BE76" s="19" t="s">
        <v>130</v>
      </c>
      <c r="BF76" s="19" t="s">
        <v>1518</v>
      </c>
      <c r="BG76" s="19"/>
      <c r="BH76" s="19" t="s">
        <v>1519</v>
      </c>
      <c r="BI76" s="19" t="s">
        <v>1519</v>
      </c>
      <c r="BJ76" s="19" t="s">
        <v>166</v>
      </c>
      <c r="BK76" s="19" t="s">
        <v>167</v>
      </c>
      <c r="BL76" s="19" t="s">
        <v>168</v>
      </c>
      <c r="BM76" s="19" t="s">
        <v>169</v>
      </c>
      <c r="BN76" s="21">
        <v>3.177</v>
      </c>
      <c r="BO76" s="21">
        <v>112.5426834</v>
      </c>
      <c r="BQ76" s="2"/>
      <c r="BR76" s="2"/>
      <c r="BS76" s="2"/>
      <c r="BT76" s="2"/>
      <c r="BU76" s="22"/>
      <c r="BV76" s="2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</row>
    <row r="77" spans="1:95" x14ac:dyDescent="0.25">
      <c r="A77" s="18">
        <v>74</v>
      </c>
      <c r="B77" s="19" t="s">
        <v>1520</v>
      </c>
      <c r="C77" s="19" t="s">
        <v>1521</v>
      </c>
      <c r="D77" s="20">
        <v>46013</v>
      </c>
      <c r="E77" s="20">
        <v>31810</v>
      </c>
      <c r="F77" s="19"/>
      <c r="G77" s="19"/>
      <c r="H77" s="19" t="s">
        <v>94</v>
      </c>
      <c r="I77" s="19"/>
      <c r="J77" s="19"/>
      <c r="K77" s="19"/>
      <c r="L77" s="19" t="s">
        <v>467</v>
      </c>
      <c r="M77" s="19" t="s">
        <v>468</v>
      </c>
      <c r="N77" s="19" t="s">
        <v>1522</v>
      </c>
      <c r="O77" s="19" t="s">
        <v>100</v>
      </c>
      <c r="P77" s="19"/>
      <c r="Q77" s="19"/>
      <c r="R77" s="19"/>
      <c r="S77" s="19"/>
      <c r="T77" s="19"/>
      <c r="U77" s="19"/>
      <c r="V77" s="19"/>
      <c r="W77" s="19"/>
      <c r="X77" s="19"/>
      <c r="Y77" s="19" t="s">
        <v>101</v>
      </c>
      <c r="Z77" s="19" t="s">
        <v>102</v>
      </c>
      <c r="AA77" s="19" t="s">
        <v>103</v>
      </c>
      <c r="AB77" s="19" t="s">
        <v>173</v>
      </c>
      <c r="AC77" s="19" t="s">
        <v>174</v>
      </c>
      <c r="AD77" s="19" t="s">
        <v>1523</v>
      </c>
      <c r="AE77" s="19" t="s">
        <v>1524</v>
      </c>
      <c r="AF77" s="19" t="s">
        <v>1525</v>
      </c>
      <c r="AG77" s="19" t="s">
        <v>1526</v>
      </c>
      <c r="AH77" s="19" t="s">
        <v>942</v>
      </c>
      <c r="AI77" s="19" t="s">
        <v>111</v>
      </c>
      <c r="AJ77" s="19" t="s">
        <v>1527</v>
      </c>
      <c r="AK77" s="19"/>
      <c r="AL77" s="19"/>
      <c r="AM77" s="19" t="s">
        <v>1528</v>
      </c>
      <c r="AN77" s="19" t="s">
        <v>1529</v>
      </c>
      <c r="AO77" s="19" t="s">
        <v>181</v>
      </c>
      <c r="AP77" s="19" t="s">
        <v>182</v>
      </c>
      <c r="AQ77" s="19" t="s">
        <v>117</v>
      </c>
      <c r="AR77" s="19" t="s">
        <v>183</v>
      </c>
      <c r="AS77" s="19" t="s">
        <v>184</v>
      </c>
      <c r="AT77" s="19" t="s">
        <v>185</v>
      </c>
      <c r="AU77" s="19"/>
      <c r="AV77" s="19" t="s">
        <v>186</v>
      </c>
      <c r="AW77" s="19" t="s">
        <v>187</v>
      </c>
      <c r="AX77" s="19" t="s">
        <v>188</v>
      </c>
      <c r="AY77" s="19"/>
      <c r="AZ77" s="19" t="s">
        <v>189</v>
      </c>
      <c r="BA77" s="20">
        <v>44673</v>
      </c>
      <c r="BB77" s="19" t="s">
        <v>1388</v>
      </c>
      <c r="BC77" s="19" t="s">
        <v>1530</v>
      </c>
      <c r="BD77" s="19" t="s">
        <v>1526</v>
      </c>
      <c r="BE77" s="19" t="s">
        <v>130</v>
      </c>
      <c r="BF77" s="19" t="s">
        <v>1531</v>
      </c>
      <c r="BG77" s="19"/>
      <c r="BH77" s="19" t="s">
        <v>1532</v>
      </c>
      <c r="BI77" s="19" t="s">
        <v>1532</v>
      </c>
      <c r="BJ77" s="19" t="s">
        <v>194</v>
      </c>
      <c r="BK77" s="19" t="s">
        <v>195</v>
      </c>
      <c r="BL77" s="19" t="s">
        <v>122</v>
      </c>
      <c r="BM77" s="19" t="s">
        <v>196</v>
      </c>
      <c r="BN77" s="21">
        <v>3.0529999999999999</v>
      </c>
      <c r="BO77" s="21">
        <v>108.1500826</v>
      </c>
      <c r="BQ77" s="2"/>
      <c r="BR77" s="2"/>
      <c r="BS77" s="2"/>
      <c r="BT77" s="2"/>
      <c r="BU77" s="22"/>
      <c r="BV77" s="2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</row>
    <row r="78" spans="1:95" x14ac:dyDescent="0.25">
      <c r="A78" s="18">
        <v>75</v>
      </c>
      <c r="B78" s="19" t="s">
        <v>1533</v>
      </c>
      <c r="C78" s="19" t="s">
        <v>1534</v>
      </c>
      <c r="D78" s="20">
        <v>46013</v>
      </c>
      <c r="E78" s="20">
        <v>33806</v>
      </c>
      <c r="F78" s="19"/>
      <c r="G78" s="19"/>
      <c r="H78" s="19" t="s">
        <v>94</v>
      </c>
      <c r="I78" s="19"/>
      <c r="J78" s="19"/>
      <c r="K78" s="19"/>
      <c r="L78" s="19" t="s">
        <v>244</v>
      </c>
      <c r="M78" s="19" t="s">
        <v>245</v>
      </c>
      <c r="N78" s="19" t="s">
        <v>1535</v>
      </c>
      <c r="O78" s="19" t="s">
        <v>100</v>
      </c>
      <c r="P78" s="19"/>
      <c r="Q78" s="19"/>
      <c r="R78" s="19"/>
      <c r="S78" s="19"/>
      <c r="T78" s="19"/>
      <c r="U78" s="19"/>
      <c r="V78" s="19"/>
      <c r="W78" s="19"/>
      <c r="X78" s="19"/>
      <c r="Y78" s="19" t="s">
        <v>101</v>
      </c>
      <c r="Z78" s="19" t="s">
        <v>102</v>
      </c>
      <c r="AA78" s="19" t="s">
        <v>103</v>
      </c>
      <c r="AB78" s="19" t="s">
        <v>1536</v>
      </c>
      <c r="AC78" s="19" t="s">
        <v>1537</v>
      </c>
      <c r="AD78" s="19" t="s">
        <v>1538</v>
      </c>
      <c r="AE78" s="19" t="s">
        <v>1539</v>
      </c>
      <c r="AF78" s="19" t="s">
        <v>1540</v>
      </c>
      <c r="AG78" s="19" t="s">
        <v>1541</v>
      </c>
      <c r="AH78" s="19" t="s">
        <v>188</v>
      </c>
      <c r="AI78" s="19" t="s">
        <v>111</v>
      </c>
      <c r="AJ78" s="19" t="s">
        <v>1542</v>
      </c>
      <c r="AK78" s="19"/>
      <c r="AL78" s="19"/>
      <c r="AM78" s="19" t="s">
        <v>1543</v>
      </c>
      <c r="AN78" s="19" t="s">
        <v>1544</v>
      </c>
      <c r="AO78" s="19" t="s">
        <v>1545</v>
      </c>
      <c r="AP78" s="19" t="s">
        <v>116</v>
      </c>
      <c r="AQ78" s="19" t="s">
        <v>94</v>
      </c>
      <c r="AR78" s="19" t="s">
        <v>118</v>
      </c>
      <c r="AS78" s="19" t="s">
        <v>119</v>
      </c>
      <c r="AT78" s="19" t="s">
        <v>120</v>
      </c>
      <c r="AU78" s="19" t="s">
        <v>121</v>
      </c>
      <c r="AV78" s="19" t="s">
        <v>122</v>
      </c>
      <c r="AW78" s="19" t="s">
        <v>123</v>
      </c>
      <c r="AX78" s="19" t="s">
        <v>124</v>
      </c>
      <c r="AY78" s="19" t="s">
        <v>125</v>
      </c>
      <c r="AZ78" s="19" t="s">
        <v>1546</v>
      </c>
      <c r="BA78" s="20">
        <v>45181</v>
      </c>
      <c r="BB78" s="19" t="s">
        <v>1547</v>
      </c>
      <c r="BC78" s="19" t="s">
        <v>1548</v>
      </c>
      <c r="BD78" s="19" t="s">
        <v>1549</v>
      </c>
      <c r="BE78" s="19" t="s">
        <v>130</v>
      </c>
      <c r="BF78" s="19" t="s">
        <v>1550</v>
      </c>
      <c r="BG78" s="19"/>
      <c r="BH78" s="19" t="s">
        <v>1551</v>
      </c>
      <c r="BI78" s="19" t="s">
        <v>1551</v>
      </c>
      <c r="BJ78" s="19" t="s">
        <v>133</v>
      </c>
      <c r="BK78" s="19" t="s">
        <v>195</v>
      </c>
      <c r="BL78" s="19" t="s">
        <v>122</v>
      </c>
      <c r="BM78" s="19" t="s">
        <v>196</v>
      </c>
      <c r="BN78" s="21">
        <v>0</v>
      </c>
      <c r="BO78" s="21">
        <v>0</v>
      </c>
      <c r="BQ78" s="2"/>
      <c r="BR78" s="2"/>
      <c r="BS78" s="2"/>
      <c r="BT78" s="2"/>
      <c r="BU78" s="22"/>
      <c r="BV78" s="2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</row>
    <row r="79" spans="1:95" x14ac:dyDescent="0.25">
      <c r="A79" s="18">
        <v>76</v>
      </c>
      <c r="B79" s="19" t="s">
        <v>1552</v>
      </c>
      <c r="C79" s="19" t="s">
        <v>1553</v>
      </c>
      <c r="D79" s="20">
        <v>46015</v>
      </c>
      <c r="E79" s="20">
        <v>33931</v>
      </c>
      <c r="F79" s="19"/>
      <c r="G79" s="19"/>
      <c r="H79" s="19" t="s">
        <v>94</v>
      </c>
      <c r="I79" s="19"/>
      <c r="J79" s="19" t="s">
        <v>287</v>
      </c>
      <c r="K79" s="19" t="s">
        <v>288</v>
      </c>
      <c r="L79" s="19" t="s">
        <v>97</v>
      </c>
      <c r="M79" s="19" t="s">
        <v>98</v>
      </c>
      <c r="N79" s="19" t="s">
        <v>1554</v>
      </c>
      <c r="O79" s="19" t="s">
        <v>100</v>
      </c>
      <c r="P79" s="19"/>
      <c r="Q79" s="19"/>
      <c r="R79" s="19"/>
      <c r="S79" s="19"/>
      <c r="T79" s="19"/>
      <c r="U79" s="19"/>
      <c r="V79" s="19"/>
      <c r="W79" s="19"/>
      <c r="X79" s="19"/>
      <c r="Y79" s="19" t="s">
        <v>101</v>
      </c>
      <c r="Z79" s="19" t="s">
        <v>102</v>
      </c>
      <c r="AA79" s="19" t="s">
        <v>103</v>
      </c>
      <c r="AB79" s="19" t="s">
        <v>1555</v>
      </c>
      <c r="AC79" s="19" t="s">
        <v>1556</v>
      </c>
      <c r="AD79" s="19" t="s">
        <v>1557</v>
      </c>
      <c r="AE79" s="19" t="s">
        <v>1558</v>
      </c>
      <c r="AF79" s="19"/>
      <c r="AG79" s="19" t="s">
        <v>1559</v>
      </c>
      <c r="AH79" s="19" t="s">
        <v>1560</v>
      </c>
      <c r="AI79" s="19" t="s">
        <v>111</v>
      </c>
      <c r="AJ79" s="19" t="s">
        <v>1561</v>
      </c>
      <c r="AK79" s="19"/>
      <c r="AL79" s="19"/>
      <c r="AM79" s="19" t="s">
        <v>1562</v>
      </c>
      <c r="AN79" s="19" t="s">
        <v>1563</v>
      </c>
      <c r="AO79" s="19" t="s">
        <v>1564</v>
      </c>
      <c r="AP79" s="19" t="s">
        <v>1565</v>
      </c>
      <c r="AQ79" s="19" t="s">
        <v>117</v>
      </c>
      <c r="AR79" s="19" t="s">
        <v>1566</v>
      </c>
      <c r="AS79" s="19" t="s">
        <v>1567</v>
      </c>
      <c r="AT79" s="19" t="s">
        <v>1568</v>
      </c>
      <c r="AU79" s="19"/>
      <c r="AV79" s="19" t="s">
        <v>1569</v>
      </c>
      <c r="AW79" s="19" t="s">
        <v>1570</v>
      </c>
      <c r="AX79" s="19" t="s">
        <v>1560</v>
      </c>
      <c r="AY79" s="19" t="s">
        <v>1571</v>
      </c>
      <c r="AZ79" s="19" t="s">
        <v>1572</v>
      </c>
      <c r="BA79" s="20">
        <v>40409</v>
      </c>
      <c r="BB79" s="19" t="s">
        <v>1388</v>
      </c>
      <c r="BC79" s="19" t="s">
        <v>1573</v>
      </c>
      <c r="BD79" s="19" t="s">
        <v>1574</v>
      </c>
      <c r="BE79" s="19" t="s">
        <v>130</v>
      </c>
      <c r="BF79" s="19" t="s">
        <v>1575</v>
      </c>
      <c r="BG79" s="19" t="s">
        <v>1576</v>
      </c>
      <c r="BH79" s="19" t="s">
        <v>1577</v>
      </c>
      <c r="BI79" s="19" t="s">
        <v>1577</v>
      </c>
      <c r="BJ79" s="19" t="s">
        <v>166</v>
      </c>
      <c r="BK79" s="19" t="s">
        <v>1578</v>
      </c>
      <c r="BL79" s="19" t="s">
        <v>1569</v>
      </c>
      <c r="BM79" s="19" t="s">
        <v>1045</v>
      </c>
      <c r="BN79" s="21">
        <v>1.871</v>
      </c>
      <c r="BO79" s="21">
        <v>1504.6020699999999</v>
      </c>
      <c r="BQ79" s="2"/>
      <c r="BR79" s="2"/>
      <c r="BS79" s="2"/>
      <c r="BT79" s="2"/>
      <c r="BU79" s="22"/>
      <c r="BV79" s="2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</row>
    <row r="80" spans="1:95" x14ac:dyDescent="0.25">
      <c r="A80" s="18">
        <v>77</v>
      </c>
      <c r="B80" s="19" t="s">
        <v>1579</v>
      </c>
      <c r="C80" s="19" t="s">
        <v>1580</v>
      </c>
      <c r="D80" s="20">
        <v>46014</v>
      </c>
      <c r="E80" s="20">
        <v>36569</v>
      </c>
      <c r="F80" s="19"/>
      <c r="G80" s="19"/>
      <c r="H80" s="19" t="s">
        <v>94</v>
      </c>
      <c r="I80" s="19"/>
      <c r="J80" s="19"/>
      <c r="K80" s="19"/>
      <c r="L80" s="19" t="s">
        <v>467</v>
      </c>
      <c r="M80" s="19" t="s">
        <v>468</v>
      </c>
      <c r="N80" s="19" t="s">
        <v>1581</v>
      </c>
      <c r="O80" s="19" t="s">
        <v>100</v>
      </c>
      <c r="P80" s="19"/>
      <c r="Q80" s="19"/>
      <c r="R80" s="19"/>
      <c r="S80" s="19"/>
      <c r="T80" s="19"/>
      <c r="U80" s="19"/>
      <c r="V80" s="19"/>
      <c r="W80" s="19"/>
      <c r="X80" s="19"/>
      <c r="Y80" s="19" t="s">
        <v>101</v>
      </c>
      <c r="Z80" s="19" t="s">
        <v>102</v>
      </c>
      <c r="AA80" s="19" t="s">
        <v>103</v>
      </c>
      <c r="AB80" s="19" t="s">
        <v>720</v>
      </c>
      <c r="AC80" s="19" t="s">
        <v>721</v>
      </c>
      <c r="AD80" s="19" t="s">
        <v>1582</v>
      </c>
      <c r="AE80" s="19" t="s">
        <v>1583</v>
      </c>
      <c r="AF80" s="19" t="s">
        <v>1584</v>
      </c>
      <c r="AG80" s="19" t="s">
        <v>1585</v>
      </c>
      <c r="AH80" s="19" t="s">
        <v>262</v>
      </c>
      <c r="AI80" s="19" t="s">
        <v>111</v>
      </c>
      <c r="AJ80" s="19" t="s">
        <v>1586</v>
      </c>
      <c r="AK80" s="19"/>
      <c r="AL80" s="19"/>
      <c r="AM80" s="19" t="s">
        <v>1587</v>
      </c>
      <c r="AN80" s="19" t="s">
        <v>1588</v>
      </c>
      <c r="AO80" s="19" t="s">
        <v>1589</v>
      </c>
      <c r="AP80" s="19" t="s">
        <v>1590</v>
      </c>
      <c r="AQ80" s="19" t="s">
        <v>117</v>
      </c>
      <c r="AR80" s="19" t="s">
        <v>1591</v>
      </c>
      <c r="AS80" s="19" t="s">
        <v>1592</v>
      </c>
      <c r="AT80" s="19" t="s">
        <v>1593</v>
      </c>
      <c r="AU80" s="19" t="s">
        <v>1594</v>
      </c>
      <c r="AV80" s="19" t="s">
        <v>260</v>
      </c>
      <c r="AW80" s="19" t="s">
        <v>1595</v>
      </c>
      <c r="AX80" s="19" t="s">
        <v>262</v>
      </c>
      <c r="AY80" s="19" t="s">
        <v>1596</v>
      </c>
      <c r="AZ80" s="19" t="s">
        <v>1597</v>
      </c>
      <c r="BA80" s="20">
        <v>38530</v>
      </c>
      <c r="BB80" s="19" t="s">
        <v>444</v>
      </c>
      <c r="BC80" s="19" t="s">
        <v>1598</v>
      </c>
      <c r="BD80" s="19" t="s">
        <v>260</v>
      </c>
      <c r="BE80" s="19" t="s">
        <v>130</v>
      </c>
      <c r="BF80" s="19" t="s">
        <v>1599</v>
      </c>
      <c r="BG80" s="19" t="s">
        <v>1600</v>
      </c>
      <c r="BH80" s="19" t="s">
        <v>1601</v>
      </c>
      <c r="BI80" s="19" t="s">
        <v>1601</v>
      </c>
      <c r="BJ80" s="19" t="s">
        <v>1259</v>
      </c>
      <c r="BK80" s="19" t="s">
        <v>221</v>
      </c>
      <c r="BL80" s="19" t="s">
        <v>222</v>
      </c>
      <c r="BM80" s="19" t="s">
        <v>169</v>
      </c>
      <c r="BN80" s="21">
        <v>353.86399999999998</v>
      </c>
      <c r="BO80" s="21">
        <v>200382.56727999999</v>
      </c>
      <c r="BQ80" s="2"/>
      <c r="BR80" s="2"/>
      <c r="BS80" s="2"/>
      <c r="BT80" s="2"/>
      <c r="BU80" s="22"/>
      <c r="BV80" s="2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</row>
    <row r="81" spans="1:95" x14ac:dyDescent="0.25">
      <c r="A81" s="18">
        <v>78</v>
      </c>
      <c r="B81" s="19" t="s">
        <v>1602</v>
      </c>
      <c r="C81" s="19" t="s">
        <v>1603</v>
      </c>
      <c r="D81" s="20">
        <v>46021</v>
      </c>
      <c r="E81" s="20">
        <v>34418</v>
      </c>
      <c r="F81" s="19" t="s">
        <v>1604</v>
      </c>
      <c r="G81" s="19" t="s">
        <v>139</v>
      </c>
      <c r="H81" s="19" t="s">
        <v>94</v>
      </c>
      <c r="I81" s="19"/>
      <c r="J81" s="19"/>
      <c r="K81" s="19"/>
      <c r="L81" s="19" t="s">
        <v>101</v>
      </c>
      <c r="M81" s="19" t="s">
        <v>290</v>
      </c>
      <c r="N81" s="19" t="s">
        <v>1605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 t="s">
        <v>101</v>
      </c>
      <c r="Z81" s="19" t="s">
        <v>102</v>
      </c>
      <c r="AA81" s="19" t="s">
        <v>103</v>
      </c>
      <c r="AB81" s="19" t="s">
        <v>173</v>
      </c>
      <c r="AC81" s="19" t="s">
        <v>174</v>
      </c>
      <c r="AD81" s="19" t="s">
        <v>1606</v>
      </c>
      <c r="AE81" s="19" t="s">
        <v>1607</v>
      </c>
      <c r="AF81" s="19"/>
      <c r="AG81" s="19" t="s">
        <v>1608</v>
      </c>
      <c r="AH81" s="19" t="s">
        <v>757</v>
      </c>
      <c r="AI81" s="19"/>
      <c r="AJ81" s="19" t="s">
        <v>1609</v>
      </c>
      <c r="AK81" s="19"/>
      <c r="AL81" s="19" t="s">
        <v>1610</v>
      </c>
      <c r="AM81" s="19" t="s">
        <v>1611</v>
      </c>
      <c r="AN81" s="19" t="s">
        <v>1612</v>
      </c>
      <c r="AO81" s="19" t="s">
        <v>154</v>
      </c>
      <c r="AP81" s="19" t="s">
        <v>155</v>
      </c>
      <c r="AQ81" s="19" t="s">
        <v>117</v>
      </c>
      <c r="AR81" s="19" t="s">
        <v>156</v>
      </c>
      <c r="AS81" s="19" t="s">
        <v>157</v>
      </c>
      <c r="AT81" s="19" t="s">
        <v>158</v>
      </c>
      <c r="AU81" s="19"/>
      <c r="AV81" s="19" t="s">
        <v>122</v>
      </c>
      <c r="AW81" s="19"/>
      <c r="AX81" s="19" t="s">
        <v>124</v>
      </c>
      <c r="AY81" s="19" t="s">
        <v>159</v>
      </c>
      <c r="AZ81" s="19" t="s">
        <v>160</v>
      </c>
      <c r="BA81" s="20">
        <v>44676</v>
      </c>
      <c r="BB81" s="19" t="s">
        <v>661</v>
      </c>
      <c r="BC81" s="19" t="s">
        <v>1613</v>
      </c>
      <c r="BD81" s="19" t="s">
        <v>1614</v>
      </c>
      <c r="BE81" s="19" t="s">
        <v>130</v>
      </c>
      <c r="BF81" s="19" t="s">
        <v>1615</v>
      </c>
      <c r="BG81" s="19"/>
      <c r="BH81" s="19" t="s">
        <v>1616</v>
      </c>
      <c r="BI81" s="19" t="s">
        <v>1616</v>
      </c>
      <c r="BJ81" s="19" t="s">
        <v>166</v>
      </c>
      <c r="BK81" s="19" t="s">
        <v>167</v>
      </c>
      <c r="BL81" s="19" t="s">
        <v>168</v>
      </c>
      <c r="BM81" s="19" t="s">
        <v>169</v>
      </c>
      <c r="BN81" s="21">
        <v>55.167999999999999</v>
      </c>
      <c r="BO81" s="21">
        <v>1954.2822656000001</v>
      </c>
      <c r="BQ81" s="2"/>
      <c r="BR81" s="2"/>
      <c r="BS81" s="2"/>
      <c r="BT81" s="2"/>
      <c r="BU81" s="22"/>
      <c r="BV81" s="2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</row>
    <row r="82" spans="1:95" x14ac:dyDescent="0.25">
      <c r="A82" s="18">
        <v>79</v>
      </c>
      <c r="B82" s="19" t="s">
        <v>1617</v>
      </c>
      <c r="C82" s="19" t="s">
        <v>1618</v>
      </c>
      <c r="D82" s="20">
        <v>46021</v>
      </c>
      <c r="E82" s="20">
        <v>32902</v>
      </c>
      <c r="F82" s="19"/>
      <c r="G82" s="19"/>
      <c r="H82" s="19" t="s">
        <v>94</v>
      </c>
      <c r="I82" s="19"/>
      <c r="J82" s="19"/>
      <c r="K82" s="19"/>
      <c r="L82" s="19" t="s">
        <v>1619</v>
      </c>
      <c r="M82" s="19" t="s">
        <v>1620</v>
      </c>
      <c r="N82" s="19" t="s">
        <v>1621</v>
      </c>
      <c r="O82" s="19" t="s">
        <v>100</v>
      </c>
      <c r="P82" s="19"/>
      <c r="Q82" s="19"/>
      <c r="R82" s="19"/>
      <c r="S82" s="19"/>
      <c r="T82" s="19"/>
      <c r="U82" s="19"/>
      <c r="V82" s="19"/>
      <c r="W82" s="19"/>
      <c r="X82" s="19"/>
      <c r="Y82" s="19" t="s">
        <v>101</v>
      </c>
      <c r="Z82" s="19" t="s">
        <v>102</v>
      </c>
      <c r="AA82" s="19" t="s">
        <v>103</v>
      </c>
      <c r="AB82" s="19" t="s">
        <v>1622</v>
      </c>
      <c r="AC82" s="19" t="s">
        <v>1623</v>
      </c>
      <c r="AD82" s="19" t="s">
        <v>1624</v>
      </c>
      <c r="AE82" s="19" t="s">
        <v>1625</v>
      </c>
      <c r="AF82" s="19"/>
      <c r="AG82" s="19" t="s">
        <v>1626</v>
      </c>
      <c r="AH82" s="19" t="s">
        <v>942</v>
      </c>
      <c r="AI82" s="19" t="s">
        <v>111</v>
      </c>
      <c r="AJ82" s="19" t="s">
        <v>1627</v>
      </c>
      <c r="AK82" s="19"/>
      <c r="AL82" s="19"/>
      <c r="AM82" s="19" t="s">
        <v>1628</v>
      </c>
      <c r="AN82" s="19" t="s">
        <v>1629</v>
      </c>
      <c r="AO82" s="19" t="s">
        <v>1630</v>
      </c>
      <c r="AP82" s="19" t="s">
        <v>1631</v>
      </c>
      <c r="AQ82" s="19" t="s">
        <v>117</v>
      </c>
      <c r="AR82" s="19" t="s">
        <v>1632</v>
      </c>
      <c r="AS82" s="19" t="s">
        <v>1633</v>
      </c>
      <c r="AT82" s="19" t="s">
        <v>1634</v>
      </c>
      <c r="AU82" s="19" t="s">
        <v>1635</v>
      </c>
      <c r="AV82" s="19" t="s">
        <v>1636</v>
      </c>
      <c r="AW82" s="19" t="s">
        <v>1637</v>
      </c>
      <c r="AX82" s="19" t="s">
        <v>707</v>
      </c>
      <c r="AY82" s="19" t="s">
        <v>1638</v>
      </c>
      <c r="AZ82" s="19" t="s">
        <v>1639</v>
      </c>
      <c r="BA82" s="20">
        <v>45408</v>
      </c>
      <c r="BB82" s="19" t="s">
        <v>363</v>
      </c>
      <c r="BC82" s="19" t="s">
        <v>1640</v>
      </c>
      <c r="BD82" s="19" t="s">
        <v>1640</v>
      </c>
      <c r="BE82" s="19" t="s">
        <v>130</v>
      </c>
      <c r="BF82" s="19" t="s">
        <v>1641</v>
      </c>
      <c r="BG82" s="19" t="s">
        <v>1642</v>
      </c>
      <c r="BH82" s="19" t="s">
        <v>1643</v>
      </c>
      <c r="BI82" s="19" t="s">
        <v>1643</v>
      </c>
      <c r="BJ82" s="19" t="s">
        <v>166</v>
      </c>
      <c r="BK82" s="19" t="s">
        <v>1644</v>
      </c>
      <c r="BL82" s="19" t="s">
        <v>1636</v>
      </c>
      <c r="BM82" s="19" t="s">
        <v>1045</v>
      </c>
      <c r="BN82" s="21">
        <v>220.387</v>
      </c>
      <c r="BO82" s="21">
        <v>201625.45469000001</v>
      </c>
      <c r="BQ82" s="2"/>
      <c r="BR82" s="2"/>
      <c r="BS82" s="2"/>
      <c r="BT82" s="2"/>
      <c r="BU82" s="22"/>
      <c r="BV82" s="2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</row>
    <row r="83" spans="1:95" x14ac:dyDescent="0.25">
      <c r="A83" s="18">
        <v>80</v>
      </c>
      <c r="B83" s="19" t="s">
        <v>1645</v>
      </c>
      <c r="C83" s="19" t="s">
        <v>1646</v>
      </c>
      <c r="D83" s="20">
        <v>45992</v>
      </c>
      <c r="E83" s="20">
        <v>27146</v>
      </c>
      <c r="F83" s="19" t="s">
        <v>1647</v>
      </c>
      <c r="G83" s="19" t="s">
        <v>139</v>
      </c>
      <c r="H83" s="19" t="s">
        <v>94</v>
      </c>
      <c r="I83" s="19"/>
      <c r="J83" s="19"/>
      <c r="K83" s="19"/>
      <c r="L83" s="19" t="s">
        <v>244</v>
      </c>
      <c r="M83" s="19" t="s">
        <v>245</v>
      </c>
      <c r="N83" s="19" t="s">
        <v>1648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 t="s">
        <v>101</v>
      </c>
      <c r="Z83" s="19" t="s">
        <v>102</v>
      </c>
      <c r="AA83" s="19" t="s">
        <v>103</v>
      </c>
      <c r="AB83" s="19" t="s">
        <v>1649</v>
      </c>
      <c r="AC83" s="19" t="s">
        <v>1650</v>
      </c>
      <c r="AD83" s="19" t="s">
        <v>1651</v>
      </c>
      <c r="AE83" s="19" t="s">
        <v>1652</v>
      </c>
      <c r="AF83" s="19" t="s">
        <v>1653</v>
      </c>
      <c r="AG83" s="19" t="s">
        <v>623</v>
      </c>
      <c r="AH83" s="19" t="s">
        <v>124</v>
      </c>
      <c r="AI83" s="19" t="s">
        <v>111</v>
      </c>
      <c r="AJ83" s="19" t="s">
        <v>1654</v>
      </c>
      <c r="AK83" s="19"/>
      <c r="AL83" s="19"/>
      <c r="AM83" s="19" t="s">
        <v>1655</v>
      </c>
      <c r="AN83" s="19" t="s">
        <v>1656</v>
      </c>
      <c r="AO83" s="19" t="s">
        <v>255</v>
      </c>
      <c r="AP83" s="19" t="s">
        <v>256</v>
      </c>
      <c r="AQ83" s="19" t="s">
        <v>117</v>
      </c>
      <c r="AR83" s="19" t="s">
        <v>257</v>
      </c>
      <c r="AS83" s="19" t="s">
        <v>258</v>
      </c>
      <c r="AT83" s="19" t="s">
        <v>259</v>
      </c>
      <c r="AU83" s="19" t="s">
        <v>260</v>
      </c>
      <c r="AV83" s="19" t="s">
        <v>260</v>
      </c>
      <c r="AW83" s="19" t="s">
        <v>261</v>
      </c>
      <c r="AX83" s="19" t="s">
        <v>262</v>
      </c>
      <c r="AY83" s="19" t="s">
        <v>263</v>
      </c>
      <c r="AZ83" s="19" t="s">
        <v>264</v>
      </c>
      <c r="BA83" s="20">
        <v>43627</v>
      </c>
      <c r="BB83" s="19" t="s">
        <v>331</v>
      </c>
      <c r="BC83" s="19" t="s">
        <v>1657</v>
      </c>
      <c r="BD83" s="19" t="s">
        <v>219</v>
      </c>
      <c r="BE83" s="19" t="s">
        <v>130</v>
      </c>
      <c r="BF83" s="19" t="s">
        <v>1658</v>
      </c>
      <c r="BG83" s="19"/>
      <c r="BH83" s="19" t="s">
        <v>1659</v>
      </c>
      <c r="BI83" s="19" t="s">
        <v>1659</v>
      </c>
      <c r="BJ83" s="19" t="s">
        <v>166</v>
      </c>
      <c r="BK83" s="19" t="s">
        <v>167</v>
      </c>
      <c r="BL83" s="19" t="s">
        <v>168</v>
      </c>
      <c r="BM83" s="19" t="s">
        <v>169</v>
      </c>
      <c r="BN83" s="21">
        <v>7.8970000000000002</v>
      </c>
      <c r="BO83" s="21">
        <v>1990.43885</v>
      </c>
      <c r="BQ83" s="2"/>
      <c r="BR83" s="2"/>
      <c r="BS83" s="2"/>
      <c r="BT83" s="2"/>
      <c r="BU83" s="22"/>
      <c r="BV83" s="2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</row>
    <row r="84" spans="1:95" x14ac:dyDescent="0.25">
      <c r="A84" s="18">
        <v>81</v>
      </c>
      <c r="B84" s="19" t="s">
        <v>1660</v>
      </c>
      <c r="C84" s="19" t="s">
        <v>1661</v>
      </c>
      <c r="D84" s="20">
        <v>45992</v>
      </c>
      <c r="E84" s="20">
        <v>31126</v>
      </c>
      <c r="F84" s="19" t="s">
        <v>1662</v>
      </c>
      <c r="G84" s="19" t="s">
        <v>139</v>
      </c>
      <c r="H84" s="19" t="s">
        <v>94</v>
      </c>
      <c r="I84" s="19"/>
      <c r="J84" s="19"/>
      <c r="K84" s="19"/>
      <c r="L84" s="19" t="s">
        <v>244</v>
      </c>
      <c r="M84" s="19" t="s">
        <v>245</v>
      </c>
      <c r="N84" s="19" t="s">
        <v>1663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 t="s">
        <v>101</v>
      </c>
      <c r="Z84" s="19" t="s">
        <v>102</v>
      </c>
      <c r="AA84" s="19" t="s">
        <v>103</v>
      </c>
      <c r="AB84" s="19" t="s">
        <v>143</v>
      </c>
      <c r="AC84" s="19" t="s">
        <v>144</v>
      </c>
      <c r="AD84" s="19" t="s">
        <v>1664</v>
      </c>
      <c r="AE84" s="19" t="s">
        <v>1665</v>
      </c>
      <c r="AF84" s="19"/>
      <c r="AG84" s="19" t="s">
        <v>1666</v>
      </c>
      <c r="AH84" s="19" t="s">
        <v>1237</v>
      </c>
      <c r="AI84" s="19"/>
      <c r="AJ84" s="19" t="s">
        <v>1667</v>
      </c>
      <c r="AK84" s="19"/>
      <c r="AL84" s="19"/>
      <c r="AM84" s="19" t="s">
        <v>1668</v>
      </c>
      <c r="AN84" s="19" t="s">
        <v>1669</v>
      </c>
      <c r="AO84" s="19" t="s">
        <v>255</v>
      </c>
      <c r="AP84" s="19" t="s">
        <v>256</v>
      </c>
      <c r="AQ84" s="19" t="s">
        <v>117</v>
      </c>
      <c r="AR84" s="19" t="s">
        <v>257</v>
      </c>
      <c r="AS84" s="19" t="s">
        <v>258</v>
      </c>
      <c r="AT84" s="19" t="s">
        <v>259</v>
      </c>
      <c r="AU84" s="19" t="s">
        <v>260</v>
      </c>
      <c r="AV84" s="19" t="s">
        <v>260</v>
      </c>
      <c r="AW84" s="19" t="s">
        <v>261</v>
      </c>
      <c r="AX84" s="19" t="s">
        <v>262</v>
      </c>
      <c r="AY84" s="19" t="s">
        <v>263</v>
      </c>
      <c r="AZ84" s="19" t="s">
        <v>264</v>
      </c>
      <c r="BA84" s="20">
        <v>43627</v>
      </c>
      <c r="BB84" s="19" t="s">
        <v>1670</v>
      </c>
      <c r="BC84" s="19" t="s">
        <v>1671</v>
      </c>
      <c r="BD84" s="19" t="s">
        <v>1666</v>
      </c>
      <c r="BE84" s="19" t="s">
        <v>130</v>
      </c>
      <c r="BF84" s="19" t="s">
        <v>1672</v>
      </c>
      <c r="BG84" s="19"/>
      <c r="BH84" s="19" t="s">
        <v>1673</v>
      </c>
      <c r="BI84" s="19" t="s">
        <v>1673</v>
      </c>
      <c r="BJ84" s="19" t="s">
        <v>166</v>
      </c>
      <c r="BK84" s="19" t="s">
        <v>167</v>
      </c>
      <c r="BL84" s="19" t="s">
        <v>168</v>
      </c>
      <c r="BM84" s="19" t="s">
        <v>169</v>
      </c>
      <c r="BN84" s="21">
        <v>5.306</v>
      </c>
      <c r="BO84" s="21">
        <v>202.10553999999999</v>
      </c>
      <c r="BQ84" s="2"/>
      <c r="BR84" s="2"/>
      <c r="BS84" s="2"/>
      <c r="BT84" s="2"/>
      <c r="BU84" s="22"/>
      <c r="BV84" s="2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</row>
    <row r="85" spans="1:95" x14ac:dyDescent="0.25">
      <c r="A85" s="18">
        <v>82</v>
      </c>
      <c r="B85" s="19" t="s">
        <v>1674</v>
      </c>
      <c r="C85" s="19" t="s">
        <v>1675</v>
      </c>
      <c r="D85" s="20">
        <v>46005</v>
      </c>
      <c r="E85" s="20">
        <v>28773</v>
      </c>
      <c r="F85" s="19" t="s">
        <v>1676</v>
      </c>
      <c r="G85" s="19" t="s">
        <v>139</v>
      </c>
      <c r="H85" s="19" t="s">
        <v>94</v>
      </c>
      <c r="I85" s="19"/>
      <c r="J85" s="19"/>
      <c r="K85" s="19"/>
      <c r="L85" s="19" t="s">
        <v>244</v>
      </c>
      <c r="M85" s="19" t="s">
        <v>245</v>
      </c>
      <c r="N85" s="19" t="s">
        <v>1677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 t="s">
        <v>101</v>
      </c>
      <c r="Z85" s="19" t="s">
        <v>102</v>
      </c>
      <c r="AA85" s="19" t="s">
        <v>103</v>
      </c>
      <c r="AB85" s="19" t="s">
        <v>1496</v>
      </c>
      <c r="AC85" s="19" t="s">
        <v>1497</v>
      </c>
      <c r="AD85" s="19" t="s">
        <v>1678</v>
      </c>
      <c r="AE85" s="19" t="s">
        <v>1679</v>
      </c>
      <c r="AF85" s="19" t="s">
        <v>1680</v>
      </c>
      <c r="AG85" s="19" t="s">
        <v>219</v>
      </c>
      <c r="AH85" s="19" t="s">
        <v>124</v>
      </c>
      <c r="AI85" s="19" t="s">
        <v>111</v>
      </c>
      <c r="AJ85" s="19" t="s">
        <v>1681</v>
      </c>
      <c r="AK85" s="19"/>
      <c r="AL85" s="19"/>
      <c r="AM85" s="19" t="s">
        <v>1682</v>
      </c>
      <c r="AN85" s="19" t="s">
        <v>1683</v>
      </c>
      <c r="AO85" s="19" t="s">
        <v>255</v>
      </c>
      <c r="AP85" s="19" t="s">
        <v>256</v>
      </c>
      <c r="AQ85" s="19" t="s">
        <v>117</v>
      </c>
      <c r="AR85" s="19" t="s">
        <v>257</v>
      </c>
      <c r="AS85" s="19" t="s">
        <v>258</v>
      </c>
      <c r="AT85" s="19" t="s">
        <v>259</v>
      </c>
      <c r="AU85" s="19" t="s">
        <v>260</v>
      </c>
      <c r="AV85" s="19" t="s">
        <v>260</v>
      </c>
      <c r="AW85" s="19" t="s">
        <v>261</v>
      </c>
      <c r="AX85" s="19" t="s">
        <v>262</v>
      </c>
      <c r="AY85" s="19" t="s">
        <v>263</v>
      </c>
      <c r="AZ85" s="19" t="s">
        <v>264</v>
      </c>
      <c r="BA85" s="20">
        <v>43627</v>
      </c>
      <c r="BB85" s="19" t="s">
        <v>444</v>
      </c>
      <c r="BC85" s="19" t="s">
        <v>1684</v>
      </c>
      <c r="BD85" s="19" t="s">
        <v>219</v>
      </c>
      <c r="BE85" s="19" t="s">
        <v>130</v>
      </c>
      <c r="BF85" s="19" t="s">
        <v>1685</v>
      </c>
      <c r="BG85" s="19"/>
      <c r="BH85" s="19" t="s">
        <v>1686</v>
      </c>
      <c r="BI85" s="19" t="s">
        <v>1686</v>
      </c>
      <c r="BJ85" s="19" t="s">
        <v>166</v>
      </c>
      <c r="BK85" s="19" t="s">
        <v>167</v>
      </c>
      <c r="BL85" s="19" t="s">
        <v>168</v>
      </c>
      <c r="BM85" s="19" t="s">
        <v>169</v>
      </c>
      <c r="BN85" s="21">
        <v>0</v>
      </c>
      <c r="BO85" s="21">
        <v>0</v>
      </c>
      <c r="BQ85" s="2"/>
      <c r="BR85" s="2"/>
      <c r="BS85" s="2"/>
      <c r="BT85" s="2"/>
      <c r="BU85" s="22"/>
      <c r="BV85" s="2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</row>
    <row r="86" spans="1:95" x14ac:dyDescent="0.25">
      <c r="A86" s="18">
        <v>83</v>
      </c>
      <c r="B86" s="19" t="s">
        <v>1687</v>
      </c>
      <c r="C86" s="19" t="s">
        <v>1688</v>
      </c>
      <c r="D86" s="20">
        <v>46000</v>
      </c>
      <c r="E86" s="20">
        <v>33961</v>
      </c>
      <c r="F86" s="19"/>
      <c r="G86" s="19"/>
      <c r="H86" s="19" t="s">
        <v>94</v>
      </c>
      <c r="I86" s="19"/>
      <c r="J86" s="19"/>
      <c r="K86" s="19"/>
      <c r="L86" s="19" t="s">
        <v>97</v>
      </c>
      <c r="M86" s="19" t="s">
        <v>98</v>
      </c>
      <c r="N86" s="19" t="s">
        <v>1689</v>
      </c>
      <c r="O86" s="19" t="s">
        <v>100</v>
      </c>
      <c r="P86" s="19"/>
      <c r="Q86" s="19"/>
      <c r="R86" s="19"/>
      <c r="S86" s="19"/>
      <c r="T86" s="19"/>
      <c r="U86" s="19"/>
      <c r="V86" s="19"/>
      <c r="W86" s="19"/>
      <c r="X86" s="19"/>
      <c r="Y86" s="19" t="s">
        <v>101</v>
      </c>
      <c r="Z86" s="19" t="s">
        <v>102</v>
      </c>
      <c r="AA86" s="19" t="s">
        <v>103</v>
      </c>
      <c r="AB86" s="19" t="s">
        <v>1690</v>
      </c>
      <c r="AC86" s="19" t="s">
        <v>1691</v>
      </c>
      <c r="AD86" s="19" t="s">
        <v>1692</v>
      </c>
      <c r="AE86" s="19" t="s">
        <v>1693</v>
      </c>
      <c r="AF86" s="19" t="s">
        <v>1694</v>
      </c>
      <c r="AG86" s="19" t="s">
        <v>1695</v>
      </c>
      <c r="AH86" s="19" t="s">
        <v>327</v>
      </c>
      <c r="AI86" s="19" t="s">
        <v>111</v>
      </c>
      <c r="AJ86" s="19" t="s">
        <v>1696</v>
      </c>
      <c r="AK86" s="19"/>
      <c r="AL86" s="19"/>
      <c r="AM86" s="19" t="s">
        <v>1697</v>
      </c>
      <c r="AN86" s="19" t="s">
        <v>1698</v>
      </c>
      <c r="AO86" s="19" t="s">
        <v>1699</v>
      </c>
      <c r="AP86" s="19" t="s">
        <v>1700</v>
      </c>
      <c r="AQ86" s="19" t="s">
        <v>94</v>
      </c>
      <c r="AR86" s="19" t="s">
        <v>1701</v>
      </c>
      <c r="AS86" s="19" t="s">
        <v>1702</v>
      </c>
      <c r="AT86" s="19" t="s">
        <v>1703</v>
      </c>
      <c r="AU86" s="19"/>
      <c r="AV86" s="19" t="s">
        <v>168</v>
      </c>
      <c r="AW86" s="19" t="s">
        <v>1704</v>
      </c>
      <c r="AX86" s="19" t="s">
        <v>262</v>
      </c>
      <c r="AY86" s="19" t="s">
        <v>1705</v>
      </c>
      <c r="AZ86" s="19" t="s">
        <v>1706</v>
      </c>
      <c r="BA86" s="20">
        <v>45993</v>
      </c>
      <c r="BB86" s="19" t="s">
        <v>479</v>
      </c>
      <c r="BC86" s="19" t="s">
        <v>1707</v>
      </c>
      <c r="BD86" s="19" t="s">
        <v>1708</v>
      </c>
      <c r="BE86" s="19" t="s">
        <v>130</v>
      </c>
      <c r="BF86" s="19" t="s">
        <v>1709</v>
      </c>
      <c r="BG86" s="19"/>
      <c r="BH86" s="19" t="s">
        <v>1710</v>
      </c>
      <c r="BI86" s="19" t="s">
        <v>1710</v>
      </c>
      <c r="BJ86" s="19" t="s">
        <v>166</v>
      </c>
      <c r="BK86" s="19" t="s">
        <v>167</v>
      </c>
      <c r="BL86" s="19" t="s">
        <v>168</v>
      </c>
      <c r="BM86" s="19" t="s">
        <v>169</v>
      </c>
      <c r="BN86" s="21">
        <v>2.6259999999999999</v>
      </c>
      <c r="BO86" s="21">
        <v>1003.5025286</v>
      </c>
      <c r="BQ86" s="2"/>
      <c r="BR86" s="2"/>
      <c r="BS86" s="2"/>
      <c r="BT86" s="2"/>
      <c r="BU86" s="22"/>
      <c r="BV86" s="2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</row>
    <row r="87" spans="1:95" x14ac:dyDescent="0.25">
      <c r="A87" s="18">
        <v>84</v>
      </c>
      <c r="B87" s="19" t="s">
        <v>1711</v>
      </c>
      <c r="C87" s="19" t="s">
        <v>1712</v>
      </c>
      <c r="D87" s="20">
        <v>45993</v>
      </c>
      <c r="E87" s="20">
        <v>38415</v>
      </c>
      <c r="F87" s="19"/>
      <c r="G87" s="19"/>
      <c r="H87" s="19" t="s">
        <v>94</v>
      </c>
      <c r="I87" s="19"/>
      <c r="J87" s="19"/>
      <c r="K87" s="19"/>
      <c r="L87" s="19" t="s">
        <v>244</v>
      </c>
      <c r="M87" s="19" t="s">
        <v>245</v>
      </c>
      <c r="N87" s="19" t="s">
        <v>1713</v>
      </c>
      <c r="O87" s="19" t="s">
        <v>100</v>
      </c>
      <c r="P87" s="19"/>
      <c r="Q87" s="19"/>
      <c r="R87" s="19"/>
      <c r="S87" s="19"/>
      <c r="T87" s="19"/>
      <c r="U87" s="19"/>
      <c r="V87" s="19"/>
      <c r="W87" s="19"/>
      <c r="X87" s="19"/>
      <c r="Y87" s="19" t="s">
        <v>101</v>
      </c>
      <c r="Z87" s="19" t="s">
        <v>102</v>
      </c>
      <c r="AA87" s="19" t="s">
        <v>103</v>
      </c>
      <c r="AB87" s="19" t="s">
        <v>612</v>
      </c>
      <c r="AC87" s="19" t="s">
        <v>613</v>
      </c>
      <c r="AD87" s="19" t="s">
        <v>1714</v>
      </c>
      <c r="AE87" s="19" t="s">
        <v>1715</v>
      </c>
      <c r="AF87" s="19" t="s">
        <v>1716</v>
      </c>
      <c r="AG87" s="19" t="s">
        <v>1715</v>
      </c>
      <c r="AH87" s="19" t="s">
        <v>757</v>
      </c>
      <c r="AI87" s="19" t="s">
        <v>111</v>
      </c>
      <c r="AJ87" s="19" t="s">
        <v>1717</v>
      </c>
      <c r="AK87" s="19"/>
      <c r="AL87" s="19"/>
      <c r="AM87" s="19" t="s">
        <v>1718</v>
      </c>
      <c r="AN87" s="19" t="s">
        <v>1719</v>
      </c>
      <c r="AO87" s="19" t="s">
        <v>750</v>
      </c>
      <c r="AP87" s="19" t="s">
        <v>751</v>
      </c>
      <c r="AQ87" s="19" t="s">
        <v>117</v>
      </c>
      <c r="AR87" s="19" t="s">
        <v>752</v>
      </c>
      <c r="AS87" s="19" t="s">
        <v>753</v>
      </c>
      <c r="AT87" s="19" t="s">
        <v>754</v>
      </c>
      <c r="AU87" s="19"/>
      <c r="AV87" s="19" t="s">
        <v>755</v>
      </c>
      <c r="AW87" s="19" t="s">
        <v>756</v>
      </c>
      <c r="AX87" s="19" t="s">
        <v>757</v>
      </c>
      <c r="AY87" s="19" t="s">
        <v>758</v>
      </c>
      <c r="AZ87" s="19" t="s">
        <v>759</v>
      </c>
      <c r="BA87" s="20">
        <v>42966</v>
      </c>
      <c r="BB87" s="19" t="s">
        <v>751</v>
      </c>
      <c r="BC87" s="19" t="s">
        <v>760</v>
      </c>
      <c r="BD87" s="19" t="s">
        <v>219</v>
      </c>
      <c r="BE87" s="19" t="s">
        <v>130</v>
      </c>
      <c r="BF87" s="19" t="s">
        <v>1720</v>
      </c>
      <c r="BG87" s="19"/>
      <c r="BH87" s="19" t="s">
        <v>762</v>
      </c>
      <c r="BI87" s="19" t="s">
        <v>762</v>
      </c>
      <c r="BJ87" s="19" t="s">
        <v>194</v>
      </c>
      <c r="BK87" s="19" t="s">
        <v>591</v>
      </c>
      <c r="BL87" s="19" t="s">
        <v>122</v>
      </c>
      <c r="BM87" s="19" t="s">
        <v>592</v>
      </c>
      <c r="BN87" s="21">
        <v>0</v>
      </c>
      <c r="BO87" s="21">
        <v>0</v>
      </c>
      <c r="BQ87" s="2"/>
      <c r="BR87" s="2"/>
      <c r="BS87" s="2"/>
      <c r="BT87" s="2"/>
      <c r="BU87" s="22"/>
      <c r="BV87" s="2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</row>
    <row r="88" spans="1:95" x14ac:dyDescent="0.25">
      <c r="A88" s="18">
        <v>85</v>
      </c>
      <c r="B88" s="19" t="s">
        <v>1721</v>
      </c>
      <c r="C88" s="19" t="s">
        <v>1722</v>
      </c>
      <c r="D88" s="20">
        <v>45996</v>
      </c>
      <c r="E88" s="20">
        <v>20830</v>
      </c>
      <c r="F88" s="19"/>
      <c r="G88" s="19"/>
      <c r="H88" s="19" t="s">
        <v>94</v>
      </c>
      <c r="I88" s="19"/>
      <c r="J88" s="19"/>
      <c r="K88" s="19"/>
      <c r="L88" s="19" t="s">
        <v>140</v>
      </c>
      <c r="M88" s="19" t="s">
        <v>141</v>
      </c>
      <c r="N88" s="19" t="s">
        <v>1723</v>
      </c>
      <c r="O88" s="19" t="s">
        <v>100</v>
      </c>
      <c r="P88" s="19"/>
      <c r="Q88" s="19"/>
      <c r="R88" s="19"/>
      <c r="S88" s="19"/>
      <c r="T88" s="19"/>
      <c r="U88" s="19"/>
      <c r="V88" s="19"/>
      <c r="W88" s="19"/>
      <c r="X88" s="19"/>
      <c r="Y88" s="19" t="s">
        <v>101</v>
      </c>
      <c r="Z88" s="19" t="s">
        <v>102</v>
      </c>
      <c r="AA88" s="19" t="s">
        <v>103</v>
      </c>
      <c r="AB88" s="19" t="s">
        <v>1025</v>
      </c>
      <c r="AC88" s="19" t="s">
        <v>1026</v>
      </c>
      <c r="AD88" s="19" t="s">
        <v>1724</v>
      </c>
      <c r="AE88" s="19" t="s">
        <v>1725</v>
      </c>
      <c r="AF88" s="19"/>
      <c r="AG88" s="19" t="s">
        <v>1725</v>
      </c>
      <c r="AH88" s="19" t="s">
        <v>262</v>
      </c>
      <c r="AI88" s="19" t="s">
        <v>111</v>
      </c>
      <c r="AJ88" s="19" t="s">
        <v>1726</v>
      </c>
      <c r="AK88" s="19"/>
      <c r="AL88" s="19"/>
      <c r="AM88" s="19" t="s">
        <v>1727</v>
      </c>
      <c r="AN88" s="19" t="s">
        <v>1728</v>
      </c>
      <c r="AO88" s="19" t="s">
        <v>1729</v>
      </c>
      <c r="AP88" s="19" t="s">
        <v>1730</v>
      </c>
      <c r="AQ88" s="19" t="s">
        <v>117</v>
      </c>
      <c r="AR88" s="19" t="s">
        <v>1731</v>
      </c>
      <c r="AS88" s="19" t="s">
        <v>1732</v>
      </c>
      <c r="AT88" s="19" t="s">
        <v>1733</v>
      </c>
      <c r="AU88" s="19" t="s">
        <v>168</v>
      </c>
      <c r="AV88" s="19" t="s">
        <v>168</v>
      </c>
      <c r="AW88" s="19" t="s">
        <v>1734</v>
      </c>
      <c r="AX88" s="19" t="s">
        <v>262</v>
      </c>
      <c r="AY88" s="19" t="s">
        <v>1735</v>
      </c>
      <c r="AZ88" s="19" t="s">
        <v>1736</v>
      </c>
      <c r="BA88" s="20">
        <v>42224</v>
      </c>
      <c r="BB88" s="19" t="s">
        <v>540</v>
      </c>
      <c r="BC88" s="19" t="s">
        <v>1737</v>
      </c>
      <c r="BD88" s="19" t="s">
        <v>1738</v>
      </c>
      <c r="BE88" s="19" t="s">
        <v>130</v>
      </c>
      <c r="BF88" s="19" t="s">
        <v>1739</v>
      </c>
      <c r="BG88" s="19"/>
      <c r="BH88" s="19" t="s">
        <v>1740</v>
      </c>
      <c r="BI88" s="19" t="s">
        <v>1740</v>
      </c>
      <c r="BJ88" s="19" t="s">
        <v>194</v>
      </c>
      <c r="BK88" s="19" t="s">
        <v>591</v>
      </c>
      <c r="BL88" s="19" t="s">
        <v>122</v>
      </c>
      <c r="BM88" s="19" t="s">
        <v>592</v>
      </c>
      <c r="BN88" s="21">
        <v>611.55499999999995</v>
      </c>
      <c r="BO88" s="21">
        <v>21272.818363999999</v>
      </c>
      <c r="BQ88" s="2"/>
      <c r="BR88" s="2"/>
      <c r="BS88" s="2"/>
      <c r="BT88" s="2"/>
      <c r="BU88" s="22"/>
      <c r="BV88" s="2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</row>
    <row r="89" spans="1:95" x14ac:dyDescent="0.25">
      <c r="A89" s="18">
        <v>86</v>
      </c>
      <c r="B89" s="19" t="s">
        <v>1741</v>
      </c>
      <c r="C89" s="19" t="s">
        <v>1742</v>
      </c>
      <c r="D89" s="20">
        <v>45995</v>
      </c>
      <c r="E89" s="20">
        <v>35268</v>
      </c>
      <c r="F89" s="19"/>
      <c r="G89" s="19"/>
      <c r="H89" s="19" t="s">
        <v>94</v>
      </c>
      <c r="I89" s="19"/>
      <c r="J89" s="19" t="s">
        <v>1276</v>
      </c>
      <c r="K89" s="19" t="s">
        <v>1277</v>
      </c>
      <c r="L89" s="19" t="s">
        <v>97</v>
      </c>
      <c r="M89" s="19" t="s">
        <v>98</v>
      </c>
      <c r="N89" s="19" t="s">
        <v>1743</v>
      </c>
      <c r="O89" s="19" t="s">
        <v>100</v>
      </c>
      <c r="P89" s="19"/>
      <c r="Q89" s="19"/>
      <c r="R89" s="19"/>
      <c r="S89" s="19"/>
      <c r="T89" s="19"/>
      <c r="U89" s="19"/>
      <c r="V89" s="19"/>
      <c r="W89" s="19"/>
      <c r="X89" s="19"/>
      <c r="Y89" s="19" t="s">
        <v>101</v>
      </c>
      <c r="Z89" s="19" t="s">
        <v>102</v>
      </c>
      <c r="AA89" s="19" t="s">
        <v>103</v>
      </c>
      <c r="AB89" s="19" t="s">
        <v>1744</v>
      </c>
      <c r="AC89" s="19" t="s">
        <v>1745</v>
      </c>
      <c r="AD89" s="19" t="s">
        <v>1746</v>
      </c>
      <c r="AE89" s="19" t="s">
        <v>1747</v>
      </c>
      <c r="AF89" s="19" t="s">
        <v>1748</v>
      </c>
      <c r="AG89" s="19" t="s">
        <v>1749</v>
      </c>
      <c r="AH89" s="19" t="s">
        <v>327</v>
      </c>
      <c r="AI89" s="19" t="s">
        <v>111</v>
      </c>
      <c r="AJ89" s="19" t="s">
        <v>1750</v>
      </c>
      <c r="AK89" s="19"/>
      <c r="AL89" s="19"/>
      <c r="AM89" s="19" t="s">
        <v>1751</v>
      </c>
      <c r="AN89" s="19" t="s">
        <v>1752</v>
      </c>
      <c r="AO89" s="19" t="s">
        <v>1753</v>
      </c>
      <c r="AP89" s="19" t="s">
        <v>1034</v>
      </c>
      <c r="AQ89" s="19" t="s">
        <v>117</v>
      </c>
      <c r="AR89" s="19" t="s">
        <v>1035</v>
      </c>
      <c r="AS89" s="19" t="s">
        <v>1754</v>
      </c>
      <c r="AT89" s="19"/>
      <c r="AU89" s="19"/>
      <c r="AV89" s="19" t="s">
        <v>186</v>
      </c>
      <c r="AW89" s="19" t="s">
        <v>1755</v>
      </c>
      <c r="AX89" s="19" t="s">
        <v>188</v>
      </c>
      <c r="AY89" s="19" t="s">
        <v>1756</v>
      </c>
      <c r="AZ89" s="19" t="s">
        <v>1757</v>
      </c>
      <c r="BA89" s="20">
        <v>43335</v>
      </c>
      <c r="BB89" s="19" t="s">
        <v>161</v>
      </c>
      <c r="BC89" s="19" t="s">
        <v>1758</v>
      </c>
      <c r="BD89" s="19" t="s">
        <v>1749</v>
      </c>
      <c r="BE89" s="19" t="s">
        <v>130</v>
      </c>
      <c r="BF89" s="19" t="s">
        <v>1759</v>
      </c>
      <c r="BG89" s="19"/>
      <c r="BH89" s="19" t="s">
        <v>1760</v>
      </c>
      <c r="BI89" s="19" t="s">
        <v>1760</v>
      </c>
      <c r="BJ89" s="19" t="s">
        <v>166</v>
      </c>
      <c r="BK89" s="19" t="s">
        <v>1043</v>
      </c>
      <c r="BL89" s="19" t="s">
        <v>1044</v>
      </c>
      <c r="BM89" s="19" t="s">
        <v>1045</v>
      </c>
      <c r="BN89" s="21">
        <v>42.281999999999996</v>
      </c>
      <c r="BO89" s="21">
        <v>1063.0667286</v>
      </c>
      <c r="BQ89" s="2"/>
      <c r="BR89" s="2"/>
      <c r="BS89" s="2"/>
      <c r="BT89" s="2"/>
      <c r="BU89" s="22"/>
      <c r="BV89" s="2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</row>
    <row r="90" spans="1:95" x14ac:dyDescent="0.25">
      <c r="A90" s="18">
        <v>87</v>
      </c>
      <c r="B90" s="19" t="s">
        <v>1761</v>
      </c>
      <c r="C90" s="19" t="s">
        <v>1762</v>
      </c>
      <c r="D90" s="20">
        <v>45995</v>
      </c>
      <c r="E90" s="20">
        <v>36211</v>
      </c>
      <c r="F90" s="19"/>
      <c r="G90" s="19"/>
      <c r="H90" s="19" t="s">
        <v>94</v>
      </c>
      <c r="I90" s="19"/>
      <c r="J90" s="19"/>
      <c r="K90" s="19"/>
      <c r="L90" s="19" t="s">
        <v>140</v>
      </c>
      <c r="M90" s="19" t="s">
        <v>141</v>
      </c>
      <c r="N90" s="19" t="s">
        <v>1763</v>
      </c>
      <c r="O90" s="19" t="s">
        <v>100</v>
      </c>
      <c r="P90" s="19"/>
      <c r="Q90" s="19"/>
      <c r="R90" s="19"/>
      <c r="S90" s="19"/>
      <c r="T90" s="19"/>
      <c r="U90" s="19"/>
      <c r="V90" s="19"/>
      <c r="W90" s="19"/>
      <c r="X90" s="19"/>
      <c r="Y90" s="19" t="s">
        <v>101</v>
      </c>
      <c r="Z90" s="19" t="s">
        <v>102</v>
      </c>
      <c r="AA90" s="19" t="s">
        <v>103</v>
      </c>
      <c r="AB90" s="19" t="s">
        <v>1025</v>
      </c>
      <c r="AC90" s="19" t="s">
        <v>1026</v>
      </c>
      <c r="AD90" s="19" t="s">
        <v>1764</v>
      </c>
      <c r="AE90" s="19" t="s">
        <v>1765</v>
      </c>
      <c r="AF90" s="19"/>
      <c r="AG90" s="19" t="s">
        <v>1766</v>
      </c>
      <c r="AH90" s="19" t="s">
        <v>327</v>
      </c>
      <c r="AI90" s="19" t="s">
        <v>111</v>
      </c>
      <c r="AJ90" s="19" t="s">
        <v>1767</v>
      </c>
      <c r="AK90" s="19"/>
      <c r="AL90" s="19"/>
      <c r="AM90" s="19" t="s">
        <v>1768</v>
      </c>
      <c r="AN90" s="19" t="s">
        <v>1769</v>
      </c>
      <c r="AO90" s="19" t="s">
        <v>1206</v>
      </c>
      <c r="AP90" s="19" t="s">
        <v>1207</v>
      </c>
      <c r="AQ90" s="19" t="s">
        <v>117</v>
      </c>
      <c r="AR90" s="19" t="s">
        <v>1208</v>
      </c>
      <c r="AS90" s="19" t="s">
        <v>1209</v>
      </c>
      <c r="AT90" s="19" t="s">
        <v>1210</v>
      </c>
      <c r="AU90" s="19" t="s">
        <v>1211</v>
      </c>
      <c r="AV90" s="19" t="s">
        <v>219</v>
      </c>
      <c r="AW90" s="19" t="s">
        <v>1212</v>
      </c>
      <c r="AX90" s="19" t="s">
        <v>124</v>
      </c>
      <c r="AY90" s="19" t="s">
        <v>1213</v>
      </c>
      <c r="AZ90" s="19" t="s">
        <v>1214</v>
      </c>
      <c r="BA90" s="20">
        <v>37560</v>
      </c>
      <c r="BB90" s="19" t="s">
        <v>161</v>
      </c>
      <c r="BC90" s="19" t="s">
        <v>1770</v>
      </c>
      <c r="BD90" s="19" t="s">
        <v>1770</v>
      </c>
      <c r="BE90" s="19" t="s">
        <v>130</v>
      </c>
      <c r="BF90" s="19" t="s">
        <v>1771</v>
      </c>
      <c r="BG90" s="19"/>
      <c r="BH90" s="19" t="s">
        <v>1772</v>
      </c>
      <c r="BI90" s="19" t="s">
        <v>1772</v>
      </c>
      <c r="BJ90" s="19" t="s">
        <v>194</v>
      </c>
      <c r="BK90" s="19" t="s">
        <v>591</v>
      </c>
      <c r="BL90" s="19" t="s">
        <v>122</v>
      </c>
      <c r="BM90" s="19" t="s">
        <v>592</v>
      </c>
      <c r="BN90" s="21">
        <v>37.243000000000002</v>
      </c>
      <c r="BO90" s="21">
        <v>1295.4903064</v>
      </c>
      <c r="BQ90" s="2"/>
      <c r="BR90" s="2"/>
      <c r="BS90" s="2"/>
      <c r="BT90" s="2"/>
      <c r="BU90" s="22"/>
      <c r="BV90" s="2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</row>
    <row r="91" spans="1:95" x14ac:dyDescent="0.25">
      <c r="A91" s="18">
        <v>88</v>
      </c>
      <c r="B91" s="19" t="s">
        <v>1773</v>
      </c>
      <c r="C91" s="19" t="s">
        <v>1774</v>
      </c>
      <c r="D91" s="20">
        <v>46001</v>
      </c>
      <c r="E91" s="20">
        <v>37412</v>
      </c>
      <c r="F91" s="19" t="s">
        <v>1775</v>
      </c>
      <c r="G91" s="19" t="s">
        <v>139</v>
      </c>
      <c r="H91" s="19" t="s">
        <v>94</v>
      </c>
      <c r="I91" s="19"/>
      <c r="J91" s="19"/>
      <c r="K91" s="19"/>
      <c r="L91" s="19" t="s">
        <v>140</v>
      </c>
      <c r="M91" s="19" t="s">
        <v>141</v>
      </c>
      <c r="N91" s="19" t="s">
        <v>1776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 t="s">
        <v>101</v>
      </c>
      <c r="Z91" s="19" t="s">
        <v>102</v>
      </c>
      <c r="AA91" s="19" t="s">
        <v>103</v>
      </c>
      <c r="AB91" s="19" t="s">
        <v>143</v>
      </c>
      <c r="AC91" s="19" t="s">
        <v>144</v>
      </c>
      <c r="AD91" s="19" t="s">
        <v>1777</v>
      </c>
      <c r="AE91" s="19"/>
      <c r="AF91" s="19"/>
      <c r="AG91" s="19" t="s">
        <v>1778</v>
      </c>
      <c r="AH91" s="19" t="s">
        <v>327</v>
      </c>
      <c r="AI91" s="19"/>
      <c r="AJ91" s="19" t="s">
        <v>1779</v>
      </c>
      <c r="AK91" s="19"/>
      <c r="AL91" s="19" t="s">
        <v>1780</v>
      </c>
      <c r="AM91" s="19" t="s">
        <v>1781</v>
      </c>
      <c r="AN91" s="19" t="s">
        <v>1782</v>
      </c>
      <c r="AO91" s="19" t="s">
        <v>154</v>
      </c>
      <c r="AP91" s="19" t="s">
        <v>155</v>
      </c>
      <c r="AQ91" s="19" t="s">
        <v>117</v>
      </c>
      <c r="AR91" s="19" t="s">
        <v>156</v>
      </c>
      <c r="AS91" s="19" t="s">
        <v>157</v>
      </c>
      <c r="AT91" s="19" t="s">
        <v>158</v>
      </c>
      <c r="AU91" s="19"/>
      <c r="AV91" s="19" t="s">
        <v>122</v>
      </c>
      <c r="AW91" s="19"/>
      <c r="AX91" s="19" t="s">
        <v>124</v>
      </c>
      <c r="AY91" s="19" t="s">
        <v>159</v>
      </c>
      <c r="AZ91" s="19" t="s">
        <v>160</v>
      </c>
      <c r="BA91" s="20">
        <v>44676</v>
      </c>
      <c r="BB91" s="19" t="s">
        <v>1388</v>
      </c>
      <c r="BC91" s="19" t="s">
        <v>1783</v>
      </c>
      <c r="BD91" s="19" t="s">
        <v>1784</v>
      </c>
      <c r="BE91" s="19" t="s">
        <v>130</v>
      </c>
      <c r="BF91" s="19" t="s">
        <v>1785</v>
      </c>
      <c r="BG91" s="19"/>
      <c r="BH91" s="19" t="s">
        <v>1786</v>
      </c>
      <c r="BI91" s="19" t="s">
        <v>1786</v>
      </c>
      <c r="BJ91" s="19" t="s">
        <v>166</v>
      </c>
      <c r="BK91" s="19" t="s">
        <v>167</v>
      </c>
      <c r="BL91" s="19" t="s">
        <v>168</v>
      </c>
      <c r="BM91" s="19" t="s">
        <v>169</v>
      </c>
      <c r="BN91" s="21">
        <v>2.726</v>
      </c>
      <c r="BO91" s="21">
        <v>103.83334000000001</v>
      </c>
      <c r="BQ91" s="2"/>
      <c r="BR91" s="2"/>
      <c r="BS91" s="2"/>
      <c r="BT91" s="2"/>
      <c r="BU91" s="22"/>
      <c r="BV91" s="2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</row>
    <row r="92" spans="1:95" x14ac:dyDescent="0.25">
      <c r="A92" s="18">
        <v>89</v>
      </c>
      <c r="B92" s="19" t="s">
        <v>1787</v>
      </c>
      <c r="C92" s="19" t="s">
        <v>1788</v>
      </c>
      <c r="D92" s="20">
        <v>45994</v>
      </c>
      <c r="E92" s="20">
        <v>30094</v>
      </c>
      <c r="F92" s="19"/>
      <c r="G92" s="19"/>
      <c r="H92" s="19" t="s">
        <v>94</v>
      </c>
      <c r="I92" s="19"/>
      <c r="J92" s="19"/>
      <c r="K92" s="19"/>
      <c r="L92" s="19" t="s">
        <v>140</v>
      </c>
      <c r="M92" s="19" t="s">
        <v>141</v>
      </c>
      <c r="N92" s="19" t="s">
        <v>1789</v>
      </c>
      <c r="O92" s="19" t="s">
        <v>100</v>
      </c>
      <c r="P92" s="19"/>
      <c r="Q92" s="19"/>
      <c r="R92" s="19"/>
      <c r="S92" s="19"/>
      <c r="T92" s="19"/>
      <c r="U92" s="19"/>
      <c r="V92" s="19"/>
      <c r="W92" s="19"/>
      <c r="X92" s="19"/>
      <c r="Y92" s="19" t="s">
        <v>101</v>
      </c>
      <c r="Z92" s="19" t="s">
        <v>102</v>
      </c>
      <c r="AA92" s="19" t="s">
        <v>103</v>
      </c>
      <c r="AB92" s="19" t="s">
        <v>402</v>
      </c>
      <c r="AC92" s="19" t="s">
        <v>403</v>
      </c>
      <c r="AD92" s="19" t="s">
        <v>1790</v>
      </c>
      <c r="AE92" s="19" t="s">
        <v>1791</v>
      </c>
      <c r="AF92" s="19"/>
      <c r="AG92" s="19" t="s">
        <v>1792</v>
      </c>
      <c r="AH92" s="19" t="s">
        <v>515</v>
      </c>
      <c r="AI92" s="19" t="s">
        <v>111</v>
      </c>
      <c r="AJ92" s="19" t="s">
        <v>1793</v>
      </c>
      <c r="AK92" s="19"/>
      <c r="AL92" s="19"/>
      <c r="AM92" s="19" t="s">
        <v>1794</v>
      </c>
      <c r="AN92" s="19" t="s">
        <v>1795</v>
      </c>
      <c r="AO92" s="19" t="s">
        <v>1729</v>
      </c>
      <c r="AP92" s="19" t="s">
        <v>1730</v>
      </c>
      <c r="AQ92" s="19" t="s">
        <v>117</v>
      </c>
      <c r="AR92" s="19" t="s">
        <v>1731</v>
      </c>
      <c r="AS92" s="19" t="s">
        <v>1732</v>
      </c>
      <c r="AT92" s="19" t="s">
        <v>1733</v>
      </c>
      <c r="AU92" s="19" t="s">
        <v>168</v>
      </c>
      <c r="AV92" s="19" t="s">
        <v>168</v>
      </c>
      <c r="AW92" s="19" t="s">
        <v>1734</v>
      </c>
      <c r="AX92" s="19" t="s">
        <v>262</v>
      </c>
      <c r="AY92" s="19" t="s">
        <v>1735</v>
      </c>
      <c r="AZ92" s="19" t="s">
        <v>1736</v>
      </c>
      <c r="BA92" s="20">
        <v>42224</v>
      </c>
      <c r="BB92" s="19" t="s">
        <v>1796</v>
      </c>
      <c r="BC92" s="19" t="s">
        <v>1797</v>
      </c>
      <c r="BD92" s="19" t="s">
        <v>1798</v>
      </c>
      <c r="BE92" s="19" t="s">
        <v>130</v>
      </c>
      <c r="BF92" s="19" t="s">
        <v>1799</v>
      </c>
      <c r="BG92" s="19"/>
      <c r="BH92" s="19" t="s">
        <v>1800</v>
      </c>
      <c r="BI92" s="19" t="s">
        <v>1800</v>
      </c>
      <c r="BJ92" s="19" t="s">
        <v>194</v>
      </c>
      <c r="BK92" s="19" t="s">
        <v>591</v>
      </c>
      <c r="BL92" s="19" t="s">
        <v>122</v>
      </c>
      <c r="BM92" s="19" t="s">
        <v>592</v>
      </c>
      <c r="BN92" s="21">
        <v>0</v>
      </c>
      <c r="BO92" s="21">
        <v>0</v>
      </c>
      <c r="BQ92" s="2"/>
      <c r="BR92" s="2"/>
      <c r="BS92" s="2"/>
      <c r="BT92" s="2"/>
      <c r="BU92" s="22"/>
      <c r="BV92" s="2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</row>
    <row r="93" spans="1:95" x14ac:dyDescent="0.25">
      <c r="A93" s="18">
        <v>90</v>
      </c>
      <c r="B93" s="19" t="s">
        <v>1801</v>
      </c>
      <c r="C93" s="19" t="s">
        <v>1802</v>
      </c>
      <c r="D93" s="20">
        <v>45995</v>
      </c>
      <c r="E93" s="20">
        <v>32756</v>
      </c>
      <c r="F93" s="19" t="s">
        <v>1803</v>
      </c>
      <c r="G93" s="19" t="s">
        <v>139</v>
      </c>
      <c r="H93" s="19" t="s">
        <v>94</v>
      </c>
      <c r="I93" s="19"/>
      <c r="J93" s="19"/>
      <c r="K93" s="19"/>
      <c r="L93" s="19" t="s">
        <v>101</v>
      </c>
      <c r="M93" s="19" t="s">
        <v>290</v>
      </c>
      <c r="N93" s="19" t="s">
        <v>1804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 t="s">
        <v>101</v>
      </c>
      <c r="Z93" s="19" t="s">
        <v>102</v>
      </c>
      <c r="AA93" s="19" t="s">
        <v>103</v>
      </c>
      <c r="AB93" s="19" t="s">
        <v>143</v>
      </c>
      <c r="AC93" s="19" t="s">
        <v>144</v>
      </c>
      <c r="AD93" s="19" t="s">
        <v>1805</v>
      </c>
      <c r="AE93" s="19"/>
      <c r="AF93" s="19" t="s">
        <v>1806</v>
      </c>
      <c r="AG93" s="19" t="s">
        <v>1807</v>
      </c>
      <c r="AH93" s="19" t="s">
        <v>1808</v>
      </c>
      <c r="AI93" s="19" t="s">
        <v>111</v>
      </c>
      <c r="AJ93" s="19" t="s">
        <v>1809</v>
      </c>
      <c r="AK93" s="19"/>
      <c r="AL93" s="19"/>
      <c r="AM93" s="19" t="s">
        <v>1810</v>
      </c>
      <c r="AN93" s="19" t="s">
        <v>1811</v>
      </c>
      <c r="AO93" s="19" t="s">
        <v>1812</v>
      </c>
      <c r="AP93" s="19" t="s">
        <v>1813</v>
      </c>
      <c r="AQ93" s="19" t="s">
        <v>117</v>
      </c>
      <c r="AR93" s="19" t="s">
        <v>1814</v>
      </c>
      <c r="AS93" s="19" t="s">
        <v>1815</v>
      </c>
      <c r="AT93" s="19" t="s">
        <v>1816</v>
      </c>
      <c r="AU93" s="19"/>
      <c r="AV93" s="19" t="s">
        <v>122</v>
      </c>
      <c r="AW93" s="19" t="s">
        <v>1817</v>
      </c>
      <c r="AX93" s="19" t="s">
        <v>124</v>
      </c>
      <c r="AY93" s="19" t="s">
        <v>1818</v>
      </c>
      <c r="AZ93" s="19" t="s">
        <v>1819</v>
      </c>
      <c r="BA93" s="20">
        <v>44657</v>
      </c>
      <c r="BB93" s="19" t="s">
        <v>444</v>
      </c>
      <c r="BC93" s="19" t="s">
        <v>1820</v>
      </c>
      <c r="BD93" s="19" t="s">
        <v>1820</v>
      </c>
      <c r="BE93" s="19" t="s">
        <v>130</v>
      </c>
      <c r="BF93" s="19" t="s">
        <v>1821</v>
      </c>
      <c r="BG93" s="19"/>
      <c r="BH93" s="19" t="s">
        <v>1822</v>
      </c>
      <c r="BI93" s="19" t="s">
        <v>1822</v>
      </c>
      <c r="BJ93" s="19" t="s">
        <v>166</v>
      </c>
      <c r="BK93" s="19" t="s">
        <v>195</v>
      </c>
      <c r="BL93" s="19" t="s">
        <v>122</v>
      </c>
      <c r="BM93" s="19" t="s">
        <v>196</v>
      </c>
      <c r="BN93" s="21">
        <v>81.335999999999999</v>
      </c>
      <c r="BO93" s="21">
        <v>3098.08824</v>
      </c>
      <c r="BQ93" s="2"/>
      <c r="BR93" s="2"/>
      <c r="BS93" s="2"/>
      <c r="BT93" s="2"/>
      <c r="BU93" s="22"/>
      <c r="BV93" s="2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</row>
    <row r="94" spans="1:95" x14ac:dyDescent="0.25">
      <c r="A94" s="18">
        <v>91</v>
      </c>
      <c r="B94" s="19" t="s">
        <v>1823</v>
      </c>
      <c r="C94" s="19" t="s">
        <v>1824</v>
      </c>
      <c r="D94" s="20">
        <v>46006</v>
      </c>
      <c r="E94" s="20">
        <v>22916</v>
      </c>
      <c r="F94" s="19"/>
      <c r="G94" s="19"/>
      <c r="H94" s="19" t="s">
        <v>94</v>
      </c>
      <c r="I94" s="19"/>
      <c r="J94" s="19" t="s">
        <v>287</v>
      </c>
      <c r="K94" s="19" t="s">
        <v>288</v>
      </c>
      <c r="L94" s="19" t="s">
        <v>1825</v>
      </c>
      <c r="M94" s="19" t="s">
        <v>610</v>
      </c>
      <c r="N94" s="19" t="s">
        <v>1826</v>
      </c>
      <c r="O94" s="19" t="s">
        <v>100</v>
      </c>
      <c r="P94" s="19"/>
      <c r="Q94" s="19"/>
      <c r="R94" s="19"/>
      <c r="S94" s="19"/>
      <c r="T94" s="19"/>
      <c r="U94" s="19"/>
      <c r="V94" s="19"/>
      <c r="W94" s="19"/>
      <c r="X94" s="19"/>
      <c r="Y94" s="19" t="s">
        <v>101</v>
      </c>
      <c r="Z94" s="19" t="s">
        <v>102</v>
      </c>
      <c r="AA94" s="19" t="s">
        <v>103</v>
      </c>
      <c r="AB94" s="19" t="s">
        <v>1222</v>
      </c>
      <c r="AC94" s="19" t="s">
        <v>1223</v>
      </c>
      <c r="AD94" s="19" t="s">
        <v>1827</v>
      </c>
      <c r="AE94" s="19" t="s">
        <v>1828</v>
      </c>
      <c r="AF94" s="19" t="s">
        <v>1829</v>
      </c>
      <c r="AG94" s="19" t="s">
        <v>623</v>
      </c>
      <c r="AH94" s="19" t="s">
        <v>124</v>
      </c>
      <c r="AI94" s="19" t="s">
        <v>111</v>
      </c>
      <c r="AJ94" s="19" t="s">
        <v>1830</v>
      </c>
      <c r="AK94" s="19"/>
      <c r="AL94" s="19"/>
      <c r="AM94" s="19" t="s">
        <v>1831</v>
      </c>
      <c r="AN94" s="19" t="s">
        <v>1832</v>
      </c>
      <c r="AO94" s="19" t="s">
        <v>1833</v>
      </c>
      <c r="AP94" s="19" t="s">
        <v>1834</v>
      </c>
      <c r="AQ94" s="19" t="s">
        <v>117</v>
      </c>
      <c r="AR94" s="19" t="s">
        <v>1835</v>
      </c>
      <c r="AS94" s="19" t="s">
        <v>1836</v>
      </c>
      <c r="AT94" s="19" t="s">
        <v>1837</v>
      </c>
      <c r="AU94" s="19" t="s">
        <v>1838</v>
      </c>
      <c r="AV94" s="19" t="s">
        <v>1439</v>
      </c>
      <c r="AW94" s="19" t="s">
        <v>1839</v>
      </c>
      <c r="AX94" s="19" t="s">
        <v>124</v>
      </c>
      <c r="AY94" s="19" t="s">
        <v>1840</v>
      </c>
      <c r="AZ94" s="19" t="s">
        <v>1841</v>
      </c>
      <c r="BA94" s="20">
        <v>43012</v>
      </c>
      <c r="BB94" s="19" t="s">
        <v>331</v>
      </c>
      <c r="BC94" s="19" t="s">
        <v>1842</v>
      </c>
      <c r="BD94" s="19" t="s">
        <v>616</v>
      </c>
      <c r="BE94" s="19" t="s">
        <v>130</v>
      </c>
      <c r="BF94" s="19" t="s">
        <v>1843</v>
      </c>
      <c r="BG94" s="19" t="s">
        <v>1844</v>
      </c>
      <c r="BH94" s="19" t="s">
        <v>1845</v>
      </c>
      <c r="BI94" s="19" t="s">
        <v>1845</v>
      </c>
      <c r="BJ94" s="19" t="s">
        <v>166</v>
      </c>
      <c r="BK94" s="19" t="s">
        <v>1846</v>
      </c>
      <c r="BL94" s="19" t="s">
        <v>1847</v>
      </c>
      <c r="BM94" s="19" t="s">
        <v>196</v>
      </c>
      <c r="BN94" s="21">
        <v>11.47</v>
      </c>
      <c r="BO94" s="21">
        <v>2516.1738999999998</v>
      </c>
      <c r="BQ94" s="2"/>
      <c r="BR94" s="2"/>
      <c r="BS94" s="2"/>
      <c r="BT94" s="2"/>
      <c r="BU94" s="22"/>
      <c r="BV94" s="2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</row>
    <row r="95" spans="1:95" x14ac:dyDescent="0.25">
      <c r="A95" s="18">
        <v>92</v>
      </c>
      <c r="B95" s="19" t="s">
        <v>1848</v>
      </c>
      <c r="C95" s="19" t="s">
        <v>1849</v>
      </c>
      <c r="D95" s="20">
        <v>46002</v>
      </c>
      <c r="E95" s="20">
        <v>34514</v>
      </c>
      <c r="F95" s="19" t="s">
        <v>1850</v>
      </c>
      <c r="G95" s="19" t="s">
        <v>139</v>
      </c>
      <c r="H95" s="19" t="s">
        <v>94</v>
      </c>
      <c r="I95" s="19"/>
      <c r="J95" s="19"/>
      <c r="K95" s="19"/>
      <c r="L95" s="19" t="s">
        <v>244</v>
      </c>
      <c r="M95" s="19" t="s">
        <v>245</v>
      </c>
      <c r="N95" s="19" t="s">
        <v>1851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 t="s">
        <v>101</v>
      </c>
      <c r="Z95" s="19" t="s">
        <v>102</v>
      </c>
      <c r="AA95" s="19" t="s">
        <v>103</v>
      </c>
      <c r="AB95" s="19" t="s">
        <v>671</v>
      </c>
      <c r="AC95" s="19" t="s">
        <v>672</v>
      </c>
      <c r="AD95" s="19" t="s">
        <v>1852</v>
      </c>
      <c r="AE95" s="19" t="s">
        <v>1853</v>
      </c>
      <c r="AF95" s="19" t="s">
        <v>1854</v>
      </c>
      <c r="AG95" s="19" t="s">
        <v>891</v>
      </c>
      <c r="AH95" s="19" t="s">
        <v>110</v>
      </c>
      <c r="AI95" s="19"/>
      <c r="AJ95" s="19" t="s">
        <v>1855</v>
      </c>
      <c r="AK95" s="19"/>
      <c r="AL95" s="19"/>
      <c r="AM95" s="19" t="s">
        <v>1856</v>
      </c>
      <c r="AN95" s="19" t="s">
        <v>1857</v>
      </c>
      <c r="AO95" s="19" t="s">
        <v>255</v>
      </c>
      <c r="AP95" s="19" t="s">
        <v>256</v>
      </c>
      <c r="AQ95" s="19" t="s">
        <v>117</v>
      </c>
      <c r="AR95" s="19" t="s">
        <v>257</v>
      </c>
      <c r="AS95" s="19" t="s">
        <v>258</v>
      </c>
      <c r="AT95" s="19" t="s">
        <v>259</v>
      </c>
      <c r="AU95" s="19" t="s">
        <v>260</v>
      </c>
      <c r="AV95" s="19" t="s">
        <v>260</v>
      </c>
      <c r="AW95" s="19" t="s">
        <v>261</v>
      </c>
      <c r="AX95" s="19" t="s">
        <v>262</v>
      </c>
      <c r="AY95" s="19" t="s">
        <v>263</v>
      </c>
      <c r="AZ95" s="19" t="s">
        <v>264</v>
      </c>
      <c r="BA95" s="20">
        <v>43627</v>
      </c>
      <c r="BB95" s="19" t="s">
        <v>1002</v>
      </c>
      <c r="BC95" s="19" t="s">
        <v>1858</v>
      </c>
      <c r="BD95" s="19" t="s">
        <v>1859</v>
      </c>
      <c r="BE95" s="19" t="s">
        <v>130</v>
      </c>
      <c r="BF95" s="19" t="s">
        <v>1860</v>
      </c>
      <c r="BG95" s="19"/>
      <c r="BH95" s="19" t="s">
        <v>1861</v>
      </c>
      <c r="BI95" s="19" t="s">
        <v>1861</v>
      </c>
      <c r="BJ95" s="19" t="s">
        <v>166</v>
      </c>
      <c r="BK95" s="19" t="s">
        <v>167</v>
      </c>
      <c r="BL95" s="19" t="s">
        <v>168</v>
      </c>
      <c r="BM95" s="19" t="s">
        <v>169</v>
      </c>
      <c r="BN95" s="21">
        <v>222.93899999999999</v>
      </c>
      <c r="BO95" s="21">
        <v>10033.5480462</v>
      </c>
      <c r="BQ95" s="2"/>
      <c r="BR95" s="2"/>
      <c r="BS95" s="2"/>
      <c r="BT95" s="2"/>
      <c r="BU95" s="22"/>
      <c r="BV95" s="2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</row>
    <row r="96" spans="1:95" x14ac:dyDescent="0.25">
      <c r="A96" s="18">
        <v>93</v>
      </c>
      <c r="B96" s="19" t="s">
        <v>1862</v>
      </c>
      <c r="C96" s="19" t="s">
        <v>1863</v>
      </c>
      <c r="D96" s="20">
        <v>46003</v>
      </c>
      <c r="E96" s="20">
        <v>33197</v>
      </c>
      <c r="F96" s="19"/>
      <c r="G96" s="19"/>
      <c r="H96" s="19" t="s">
        <v>94</v>
      </c>
      <c r="I96" s="19"/>
      <c r="J96" s="19"/>
      <c r="K96" s="19"/>
      <c r="L96" s="19" t="s">
        <v>467</v>
      </c>
      <c r="M96" s="19" t="s">
        <v>468</v>
      </c>
      <c r="N96" s="19" t="s">
        <v>1864</v>
      </c>
      <c r="O96" s="19" t="s">
        <v>100</v>
      </c>
      <c r="P96" s="19"/>
      <c r="Q96" s="19"/>
      <c r="R96" s="19"/>
      <c r="S96" s="19"/>
      <c r="T96" s="19"/>
      <c r="U96" s="19"/>
      <c r="V96" s="19"/>
      <c r="W96" s="19"/>
      <c r="X96" s="19"/>
      <c r="Y96" s="19" t="s">
        <v>101</v>
      </c>
      <c r="Z96" s="19" t="s">
        <v>102</v>
      </c>
      <c r="AA96" s="19" t="s">
        <v>103</v>
      </c>
      <c r="AB96" s="19" t="s">
        <v>1372</v>
      </c>
      <c r="AC96" s="19" t="s">
        <v>1373</v>
      </c>
      <c r="AD96" s="19" t="s">
        <v>1865</v>
      </c>
      <c r="AE96" s="19" t="s">
        <v>1866</v>
      </c>
      <c r="AF96" s="19" t="s">
        <v>1867</v>
      </c>
      <c r="AG96" s="19" t="s">
        <v>1868</v>
      </c>
      <c r="AH96" s="19" t="s">
        <v>327</v>
      </c>
      <c r="AI96" s="19" t="s">
        <v>111</v>
      </c>
      <c r="AJ96" s="19" t="s">
        <v>1869</v>
      </c>
      <c r="AK96" s="19"/>
      <c r="AL96" s="19"/>
      <c r="AM96" s="19" t="s">
        <v>1870</v>
      </c>
      <c r="AN96" s="19" t="s">
        <v>1871</v>
      </c>
      <c r="AO96" s="19" t="s">
        <v>1095</v>
      </c>
      <c r="AP96" s="19" t="s">
        <v>1096</v>
      </c>
      <c r="AQ96" s="19" t="s">
        <v>117</v>
      </c>
      <c r="AR96" s="19" t="s">
        <v>1097</v>
      </c>
      <c r="AS96" s="19" t="s">
        <v>1098</v>
      </c>
      <c r="AT96" s="19" t="s">
        <v>1099</v>
      </c>
      <c r="AU96" s="19" t="s">
        <v>1100</v>
      </c>
      <c r="AV96" s="19" t="s">
        <v>219</v>
      </c>
      <c r="AW96" s="19" t="s">
        <v>1101</v>
      </c>
      <c r="AX96" s="19" t="s">
        <v>124</v>
      </c>
      <c r="AY96" s="19"/>
      <c r="AZ96" s="19" t="s">
        <v>1102</v>
      </c>
      <c r="BA96" s="20">
        <v>40110</v>
      </c>
      <c r="BB96" s="19" t="s">
        <v>444</v>
      </c>
      <c r="BC96" s="19" t="s">
        <v>1868</v>
      </c>
      <c r="BD96" s="19" t="s">
        <v>1868</v>
      </c>
      <c r="BE96" s="19" t="s">
        <v>130</v>
      </c>
      <c r="BF96" s="19" t="s">
        <v>1872</v>
      </c>
      <c r="BG96" s="19"/>
      <c r="BH96" s="19" t="s">
        <v>1873</v>
      </c>
      <c r="BI96" s="19" t="s">
        <v>1873</v>
      </c>
      <c r="BJ96" s="19" t="s">
        <v>194</v>
      </c>
      <c r="BK96" s="19" t="s">
        <v>591</v>
      </c>
      <c r="BL96" s="19" t="s">
        <v>122</v>
      </c>
      <c r="BM96" s="19" t="s">
        <v>592</v>
      </c>
      <c r="BN96" s="21">
        <v>26.132999999999999</v>
      </c>
      <c r="BO96" s="21">
        <v>1011.3000606000001</v>
      </c>
      <c r="BQ96" s="2"/>
      <c r="BR96" s="2"/>
      <c r="BS96" s="2"/>
      <c r="BT96" s="2"/>
      <c r="BU96" s="22"/>
      <c r="BV96" s="2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</row>
    <row r="97" spans="1:95" x14ac:dyDescent="0.25">
      <c r="A97" s="18">
        <v>94</v>
      </c>
      <c r="B97" s="19" t="s">
        <v>1874</v>
      </c>
      <c r="C97" s="19" t="s">
        <v>1875</v>
      </c>
      <c r="D97" s="20">
        <v>46005</v>
      </c>
      <c r="E97" s="20">
        <v>33855</v>
      </c>
      <c r="F97" s="19"/>
      <c r="G97" s="19"/>
      <c r="H97" s="19" t="s">
        <v>94</v>
      </c>
      <c r="I97" s="19"/>
      <c r="J97" s="19"/>
      <c r="K97" s="19"/>
      <c r="L97" s="19" t="s">
        <v>289</v>
      </c>
      <c r="M97" s="19" t="s">
        <v>290</v>
      </c>
      <c r="N97" s="19" t="s">
        <v>1876</v>
      </c>
      <c r="O97" s="19" t="s">
        <v>100</v>
      </c>
      <c r="P97" s="19"/>
      <c r="Q97" s="19"/>
      <c r="R97" s="19"/>
      <c r="S97" s="19"/>
      <c r="T97" s="19"/>
      <c r="U97" s="19"/>
      <c r="V97" s="19"/>
      <c r="W97" s="19"/>
      <c r="X97" s="19"/>
      <c r="Y97" s="19" t="s">
        <v>101</v>
      </c>
      <c r="Z97" s="19" t="s">
        <v>102</v>
      </c>
      <c r="AA97" s="19" t="s">
        <v>103</v>
      </c>
      <c r="AB97" s="19" t="s">
        <v>487</v>
      </c>
      <c r="AC97" s="19" t="s">
        <v>488</v>
      </c>
      <c r="AD97" s="19" t="s">
        <v>1877</v>
      </c>
      <c r="AE97" s="19"/>
      <c r="AF97" s="19"/>
      <c r="AG97" s="19" t="s">
        <v>490</v>
      </c>
      <c r="AH97" s="19" t="s">
        <v>262</v>
      </c>
      <c r="AI97" s="19" t="s">
        <v>111</v>
      </c>
      <c r="AJ97" s="19" t="s">
        <v>1878</v>
      </c>
      <c r="AK97" s="19"/>
      <c r="AL97" s="19"/>
      <c r="AM97" s="19" t="s">
        <v>1879</v>
      </c>
      <c r="AN97" s="19" t="s">
        <v>1880</v>
      </c>
      <c r="AO97" s="19" t="s">
        <v>494</v>
      </c>
      <c r="AP97" s="19" t="s">
        <v>495</v>
      </c>
      <c r="AQ97" s="19" t="s">
        <v>117</v>
      </c>
      <c r="AR97" s="19" t="s">
        <v>496</v>
      </c>
      <c r="AS97" s="19" t="s">
        <v>497</v>
      </c>
      <c r="AT97" s="19" t="s">
        <v>498</v>
      </c>
      <c r="AU97" s="19" t="s">
        <v>499</v>
      </c>
      <c r="AV97" s="19" t="s">
        <v>168</v>
      </c>
      <c r="AW97" s="19" t="s">
        <v>500</v>
      </c>
      <c r="AX97" s="19" t="s">
        <v>262</v>
      </c>
      <c r="AY97" s="19" t="s">
        <v>501</v>
      </c>
      <c r="AZ97" s="19" t="s">
        <v>502</v>
      </c>
      <c r="BA97" s="20">
        <v>45832</v>
      </c>
      <c r="BB97" s="19" t="s">
        <v>265</v>
      </c>
      <c r="BC97" s="19" t="s">
        <v>1881</v>
      </c>
      <c r="BD97" s="19" t="s">
        <v>260</v>
      </c>
      <c r="BE97" s="19" t="s">
        <v>130</v>
      </c>
      <c r="BF97" s="19" t="s">
        <v>1882</v>
      </c>
      <c r="BG97" s="19"/>
      <c r="BH97" s="19" t="s">
        <v>1883</v>
      </c>
      <c r="BI97" s="19" t="s">
        <v>1883</v>
      </c>
      <c r="BJ97" s="19" t="s">
        <v>1394</v>
      </c>
      <c r="BK97" s="19" t="s">
        <v>167</v>
      </c>
      <c r="BL97" s="19" t="s">
        <v>168</v>
      </c>
      <c r="BM97" s="19" t="s">
        <v>169</v>
      </c>
      <c r="BN97" s="21">
        <v>0</v>
      </c>
      <c r="BO97" s="21">
        <v>0</v>
      </c>
      <c r="BQ97" s="2"/>
      <c r="BR97" s="2"/>
      <c r="BS97" s="2"/>
      <c r="BT97" s="2"/>
      <c r="BU97" s="22"/>
      <c r="BV97" s="2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</row>
    <row r="98" spans="1:95" x14ac:dyDescent="0.25">
      <c r="A98" s="18">
        <v>95</v>
      </c>
      <c r="B98" s="19" t="s">
        <v>1884</v>
      </c>
      <c r="C98" s="19" t="s">
        <v>1885</v>
      </c>
      <c r="D98" s="20">
        <v>46006</v>
      </c>
      <c r="E98" s="20">
        <v>36161</v>
      </c>
      <c r="F98" s="19"/>
      <c r="G98" s="19"/>
      <c r="H98" s="19" t="s">
        <v>94</v>
      </c>
      <c r="I98" s="19"/>
      <c r="J98" s="19"/>
      <c r="K98" s="19"/>
      <c r="L98" s="19" t="s">
        <v>140</v>
      </c>
      <c r="M98" s="19" t="s">
        <v>141</v>
      </c>
      <c r="N98" s="19" t="s">
        <v>1886</v>
      </c>
      <c r="O98" s="19" t="s">
        <v>100</v>
      </c>
      <c r="P98" s="19"/>
      <c r="Q98" s="19"/>
      <c r="R98" s="19"/>
      <c r="S98" s="19"/>
      <c r="T98" s="19"/>
      <c r="U98" s="19"/>
      <c r="V98" s="19"/>
      <c r="W98" s="19"/>
      <c r="X98" s="19"/>
      <c r="Y98" s="19" t="s">
        <v>101</v>
      </c>
      <c r="Z98" s="19" t="s">
        <v>102</v>
      </c>
      <c r="AA98" s="19" t="s">
        <v>103</v>
      </c>
      <c r="AB98" s="19" t="s">
        <v>1887</v>
      </c>
      <c r="AC98" s="19" t="s">
        <v>1888</v>
      </c>
      <c r="AD98" s="19" t="s">
        <v>1889</v>
      </c>
      <c r="AE98" s="19" t="s">
        <v>1890</v>
      </c>
      <c r="AF98" s="19" t="s">
        <v>1891</v>
      </c>
      <c r="AG98" s="19" t="s">
        <v>1892</v>
      </c>
      <c r="AH98" s="19" t="s">
        <v>262</v>
      </c>
      <c r="AI98" s="19" t="s">
        <v>111</v>
      </c>
      <c r="AJ98" s="19" t="s">
        <v>1893</v>
      </c>
      <c r="AK98" s="19"/>
      <c r="AL98" s="19"/>
      <c r="AM98" s="19" t="s">
        <v>1894</v>
      </c>
      <c r="AN98" s="19" t="s">
        <v>1895</v>
      </c>
      <c r="AO98" s="19" t="s">
        <v>181</v>
      </c>
      <c r="AP98" s="19" t="s">
        <v>182</v>
      </c>
      <c r="AQ98" s="19" t="s">
        <v>117</v>
      </c>
      <c r="AR98" s="19" t="s">
        <v>183</v>
      </c>
      <c r="AS98" s="19" t="s">
        <v>184</v>
      </c>
      <c r="AT98" s="19" t="s">
        <v>185</v>
      </c>
      <c r="AU98" s="19"/>
      <c r="AV98" s="19" t="s">
        <v>186</v>
      </c>
      <c r="AW98" s="19" t="s">
        <v>187</v>
      </c>
      <c r="AX98" s="19" t="s">
        <v>188</v>
      </c>
      <c r="AY98" s="19"/>
      <c r="AZ98" s="19" t="s">
        <v>189</v>
      </c>
      <c r="BA98" s="20">
        <v>44673</v>
      </c>
      <c r="BB98" s="19" t="s">
        <v>1002</v>
      </c>
      <c r="BC98" s="19" t="s">
        <v>1896</v>
      </c>
      <c r="BD98" s="19" t="s">
        <v>260</v>
      </c>
      <c r="BE98" s="19" t="s">
        <v>130</v>
      </c>
      <c r="BF98" s="19" t="s">
        <v>1897</v>
      </c>
      <c r="BG98" s="19"/>
      <c r="BH98" s="19" t="s">
        <v>1898</v>
      </c>
      <c r="BI98" s="19" t="s">
        <v>1898</v>
      </c>
      <c r="BJ98" s="19" t="s">
        <v>194</v>
      </c>
      <c r="BK98" s="19" t="s">
        <v>195</v>
      </c>
      <c r="BL98" s="19" t="s">
        <v>122</v>
      </c>
      <c r="BM98" s="19" t="s">
        <v>196</v>
      </c>
      <c r="BN98" s="21">
        <v>9.5470000000000006</v>
      </c>
      <c r="BO98" s="21">
        <v>200.96148590000001</v>
      </c>
      <c r="BQ98" s="2"/>
      <c r="BR98" s="2"/>
      <c r="BS98" s="2"/>
      <c r="BT98" s="2"/>
      <c r="BU98" s="22"/>
      <c r="BV98" s="2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</row>
    <row r="99" spans="1:95" x14ac:dyDescent="0.25">
      <c r="A99" s="18">
        <v>96</v>
      </c>
      <c r="B99" s="19" t="s">
        <v>1899</v>
      </c>
      <c r="C99" s="19" t="s">
        <v>1900</v>
      </c>
      <c r="D99" s="20">
        <v>46006</v>
      </c>
      <c r="E99" s="20">
        <v>29454</v>
      </c>
      <c r="F99" s="19"/>
      <c r="G99" s="19"/>
      <c r="H99" s="19" t="s">
        <v>94</v>
      </c>
      <c r="I99" s="19"/>
      <c r="J99" s="19"/>
      <c r="K99" s="19"/>
      <c r="L99" s="19" t="s">
        <v>97</v>
      </c>
      <c r="M99" s="19" t="s">
        <v>98</v>
      </c>
      <c r="N99" s="19" t="s">
        <v>1901</v>
      </c>
      <c r="O99" s="19" t="s">
        <v>100</v>
      </c>
      <c r="P99" s="19"/>
      <c r="Q99" s="19"/>
      <c r="R99" s="19"/>
      <c r="S99" s="19"/>
      <c r="T99" s="19"/>
      <c r="U99" s="19"/>
      <c r="V99" s="19"/>
      <c r="W99" s="19"/>
      <c r="X99" s="19"/>
      <c r="Y99" s="19" t="s">
        <v>101</v>
      </c>
      <c r="Z99" s="19" t="s">
        <v>102</v>
      </c>
      <c r="AA99" s="19" t="s">
        <v>103</v>
      </c>
      <c r="AB99" s="19" t="s">
        <v>1025</v>
      </c>
      <c r="AC99" s="19" t="s">
        <v>1026</v>
      </c>
      <c r="AD99" s="19" t="s">
        <v>1902</v>
      </c>
      <c r="AE99" s="19" t="s">
        <v>1903</v>
      </c>
      <c r="AF99" s="19" t="s">
        <v>1904</v>
      </c>
      <c r="AG99" s="19" t="s">
        <v>623</v>
      </c>
      <c r="AH99" s="19" t="s">
        <v>124</v>
      </c>
      <c r="AI99" s="19" t="s">
        <v>111</v>
      </c>
      <c r="AJ99" s="19" t="s">
        <v>1905</v>
      </c>
      <c r="AK99" s="19"/>
      <c r="AL99" s="19"/>
      <c r="AM99" s="19" t="s">
        <v>1906</v>
      </c>
      <c r="AN99" s="19" t="s">
        <v>1907</v>
      </c>
      <c r="AO99" s="19" t="s">
        <v>1908</v>
      </c>
      <c r="AP99" s="19" t="s">
        <v>1909</v>
      </c>
      <c r="AQ99" s="19" t="s">
        <v>94</v>
      </c>
      <c r="AR99" s="19" t="s">
        <v>1910</v>
      </c>
      <c r="AS99" s="19" t="s">
        <v>1911</v>
      </c>
      <c r="AT99" s="19" t="s">
        <v>1912</v>
      </c>
      <c r="AU99" s="19" t="s">
        <v>1913</v>
      </c>
      <c r="AV99" s="19" t="s">
        <v>222</v>
      </c>
      <c r="AW99" s="19" t="s">
        <v>1914</v>
      </c>
      <c r="AX99" s="19" t="s">
        <v>515</v>
      </c>
      <c r="AY99" s="19" t="s">
        <v>1915</v>
      </c>
      <c r="AZ99" s="19" t="s">
        <v>1916</v>
      </c>
      <c r="BA99" s="20">
        <v>39997</v>
      </c>
      <c r="BB99" s="19" t="s">
        <v>127</v>
      </c>
      <c r="BC99" s="19" t="s">
        <v>1917</v>
      </c>
      <c r="BD99" s="19" t="s">
        <v>122</v>
      </c>
      <c r="BE99" s="19" t="s">
        <v>130</v>
      </c>
      <c r="BF99" s="19" t="s">
        <v>1918</v>
      </c>
      <c r="BG99" s="19" t="s">
        <v>1919</v>
      </c>
      <c r="BH99" s="19" t="s">
        <v>1920</v>
      </c>
      <c r="BI99" s="19" t="s">
        <v>1920</v>
      </c>
      <c r="BJ99" s="19" t="s">
        <v>194</v>
      </c>
      <c r="BK99" s="19" t="s">
        <v>627</v>
      </c>
      <c r="BL99" s="19" t="s">
        <v>616</v>
      </c>
      <c r="BM99" s="19" t="s">
        <v>592</v>
      </c>
      <c r="BN99" s="21">
        <v>1684.433</v>
      </c>
      <c r="BO99" s="21">
        <v>58592.665018400003</v>
      </c>
      <c r="BQ99" s="2"/>
      <c r="BR99" s="2"/>
      <c r="BS99" s="2"/>
      <c r="BT99" s="2"/>
      <c r="BU99" s="22"/>
      <c r="BV99" s="2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</row>
    <row r="100" spans="1:95" x14ac:dyDescent="0.25">
      <c r="A100" s="18">
        <v>97</v>
      </c>
      <c r="B100" s="19" t="s">
        <v>1921</v>
      </c>
      <c r="C100" s="19" t="s">
        <v>1922</v>
      </c>
      <c r="D100" s="20">
        <v>46006</v>
      </c>
      <c r="E100" s="20">
        <v>32909</v>
      </c>
      <c r="F100" s="19"/>
      <c r="G100" s="19"/>
      <c r="H100" s="19" t="s">
        <v>94</v>
      </c>
      <c r="I100" s="19"/>
      <c r="J100" s="19"/>
      <c r="K100" s="19"/>
      <c r="L100" s="19" t="s">
        <v>97</v>
      </c>
      <c r="M100" s="19" t="s">
        <v>98</v>
      </c>
      <c r="N100" s="19" t="s">
        <v>1923</v>
      </c>
      <c r="O100" s="19" t="s">
        <v>100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 t="s">
        <v>101</v>
      </c>
      <c r="Z100" s="19" t="s">
        <v>102</v>
      </c>
      <c r="AA100" s="19" t="s">
        <v>103</v>
      </c>
      <c r="AB100" s="19" t="s">
        <v>292</v>
      </c>
      <c r="AC100" s="19" t="s">
        <v>293</v>
      </c>
      <c r="AD100" s="19" t="s">
        <v>1924</v>
      </c>
      <c r="AE100" s="19"/>
      <c r="AF100" s="19"/>
      <c r="AG100" s="19" t="s">
        <v>1925</v>
      </c>
      <c r="AH100" s="19" t="s">
        <v>1226</v>
      </c>
      <c r="AI100" s="19" t="s">
        <v>111</v>
      </c>
      <c r="AJ100" s="19" t="s">
        <v>1926</v>
      </c>
      <c r="AK100" s="19"/>
      <c r="AL100" s="19"/>
      <c r="AM100" s="19" t="s">
        <v>1927</v>
      </c>
      <c r="AN100" s="19" t="s">
        <v>1928</v>
      </c>
      <c r="AO100" s="19" t="s">
        <v>750</v>
      </c>
      <c r="AP100" s="19" t="s">
        <v>751</v>
      </c>
      <c r="AQ100" s="19" t="s">
        <v>117</v>
      </c>
      <c r="AR100" s="19" t="s">
        <v>752</v>
      </c>
      <c r="AS100" s="19" t="s">
        <v>753</v>
      </c>
      <c r="AT100" s="19" t="s">
        <v>754</v>
      </c>
      <c r="AU100" s="19"/>
      <c r="AV100" s="19" t="s">
        <v>755</v>
      </c>
      <c r="AW100" s="19" t="s">
        <v>756</v>
      </c>
      <c r="AX100" s="19" t="s">
        <v>757</v>
      </c>
      <c r="AY100" s="19" t="s">
        <v>758</v>
      </c>
      <c r="AZ100" s="19" t="s">
        <v>759</v>
      </c>
      <c r="BA100" s="20">
        <v>42966</v>
      </c>
      <c r="BB100" s="19" t="s">
        <v>1929</v>
      </c>
      <c r="BC100" s="19" t="s">
        <v>1930</v>
      </c>
      <c r="BD100" s="19" t="s">
        <v>1930</v>
      </c>
      <c r="BE100" s="19" t="s">
        <v>130</v>
      </c>
      <c r="BF100" s="19" t="s">
        <v>1931</v>
      </c>
      <c r="BG100" s="19" t="s">
        <v>1932</v>
      </c>
      <c r="BH100" s="19" t="s">
        <v>1933</v>
      </c>
      <c r="BI100" s="19" t="s">
        <v>1933</v>
      </c>
      <c r="BJ100" s="19" t="s">
        <v>1934</v>
      </c>
      <c r="BK100" s="19" t="s">
        <v>1935</v>
      </c>
      <c r="BL100" s="19" t="s">
        <v>1936</v>
      </c>
      <c r="BM100" s="19" t="s">
        <v>135</v>
      </c>
      <c r="BN100" s="21">
        <v>0</v>
      </c>
      <c r="BO100" s="21">
        <v>0</v>
      </c>
      <c r="BQ100" s="2"/>
      <c r="BR100" s="2"/>
      <c r="BS100" s="2"/>
      <c r="BT100" s="2"/>
      <c r="BU100" s="22"/>
      <c r="BV100" s="2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</row>
    <row r="101" spans="1:95" x14ac:dyDescent="0.25">
      <c r="A101" s="18">
        <v>98</v>
      </c>
      <c r="B101" s="19" t="s">
        <v>1937</v>
      </c>
      <c r="C101" s="19" t="s">
        <v>1938</v>
      </c>
      <c r="D101" s="20">
        <v>46008</v>
      </c>
      <c r="E101" s="20">
        <v>33212</v>
      </c>
      <c r="F101" s="19"/>
      <c r="G101" s="19"/>
      <c r="H101" s="19" t="s">
        <v>94</v>
      </c>
      <c r="I101" s="19"/>
      <c r="J101" s="19"/>
      <c r="K101" s="19"/>
      <c r="L101" s="19" t="s">
        <v>244</v>
      </c>
      <c r="M101" s="19" t="s">
        <v>245</v>
      </c>
      <c r="N101" s="19" t="s">
        <v>1939</v>
      </c>
      <c r="O101" s="19" t="s">
        <v>100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 t="s">
        <v>101</v>
      </c>
      <c r="Z101" s="19" t="s">
        <v>102</v>
      </c>
      <c r="AA101" s="19" t="s">
        <v>103</v>
      </c>
      <c r="AB101" s="19" t="s">
        <v>1940</v>
      </c>
      <c r="AC101" s="19" t="s">
        <v>1941</v>
      </c>
      <c r="AD101" s="19" t="s">
        <v>1942</v>
      </c>
      <c r="AE101" s="19" t="s">
        <v>1943</v>
      </c>
      <c r="AF101" s="19" t="s">
        <v>1944</v>
      </c>
      <c r="AG101" s="19" t="s">
        <v>1945</v>
      </c>
      <c r="AH101" s="19" t="s">
        <v>124</v>
      </c>
      <c r="AI101" s="19" t="s">
        <v>111</v>
      </c>
      <c r="AJ101" s="19" t="s">
        <v>1946</v>
      </c>
      <c r="AK101" s="19"/>
      <c r="AL101" s="19"/>
      <c r="AM101" s="19" t="s">
        <v>1947</v>
      </c>
      <c r="AN101" s="19" t="s">
        <v>1948</v>
      </c>
      <c r="AO101" s="19" t="s">
        <v>1949</v>
      </c>
      <c r="AP101" s="19" t="s">
        <v>1950</v>
      </c>
      <c r="AQ101" s="19" t="s">
        <v>117</v>
      </c>
      <c r="AR101" s="19" t="s">
        <v>1951</v>
      </c>
      <c r="AS101" s="19" t="s">
        <v>1952</v>
      </c>
      <c r="AT101" s="19" t="s">
        <v>1953</v>
      </c>
      <c r="AU101" s="19" t="s">
        <v>1954</v>
      </c>
      <c r="AV101" s="19" t="s">
        <v>1955</v>
      </c>
      <c r="AW101" s="19" t="s">
        <v>1956</v>
      </c>
      <c r="AX101" s="19" t="s">
        <v>124</v>
      </c>
      <c r="AY101" s="19" t="s">
        <v>1957</v>
      </c>
      <c r="AZ101" s="19" t="s">
        <v>1958</v>
      </c>
      <c r="BA101" s="20">
        <v>43368</v>
      </c>
      <c r="BB101" s="19" t="s">
        <v>479</v>
      </c>
      <c r="BC101" s="19" t="s">
        <v>1959</v>
      </c>
      <c r="BD101" s="19" t="s">
        <v>1960</v>
      </c>
      <c r="BE101" s="19" t="s">
        <v>130</v>
      </c>
      <c r="BF101" s="19" t="s">
        <v>1961</v>
      </c>
      <c r="BG101" s="19"/>
      <c r="BH101" s="19" t="s">
        <v>1962</v>
      </c>
      <c r="BI101" s="19" t="s">
        <v>1962</v>
      </c>
      <c r="BJ101" s="19" t="s">
        <v>194</v>
      </c>
      <c r="BK101" s="19" t="s">
        <v>591</v>
      </c>
      <c r="BL101" s="19" t="s">
        <v>122</v>
      </c>
      <c r="BM101" s="19" t="s">
        <v>592</v>
      </c>
      <c r="BN101" s="21">
        <v>592.53</v>
      </c>
      <c r="BO101" s="21">
        <v>400748.540538</v>
      </c>
      <c r="BQ101" s="2"/>
      <c r="BR101" s="2"/>
      <c r="BS101" s="2"/>
      <c r="BT101" s="2"/>
      <c r="BU101" s="22"/>
      <c r="BV101" s="2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</row>
    <row r="102" spans="1:95" x14ac:dyDescent="0.25">
      <c r="A102" s="18">
        <v>99</v>
      </c>
      <c r="B102" s="19" t="s">
        <v>1963</v>
      </c>
      <c r="C102" s="19" t="s">
        <v>1964</v>
      </c>
      <c r="D102" s="20">
        <v>46008</v>
      </c>
      <c r="E102" s="20">
        <v>30776</v>
      </c>
      <c r="F102" s="19"/>
      <c r="G102" s="19"/>
      <c r="H102" s="19" t="s">
        <v>94</v>
      </c>
      <c r="I102" s="19"/>
      <c r="J102" s="19"/>
      <c r="K102" s="19"/>
      <c r="L102" s="19" t="s">
        <v>467</v>
      </c>
      <c r="M102" s="19" t="s">
        <v>468</v>
      </c>
      <c r="N102" s="19" t="s">
        <v>1965</v>
      </c>
      <c r="O102" s="19" t="s">
        <v>100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 t="s">
        <v>101</v>
      </c>
      <c r="Z102" s="19" t="s">
        <v>102</v>
      </c>
      <c r="AA102" s="19" t="s">
        <v>103</v>
      </c>
      <c r="AB102" s="19" t="s">
        <v>612</v>
      </c>
      <c r="AC102" s="19" t="s">
        <v>613</v>
      </c>
      <c r="AD102" s="19" t="s">
        <v>1966</v>
      </c>
      <c r="AE102" s="19"/>
      <c r="AF102" s="19" t="s">
        <v>1967</v>
      </c>
      <c r="AG102" s="19" t="s">
        <v>277</v>
      </c>
      <c r="AH102" s="19" t="s">
        <v>124</v>
      </c>
      <c r="AI102" s="19" t="s">
        <v>111</v>
      </c>
      <c r="AJ102" s="19" t="s">
        <v>1968</v>
      </c>
      <c r="AK102" s="19"/>
      <c r="AL102" s="19"/>
      <c r="AM102" s="19" t="s">
        <v>1969</v>
      </c>
      <c r="AN102" s="19" t="s">
        <v>1970</v>
      </c>
      <c r="AO102" s="19" t="s">
        <v>1971</v>
      </c>
      <c r="AP102" s="19" t="s">
        <v>1972</v>
      </c>
      <c r="AQ102" s="19" t="s">
        <v>117</v>
      </c>
      <c r="AR102" s="19" t="s">
        <v>1973</v>
      </c>
      <c r="AS102" s="19" t="s">
        <v>1974</v>
      </c>
      <c r="AT102" s="19" t="s">
        <v>1975</v>
      </c>
      <c r="AU102" s="19"/>
      <c r="AV102" s="19" t="s">
        <v>1955</v>
      </c>
      <c r="AW102" s="19" t="s">
        <v>1976</v>
      </c>
      <c r="AX102" s="19" t="s">
        <v>901</v>
      </c>
      <c r="AY102" s="19" t="s">
        <v>1977</v>
      </c>
      <c r="AZ102" s="19" t="s">
        <v>1978</v>
      </c>
      <c r="BA102" s="20">
        <v>44769</v>
      </c>
      <c r="BB102" s="19" t="s">
        <v>444</v>
      </c>
      <c r="BC102" s="19" t="s">
        <v>1979</v>
      </c>
      <c r="BD102" s="19" t="s">
        <v>277</v>
      </c>
      <c r="BE102" s="19" t="s">
        <v>130</v>
      </c>
      <c r="BF102" s="19" t="s">
        <v>1980</v>
      </c>
      <c r="BG102" s="19" t="s">
        <v>1981</v>
      </c>
      <c r="BH102" s="19" t="s">
        <v>1982</v>
      </c>
      <c r="BI102" s="19" t="s">
        <v>1982</v>
      </c>
      <c r="BJ102" s="19" t="s">
        <v>1259</v>
      </c>
      <c r="BK102" s="19" t="s">
        <v>221</v>
      </c>
      <c r="BL102" s="19" t="s">
        <v>222</v>
      </c>
      <c r="BM102" s="19" t="s">
        <v>169</v>
      </c>
      <c r="BN102" s="21">
        <v>923.04200000000003</v>
      </c>
      <c r="BO102" s="21">
        <v>505799.32474000001</v>
      </c>
      <c r="BQ102" s="2"/>
      <c r="BR102" s="2"/>
      <c r="BS102" s="2"/>
      <c r="BT102" s="2"/>
      <c r="BU102" s="22"/>
      <c r="BV102" s="2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</row>
    <row r="103" spans="1:95" x14ac:dyDescent="0.25">
      <c r="A103" s="18">
        <v>100</v>
      </c>
      <c r="B103" s="19" t="s">
        <v>1983</v>
      </c>
      <c r="C103" s="19" t="s">
        <v>1984</v>
      </c>
      <c r="D103" s="20">
        <v>46009</v>
      </c>
      <c r="E103" s="20">
        <v>36468</v>
      </c>
      <c r="F103" s="19"/>
      <c r="G103" s="19"/>
      <c r="H103" s="19" t="s">
        <v>94</v>
      </c>
      <c r="I103" s="19"/>
      <c r="J103" s="19"/>
      <c r="K103" s="19"/>
      <c r="L103" s="19" t="s">
        <v>1368</v>
      </c>
      <c r="M103" s="19" t="s">
        <v>468</v>
      </c>
      <c r="N103" s="19" t="s">
        <v>1985</v>
      </c>
      <c r="O103" s="19" t="s">
        <v>100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 t="s">
        <v>101</v>
      </c>
      <c r="Z103" s="19" t="s">
        <v>102</v>
      </c>
      <c r="AA103" s="19" t="s">
        <v>103</v>
      </c>
      <c r="AB103" s="19" t="s">
        <v>487</v>
      </c>
      <c r="AC103" s="19" t="s">
        <v>488</v>
      </c>
      <c r="AD103" s="19" t="s">
        <v>1986</v>
      </c>
      <c r="AE103" s="19" t="s">
        <v>1987</v>
      </c>
      <c r="AF103" s="19" t="s">
        <v>1988</v>
      </c>
      <c r="AG103" s="19" t="s">
        <v>1989</v>
      </c>
      <c r="AH103" s="19" t="s">
        <v>262</v>
      </c>
      <c r="AI103" s="19" t="s">
        <v>111</v>
      </c>
      <c r="AJ103" s="19" t="s">
        <v>1990</v>
      </c>
      <c r="AK103" s="19"/>
      <c r="AL103" s="19"/>
      <c r="AM103" s="19" t="s">
        <v>1991</v>
      </c>
      <c r="AN103" s="19" t="s">
        <v>1992</v>
      </c>
      <c r="AO103" s="19" t="s">
        <v>494</v>
      </c>
      <c r="AP103" s="19" t="s">
        <v>495</v>
      </c>
      <c r="AQ103" s="19" t="s">
        <v>117</v>
      </c>
      <c r="AR103" s="19" t="s">
        <v>496</v>
      </c>
      <c r="AS103" s="19" t="s">
        <v>497</v>
      </c>
      <c r="AT103" s="19" t="s">
        <v>498</v>
      </c>
      <c r="AU103" s="19" t="s">
        <v>499</v>
      </c>
      <c r="AV103" s="19" t="s">
        <v>168</v>
      </c>
      <c r="AW103" s="19" t="s">
        <v>500</v>
      </c>
      <c r="AX103" s="19" t="s">
        <v>262</v>
      </c>
      <c r="AY103" s="19" t="s">
        <v>501</v>
      </c>
      <c r="AZ103" s="19" t="s">
        <v>502</v>
      </c>
      <c r="BA103" s="20">
        <v>45832</v>
      </c>
      <c r="BB103" s="19" t="s">
        <v>161</v>
      </c>
      <c r="BC103" s="19" t="s">
        <v>1993</v>
      </c>
      <c r="BD103" s="19" t="s">
        <v>1993</v>
      </c>
      <c r="BE103" s="19" t="s">
        <v>130</v>
      </c>
      <c r="BF103" s="19" t="s">
        <v>1994</v>
      </c>
      <c r="BG103" s="19"/>
      <c r="BH103" s="19" t="s">
        <v>1995</v>
      </c>
      <c r="BI103" s="19" t="s">
        <v>1995</v>
      </c>
      <c r="BJ103" s="19" t="s">
        <v>166</v>
      </c>
      <c r="BK103" s="19" t="s">
        <v>167</v>
      </c>
      <c r="BL103" s="19" t="s">
        <v>168</v>
      </c>
      <c r="BM103" s="19" t="s">
        <v>169</v>
      </c>
      <c r="BN103" s="21">
        <v>0.41699999999999998</v>
      </c>
      <c r="BO103" s="21">
        <v>180.5638356</v>
      </c>
      <c r="BQ103" s="2"/>
      <c r="BR103" s="2"/>
      <c r="BS103" s="2"/>
      <c r="BT103" s="2"/>
      <c r="BU103" s="22"/>
      <c r="BV103" s="2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</row>
    <row r="104" spans="1:95" x14ac:dyDescent="0.25">
      <c r="A104" s="18">
        <v>101</v>
      </c>
      <c r="B104" s="19" t="s">
        <v>1996</v>
      </c>
      <c r="C104" s="19" t="s">
        <v>1997</v>
      </c>
      <c r="D104" s="20">
        <v>46020</v>
      </c>
      <c r="E104" s="20">
        <v>37662</v>
      </c>
      <c r="F104" s="19" t="s">
        <v>1998</v>
      </c>
      <c r="G104" s="19" t="s">
        <v>139</v>
      </c>
      <c r="H104" s="19" t="s">
        <v>94</v>
      </c>
      <c r="I104" s="19"/>
      <c r="J104" s="19"/>
      <c r="K104" s="19"/>
      <c r="L104" s="19" t="s">
        <v>244</v>
      </c>
      <c r="M104" s="19" t="s">
        <v>245</v>
      </c>
      <c r="N104" s="19" t="s">
        <v>1999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 t="s">
        <v>101</v>
      </c>
      <c r="Z104" s="19" t="s">
        <v>102</v>
      </c>
      <c r="AA104" s="19" t="s">
        <v>103</v>
      </c>
      <c r="AB104" s="19" t="s">
        <v>173</v>
      </c>
      <c r="AC104" s="19" t="s">
        <v>174</v>
      </c>
      <c r="AD104" s="19" t="s">
        <v>2000</v>
      </c>
      <c r="AE104" s="19" t="s">
        <v>2001</v>
      </c>
      <c r="AF104" s="19" t="s">
        <v>2002</v>
      </c>
      <c r="AG104" s="19" t="s">
        <v>2003</v>
      </c>
      <c r="AH104" s="19" t="s">
        <v>262</v>
      </c>
      <c r="AI104" s="19"/>
      <c r="AJ104" s="19" t="s">
        <v>2004</v>
      </c>
      <c r="AK104" s="19"/>
      <c r="AL104" s="19"/>
      <c r="AM104" s="19" t="s">
        <v>2005</v>
      </c>
      <c r="AN104" s="19" t="s">
        <v>2006</v>
      </c>
      <c r="AO104" s="19" t="s">
        <v>255</v>
      </c>
      <c r="AP104" s="19" t="s">
        <v>256</v>
      </c>
      <c r="AQ104" s="19" t="s">
        <v>117</v>
      </c>
      <c r="AR104" s="19" t="s">
        <v>257</v>
      </c>
      <c r="AS104" s="19" t="s">
        <v>258</v>
      </c>
      <c r="AT104" s="19" t="s">
        <v>259</v>
      </c>
      <c r="AU104" s="19" t="s">
        <v>260</v>
      </c>
      <c r="AV104" s="19" t="s">
        <v>260</v>
      </c>
      <c r="AW104" s="19" t="s">
        <v>261</v>
      </c>
      <c r="AX104" s="19" t="s">
        <v>262</v>
      </c>
      <c r="AY104" s="19" t="s">
        <v>263</v>
      </c>
      <c r="AZ104" s="19" t="s">
        <v>264</v>
      </c>
      <c r="BA104" s="20">
        <v>43627</v>
      </c>
      <c r="BB104" s="19" t="s">
        <v>331</v>
      </c>
      <c r="BC104" s="19" t="s">
        <v>2007</v>
      </c>
      <c r="BD104" s="19" t="s">
        <v>2003</v>
      </c>
      <c r="BE104" s="19" t="s">
        <v>130</v>
      </c>
      <c r="BF104" s="19" t="s">
        <v>2008</v>
      </c>
      <c r="BG104" s="19"/>
      <c r="BH104" s="19" t="s">
        <v>2009</v>
      </c>
      <c r="BI104" s="19" t="s">
        <v>2009</v>
      </c>
      <c r="BJ104" s="19" t="s">
        <v>166</v>
      </c>
      <c r="BK104" s="19" t="s">
        <v>167</v>
      </c>
      <c r="BL104" s="19" t="s">
        <v>168</v>
      </c>
      <c r="BM104" s="19" t="s">
        <v>169</v>
      </c>
      <c r="BN104" s="21">
        <v>565.274</v>
      </c>
      <c r="BO104" s="21">
        <v>20024.379230800001</v>
      </c>
      <c r="BQ104" s="2"/>
      <c r="BR104" s="2"/>
      <c r="BS104" s="2"/>
      <c r="BT104" s="2"/>
      <c r="BU104" s="22"/>
      <c r="BV104" s="2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</row>
    <row r="105" spans="1:95" x14ac:dyDescent="0.25">
      <c r="A105" s="18">
        <v>102</v>
      </c>
      <c r="B105" s="19" t="s">
        <v>2010</v>
      </c>
      <c r="C105" s="19" t="s">
        <v>2011</v>
      </c>
      <c r="D105" s="20">
        <v>46020</v>
      </c>
      <c r="E105" s="20">
        <v>35269</v>
      </c>
      <c r="F105" s="19"/>
      <c r="G105" s="19"/>
      <c r="H105" s="19" t="s">
        <v>94</v>
      </c>
      <c r="I105" s="19"/>
      <c r="J105" s="19"/>
      <c r="K105" s="19"/>
      <c r="L105" s="19" t="s">
        <v>687</v>
      </c>
      <c r="M105" s="19" t="s">
        <v>688</v>
      </c>
      <c r="N105" s="19" t="s">
        <v>2012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 t="s">
        <v>101</v>
      </c>
      <c r="Z105" s="19" t="s">
        <v>102</v>
      </c>
      <c r="AA105" s="19" t="s">
        <v>103</v>
      </c>
      <c r="AB105" s="19" t="s">
        <v>1555</v>
      </c>
      <c r="AC105" s="19" t="s">
        <v>1556</v>
      </c>
      <c r="AD105" s="19" t="s">
        <v>2013</v>
      </c>
      <c r="AE105" s="19" t="s">
        <v>2014</v>
      </c>
      <c r="AF105" s="19" t="s">
        <v>2015</v>
      </c>
      <c r="AG105" s="19" t="s">
        <v>2016</v>
      </c>
      <c r="AH105" s="19" t="s">
        <v>149</v>
      </c>
      <c r="AI105" s="19" t="s">
        <v>111</v>
      </c>
      <c r="AJ105" s="19" t="s">
        <v>2017</v>
      </c>
      <c r="AK105" s="19"/>
      <c r="AL105" s="19"/>
      <c r="AM105" s="19" t="s">
        <v>2018</v>
      </c>
      <c r="AN105" s="19" t="s">
        <v>2019</v>
      </c>
      <c r="AO105" s="19" t="s">
        <v>1095</v>
      </c>
      <c r="AP105" s="19" t="s">
        <v>1096</v>
      </c>
      <c r="AQ105" s="19" t="s">
        <v>117</v>
      </c>
      <c r="AR105" s="19" t="s">
        <v>1097</v>
      </c>
      <c r="AS105" s="19" t="s">
        <v>1098</v>
      </c>
      <c r="AT105" s="19" t="s">
        <v>1099</v>
      </c>
      <c r="AU105" s="19" t="s">
        <v>1100</v>
      </c>
      <c r="AV105" s="19" t="s">
        <v>219</v>
      </c>
      <c r="AW105" s="19" t="s">
        <v>1101</v>
      </c>
      <c r="AX105" s="19" t="s">
        <v>124</v>
      </c>
      <c r="AY105" s="19"/>
      <c r="AZ105" s="19" t="s">
        <v>1102</v>
      </c>
      <c r="BA105" s="20">
        <v>40110</v>
      </c>
      <c r="BB105" s="19" t="s">
        <v>444</v>
      </c>
      <c r="BC105" s="19" t="s">
        <v>2020</v>
      </c>
      <c r="BD105" s="19" t="s">
        <v>2016</v>
      </c>
      <c r="BE105" s="19" t="s">
        <v>130</v>
      </c>
      <c r="BF105" s="19" t="s">
        <v>2021</v>
      </c>
      <c r="BG105" s="19"/>
      <c r="BH105" s="19" t="s">
        <v>2022</v>
      </c>
      <c r="BI105" s="19" t="s">
        <v>2022</v>
      </c>
      <c r="BJ105" s="19" t="s">
        <v>194</v>
      </c>
      <c r="BK105" s="19" t="s">
        <v>591</v>
      </c>
      <c r="BL105" s="19" t="s">
        <v>122</v>
      </c>
      <c r="BM105" s="19" t="s">
        <v>592</v>
      </c>
      <c r="BN105" s="21">
        <v>1.252</v>
      </c>
      <c r="BO105" s="21">
        <v>1006.82084</v>
      </c>
      <c r="BQ105" s="2"/>
      <c r="BR105" s="2"/>
      <c r="BS105" s="2"/>
      <c r="BT105" s="2"/>
      <c r="BU105" s="22"/>
      <c r="BV105" s="2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</row>
    <row r="106" spans="1:95" x14ac:dyDescent="0.25">
      <c r="A106" s="18">
        <v>103</v>
      </c>
      <c r="B106" s="19" t="s">
        <v>2023</v>
      </c>
      <c r="C106" s="19" t="s">
        <v>2024</v>
      </c>
      <c r="D106" s="20">
        <v>46015</v>
      </c>
      <c r="E106" s="20">
        <v>34410</v>
      </c>
      <c r="F106" s="19" t="s">
        <v>2025</v>
      </c>
      <c r="G106" s="19" t="s">
        <v>139</v>
      </c>
      <c r="H106" s="19" t="s">
        <v>94</v>
      </c>
      <c r="I106" s="19"/>
      <c r="J106" s="19"/>
      <c r="K106" s="19"/>
      <c r="L106" s="19" t="s">
        <v>244</v>
      </c>
      <c r="M106" s="19" t="s">
        <v>245</v>
      </c>
      <c r="N106" s="19" t="s">
        <v>2026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 t="s">
        <v>101</v>
      </c>
      <c r="Z106" s="19" t="s">
        <v>102</v>
      </c>
      <c r="AA106" s="19" t="s">
        <v>103</v>
      </c>
      <c r="AB106" s="19" t="s">
        <v>671</v>
      </c>
      <c r="AC106" s="19" t="s">
        <v>672</v>
      </c>
      <c r="AD106" s="19" t="s">
        <v>2027</v>
      </c>
      <c r="AE106" s="19" t="s">
        <v>2028</v>
      </c>
      <c r="AF106" s="19"/>
      <c r="AG106" s="19" t="s">
        <v>2029</v>
      </c>
      <c r="AH106" s="19" t="s">
        <v>110</v>
      </c>
      <c r="AI106" s="19"/>
      <c r="AJ106" s="19" t="s">
        <v>2030</v>
      </c>
      <c r="AK106" s="19"/>
      <c r="AL106" s="19"/>
      <c r="AM106" s="19" t="s">
        <v>2031</v>
      </c>
      <c r="AN106" s="19" t="s">
        <v>2032</v>
      </c>
      <c r="AO106" s="19" t="s">
        <v>255</v>
      </c>
      <c r="AP106" s="19" t="s">
        <v>256</v>
      </c>
      <c r="AQ106" s="19" t="s">
        <v>117</v>
      </c>
      <c r="AR106" s="19" t="s">
        <v>257</v>
      </c>
      <c r="AS106" s="19" t="s">
        <v>258</v>
      </c>
      <c r="AT106" s="19" t="s">
        <v>259</v>
      </c>
      <c r="AU106" s="19" t="s">
        <v>260</v>
      </c>
      <c r="AV106" s="19" t="s">
        <v>260</v>
      </c>
      <c r="AW106" s="19" t="s">
        <v>261</v>
      </c>
      <c r="AX106" s="19" t="s">
        <v>262</v>
      </c>
      <c r="AY106" s="19" t="s">
        <v>263</v>
      </c>
      <c r="AZ106" s="19" t="s">
        <v>264</v>
      </c>
      <c r="BA106" s="20">
        <v>43627</v>
      </c>
      <c r="BB106" s="19" t="s">
        <v>444</v>
      </c>
      <c r="BC106" s="19" t="s">
        <v>2033</v>
      </c>
      <c r="BD106" s="19" t="s">
        <v>1300</v>
      </c>
      <c r="BE106" s="19" t="s">
        <v>130</v>
      </c>
      <c r="BF106" s="19" t="s">
        <v>2034</v>
      </c>
      <c r="BG106" s="19"/>
      <c r="BH106" s="19" t="s">
        <v>2035</v>
      </c>
      <c r="BI106" s="19" t="s">
        <v>2035</v>
      </c>
      <c r="BJ106" s="19" t="s">
        <v>166</v>
      </c>
      <c r="BK106" s="19" t="s">
        <v>167</v>
      </c>
      <c r="BL106" s="19" t="s">
        <v>168</v>
      </c>
      <c r="BM106" s="19" t="s">
        <v>169</v>
      </c>
      <c r="BN106" s="21">
        <v>44.494999999999997</v>
      </c>
      <c r="BO106" s="21">
        <v>2002.5330710000001</v>
      </c>
      <c r="BQ106" s="2"/>
      <c r="BR106" s="2"/>
      <c r="BS106" s="2"/>
      <c r="BT106" s="2"/>
      <c r="BU106" s="22"/>
      <c r="BV106" s="2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</row>
    <row r="107" spans="1:95" x14ac:dyDescent="0.25">
      <c r="A107" s="18">
        <v>104</v>
      </c>
      <c r="B107" s="19" t="s">
        <v>2036</v>
      </c>
      <c r="C107" s="19" t="s">
        <v>2037</v>
      </c>
      <c r="D107" s="20">
        <v>46015</v>
      </c>
      <c r="E107" s="20">
        <v>27163</v>
      </c>
      <c r="F107" s="19" t="s">
        <v>2038</v>
      </c>
      <c r="G107" s="19" t="s">
        <v>1248</v>
      </c>
      <c r="H107" s="19" t="s">
        <v>94</v>
      </c>
      <c r="I107" s="19"/>
      <c r="J107" s="19"/>
      <c r="K107" s="19"/>
      <c r="L107" s="19" t="s">
        <v>687</v>
      </c>
      <c r="M107" s="19" t="s">
        <v>688</v>
      </c>
      <c r="N107" s="19" t="s">
        <v>2039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 t="s">
        <v>101</v>
      </c>
      <c r="Z107" s="19" t="s">
        <v>102</v>
      </c>
      <c r="AA107" s="19" t="s">
        <v>103</v>
      </c>
      <c r="AB107" s="19" t="s">
        <v>402</v>
      </c>
      <c r="AC107" s="19" t="s">
        <v>403</v>
      </c>
      <c r="AD107" s="19" t="s">
        <v>2040</v>
      </c>
      <c r="AE107" s="19" t="s">
        <v>2041</v>
      </c>
      <c r="AF107" s="19"/>
      <c r="AG107" s="19" t="s">
        <v>2016</v>
      </c>
      <c r="AH107" s="19" t="s">
        <v>149</v>
      </c>
      <c r="AI107" s="19" t="s">
        <v>111</v>
      </c>
      <c r="AJ107" s="19" t="s">
        <v>2042</v>
      </c>
      <c r="AK107" s="19"/>
      <c r="AL107" s="19"/>
      <c r="AM107" s="19" t="s">
        <v>2043</v>
      </c>
      <c r="AN107" s="19" t="s">
        <v>2044</v>
      </c>
      <c r="AO107" s="19" t="s">
        <v>1095</v>
      </c>
      <c r="AP107" s="19" t="s">
        <v>1096</v>
      </c>
      <c r="AQ107" s="19" t="s">
        <v>117</v>
      </c>
      <c r="AR107" s="19" t="s">
        <v>1097</v>
      </c>
      <c r="AS107" s="19" t="s">
        <v>1098</v>
      </c>
      <c r="AT107" s="19" t="s">
        <v>1099</v>
      </c>
      <c r="AU107" s="19" t="s">
        <v>1100</v>
      </c>
      <c r="AV107" s="19" t="s">
        <v>219</v>
      </c>
      <c r="AW107" s="19" t="s">
        <v>1101</v>
      </c>
      <c r="AX107" s="19" t="s">
        <v>124</v>
      </c>
      <c r="AY107" s="19"/>
      <c r="AZ107" s="19" t="s">
        <v>1102</v>
      </c>
      <c r="BA107" s="20">
        <v>40110</v>
      </c>
      <c r="BB107" s="19" t="s">
        <v>444</v>
      </c>
      <c r="BC107" s="19" t="s">
        <v>2016</v>
      </c>
      <c r="BD107" s="19" t="s">
        <v>2041</v>
      </c>
      <c r="BE107" s="19" t="s">
        <v>130</v>
      </c>
      <c r="BF107" s="19" t="s">
        <v>2045</v>
      </c>
      <c r="BG107" s="19"/>
      <c r="BH107" s="19" t="s">
        <v>2046</v>
      </c>
      <c r="BI107" s="19" t="s">
        <v>2046</v>
      </c>
      <c r="BJ107" s="19" t="s">
        <v>1259</v>
      </c>
      <c r="BK107" s="19" t="s">
        <v>591</v>
      </c>
      <c r="BL107" s="19" t="s">
        <v>122</v>
      </c>
      <c r="BM107" s="19" t="s">
        <v>592</v>
      </c>
      <c r="BN107" s="21">
        <v>1.321</v>
      </c>
      <c r="BO107" s="21">
        <v>2501.0889299999999</v>
      </c>
      <c r="BQ107" s="2"/>
      <c r="BR107" s="2"/>
      <c r="BS107" s="2"/>
      <c r="BT107" s="2"/>
      <c r="BU107" s="22"/>
      <c r="BV107" s="2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</row>
    <row r="108" spans="1:95" x14ac:dyDescent="0.25">
      <c r="A108" s="18">
        <v>105</v>
      </c>
      <c r="B108" s="19" t="s">
        <v>2047</v>
      </c>
      <c r="C108" s="19" t="s">
        <v>2048</v>
      </c>
      <c r="D108" s="20">
        <v>46017</v>
      </c>
      <c r="E108" s="20">
        <v>35220</v>
      </c>
      <c r="F108" s="19" t="s">
        <v>2049</v>
      </c>
      <c r="G108" s="19" t="s">
        <v>139</v>
      </c>
      <c r="H108" s="19" t="s">
        <v>94</v>
      </c>
      <c r="I108" s="19"/>
      <c r="J108" s="19"/>
      <c r="K108" s="19"/>
      <c r="L108" s="19" t="s">
        <v>244</v>
      </c>
      <c r="M108" s="19" t="s">
        <v>245</v>
      </c>
      <c r="N108" s="19" t="s">
        <v>2050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 t="s">
        <v>101</v>
      </c>
      <c r="Z108" s="19" t="s">
        <v>102</v>
      </c>
      <c r="AA108" s="19" t="s">
        <v>103</v>
      </c>
      <c r="AB108" s="19" t="s">
        <v>2051</v>
      </c>
      <c r="AC108" s="19" t="s">
        <v>2052</v>
      </c>
      <c r="AD108" s="19" t="s">
        <v>2053</v>
      </c>
      <c r="AE108" s="19" t="s">
        <v>2054</v>
      </c>
      <c r="AF108" s="19" t="s">
        <v>2055</v>
      </c>
      <c r="AG108" s="19" t="s">
        <v>2056</v>
      </c>
      <c r="AH108" s="19" t="s">
        <v>1015</v>
      </c>
      <c r="AI108" s="19"/>
      <c r="AJ108" s="19" t="s">
        <v>2057</v>
      </c>
      <c r="AK108" s="19"/>
      <c r="AL108" s="19"/>
      <c r="AM108" s="19" t="s">
        <v>2058</v>
      </c>
      <c r="AN108" s="19" t="s">
        <v>2059</v>
      </c>
      <c r="AO108" s="19" t="s">
        <v>255</v>
      </c>
      <c r="AP108" s="19" t="s">
        <v>256</v>
      </c>
      <c r="AQ108" s="19" t="s">
        <v>117</v>
      </c>
      <c r="AR108" s="19" t="s">
        <v>257</v>
      </c>
      <c r="AS108" s="19" t="s">
        <v>258</v>
      </c>
      <c r="AT108" s="19" t="s">
        <v>259</v>
      </c>
      <c r="AU108" s="19" t="s">
        <v>260</v>
      </c>
      <c r="AV108" s="19" t="s">
        <v>260</v>
      </c>
      <c r="AW108" s="19" t="s">
        <v>261</v>
      </c>
      <c r="AX108" s="19" t="s">
        <v>262</v>
      </c>
      <c r="AY108" s="19" t="s">
        <v>263</v>
      </c>
      <c r="AZ108" s="19" t="s">
        <v>264</v>
      </c>
      <c r="BA108" s="20">
        <v>43627</v>
      </c>
      <c r="BB108" s="19" t="s">
        <v>331</v>
      </c>
      <c r="BC108" s="19" t="s">
        <v>2060</v>
      </c>
      <c r="BD108" s="19" t="s">
        <v>2061</v>
      </c>
      <c r="BE108" s="19" t="s">
        <v>130</v>
      </c>
      <c r="BF108" s="19" t="s">
        <v>2062</v>
      </c>
      <c r="BG108" s="19"/>
      <c r="BH108" s="19" t="s">
        <v>2063</v>
      </c>
      <c r="BI108" s="19" t="s">
        <v>2063</v>
      </c>
      <c r="BJ108" s="19" t="s">
        <v>166</v>
      </c>
      <c r="BK108" s="19" t="s">
        <v>167</v>
      </c>
      <c r="BL108" s="19" t="s">
        <v>168</v>
      </c>
      <c r="BM108" s="19" t="s">
        <v>169</v>
      </c>
      <c r="BN108" s="21">
        <v>89.963999999999999</v>
      </c>
      <c r="BO108" s="21">
        <v>996.39628200000004</v>
      </c>
      <c r="BQ108" s="2"/>
      <c r="BR108" s="2"/>
      <c r="BS108" s="2"/>
      <c r="BT108" s="2"/>
      <c r="BU108" s="22"/>
      <c r="BV108" s="2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</row>
    <row r="109" spans="1:95" x14ac:dyDescent="0.25">
      <c r="A109" s="18">
        <v>106</v>
      </c>
      <c r="B109" s="19" t="s">
        <v>2064</v>
      </c>
      <c r="C109" s="19" t="s">
        <v>2065</v>
      </c>
      <c r="D109" s="20">
        <v>46017</v>
      </c>
      <c r="E109" s="20">
        <v>33466</v>
      </c>
      <c r="F109" s="19" t="s">
        <v>2066</v>
      </c>
      <c r="G109" s="19" t="s">
        <v>139</v>
      </c>
      <c r="H109" s="19" t="s">
        <v>94</v>
      </c>
      <c r="I109" s="19"/>
      <c r="J109" s="19"/>
      <c r="K109" s="19"/>
      <c r="L109" s="19" t="s">
        <v>244</v>
      </c>
      <c r="M109" s="19" t="s">
        <v>245</v>
      </c>
      <c r="N109" s="19" t="s">
        <v>2067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 t="s">
        <v>101</v>
      </c>
      <c r="Z109" s="19" t="s">
        <v>102</v>
      </c>
      <c r="AA109" s="19" t="s">
        <v>103</v>
      </c>
      <c r="AB109" s="19" t="s">
        <v>671</v>
      </c>
      <c r="AC109" s="19" t="s">
        <v>672</v>
      </c>
      <c r="AD109" s="19" t="s">
        <v>2068</v>
      </c>
      <c r="AE109" s="19" t="s">
        <v>2069</v>
      </c>
      <c r="AF109" s="19" t="s">
        <v>2070</v>
      </c>
      <c r="AG109" s="19" t="s">
        <v>2071</v>
      </c>
      <c r="AH109" s="19" t="s">
        <v>188</v>
      </c>
      <c r="AI109" s="19" t="s">
        <v>111</v>
      </c>
      <c r="AJ109" s="19" t="s">
        <v>2072</v>
      </c>
      <c r="AK109" s="19"/>
      <c r="AL109" s="19"/>
      <c r="AM109" s="19" t="s">
        <v>2073</v>
      </c>
      <c r="AN109" s="19" t="s">
        <v>2074</v>
      </c>
      <c r="AO109" s="19" t="s">
        <v>255</v>
      </c>
      <c r="AP109" s="19" t="s">
        <v>256</v>
      </c>
      <c r="AQ109" s="19" t="s">
        <v>117</v>
      </c>
      <c r="AR109" s="19" t="s">
        <v>257</v>
      </c>
      <c r="AS109" s="19" t="s">
        <v>258</v>
      </c>
      <c r="AT109" s="19" t="s">
        <v>259</v>
      </c>
      <c r="AU109" s="19" t="s">
        <v>260</v>
      </c>
      <c r="AV109" s="19" t="s">
        <v>260</v>
      </c>
      <c r="AW109" s="19" t="s">
        <v>261</v>
      </c>
      <c r="AX109" s="19" t="s">
        <v>262</v>
      </c>
      <c r="AY109" s="19" t="s">
        <v>263</v>
      </c>
      <c r="AZ109" s="19" t="s">
        <v>264</v>
      </c>
      <c r="BA109" s="20">
        <v>43627</v>
      </c>
      <c r="BB109" s="19" t="s">
        <v>479</v>
      </c>
      <c r="BC109" s="19" t="s">
        <v>2075</v>
      </c>
      <c r="BD109" s="19" t="s">
        <v>481</v>
      </c>
      <c r="BE109" s="19" t="s">
        <v>130</v>
      </c>
      <c r="BF109" s="19" t="s">
        <v>2076</v>
      </c>
      <c r="BG109" s="19"/>
      <c r="BH109" s="19" t="s">
        <v>2077</v>
      </c>
      <c r="BI109" s="19" t="s">
        <v>2077</v>
      </c>
      <c r="BJ109" s="19" t="s">
        <v>166</v>
      </c>
      <c r="BK109" s="19" t="s">
        <v>167</v>
      </c>
      <c r="BL109" s="19" t="s">
        <v>168</v>
      </c>
      <c r="BM109" s="19" t="s">
        <v>169</v>
      </c>
      <c r="BN109" s="21">
        <v>5559.59</v>
      </c>
      <c r="BO109" s="21">
        <v>250213.79562200001</v>
      </c>
      <c r="BQ109" s="2"/>
      <c r="BR109" s="2"/>
      <c r="BS109" s="2"/>
      <c r="BT109" s="2"/>
      <c r="BU109" s="22"/>
      <c r="BV109" s="2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</row>
    <row r="110" spans="1:95" x14ac:dyDescent="0.25">
      <c r="A110" s="18">
        <v>107</v>
      </c>
      <c r="B110" s="19" t="s">
        <v>2078</v>
      </c>
      <c r="C110" s="19" t="s">
        <v>2079</v>
      </c>
      <c r="D110" s="20">
        <v>46017</v>
      </c>
      <c r="E110" s="20">
        <v>31557</v>
      </c>
      <c r="F110" s="19"/>
      <c r="G110" s="19"/>
      <c r="H110" s="19" t="s">
        <v>94</v>
      </c>
      <c r="I110" s="19"/>
      <c r="J110" s="19"/>
      <c r="K110" s="19"/>
      <c r="L110" s="19" t="s">
        <v>2080</v>
      </c>
      <c r="M110" s="19" t="s">
        <v>141</v>
      </c>
      <c r="N110" s="19" t="s">
        <v>2081</v>
      </c>
      <c r="O110" s="19" t="s">
        <v>100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 t="s">
        <v>101</v>
      </c>
      <c r="Z110" s="19" t="s">
        <v>102</v>
      </c>
      <c r="AA110" s="19" t="s">
        <v>103</v>
      </c>
      <c r="AB110" s="19" t="s">
        <v>1372</v>
      </c>
      <c r="AC110" s="19" t="s">
        <v>1373</v>
      </c>
      <c r="AD110" s="19" t="s">
        <v>2082</v>
      </c>
      <c r="AE110" s="19" t="s">
        <v>2083</v>
      </c>
      <c r="AF110" s="19"/>
      <c r="AG110" s="19" t="s">
        <v>1792</v>
      </c>
      <c r="AH110" s="19" t="s">
        <v>515</v>
      </c>
      <c r="AI110" s="19" t="s">
        <v>111</v>
      </c>
      <c r="AJ110" s="19" t="s">
        <v>2084</v>
      </c>
      <c r="AK110" s="19"/>
      <c r="AL110" s="19" t="s">
        <v>2085</v>
      </c>
      <c r="AM110" s="19" t="s">
        <v>2086</v>
      </c>
      <c r="AN110" s="19" t="s">
        <v>2087</v>
      </c>
      <c r="AO110" s="19" t="s">
        <v>2088</v>
      </c>
      <c r="AP110" s="19" t="s">
        <v>2089</v>
      </c>
      <c r="AQ110" s="19" t="s">
        <v>94</v>
      </c>
      <c r="AR110" s="19" t="s">
        <v>2090</v>
      </c>
      <c r="AS110" s="19" t="s">
        <v>2091</v>
      </c>
      <c r="AT110" s="19" t="s">
        <v>2092</v>
      </c>
      <c r="AU110" s="19" t="s">
        <v>2093</v>
      </c>
      <c r="AV110" s="19" t="s">
        <v>122</v>
      </c>
      <c r="AW110" s="19" t="s">
        <v>2094</v>
      </c>
      <c r="AX110" s="19" t="s">
        <v>901</v>
      </c>
      <c r="AY110" s="19" t="s">
        <v>2095</v>
      </c>
      <c r="AZ110" s="19" t="s">
        <v>2096</v>
      </c>
      <c r="BA110" s="20">
        <v>39974</v>
      </c>
      <c r="BB110" s="19" t="s">
        <v>2097</v>
      </c>
      <c r="BC110" s="19" t="s">
        <v>2098</v>
      </c>
      <c r="BD110" s="19" t="s">
        <v>2099</v>
      </c>
      <c r="BE110" s="19" t="s">
        <v>130</v>
      </c>
      <c r="BF110" s="19" t="s">
        <v>2100</v>
      </c>
      <c r="BG110" s="19" t="s">
        <v>2101</v>
      </c>
      <c r="BH110" s="19" t="s">
        <v>2102</v>
      </c>
      <c r="BI110" s="19" t="s">
        <v>2102</v>
      </c>
      <c r="BJ110" s="19" t="s">
        <v>1259</v>
      </c>
      <c r="BK110" s="19" t="s">
        <v>195</v>
      </c>
      <c r="BL110" s="19" t="s">
        <v>122</v>
      </c>
      <c r="BM110" s="19" t="s">
        <v>196</v>
      </c>
      <c r="BN110" s="21">
        <v>0</v>
      </c>
      <c r="BO110" s="21">
        <v>0</v>
      </c>
      <c r="BQ110" s="2"/>
      <c r="BR110" s="2"/>
      <c r="BS110" s="2"/>
      <c r="BT110" s="2"/>
      <c r="BU110" s="22"/>
      <c r="BV110" s="2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</row>
    <row r="111" spans="1:95" x14ac:dyDescent="0.25">
      <c r="A111" s="18">
        <v>108</v>
      </c>
      <c r="B111" s="19" t="s">
        <v>2103</v>
      </c>
      <c r="C111" s="19" t="s">
        <v>2104</v>
      </c>
      <c r="D111" s="20">
        <v>46017</v>
      </c>
      <c r="E111" s="20">
        <v>29863</v>
      </c>
      <c r="F111" s="19"/>
      <c r="G111" s="19"/>
      <c r="H111" s="19" t="s">
        <v>94</v>
      </c>
      <c r="I111" s="19"/>
      <c r="J111" s="19"/>
      <c r="K111" s="19"/>
      <c r="L111" s="19" t="s">
        <v>140</v>
      </c>
      <c r="M111" s="19" t="s">
        <v>141</v>
      </c>
      <c r="N111" s="19" t="s">
        <v>2105</v>
      </c>
      <c r="O111" s="19" t="s">
        <v>100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 t="s">
        <v>101</v>
      </c>
      <c r="Z111" s="19" t="s">
        <v>102</v>
      </c>
      <c r="AA111" s="19" t="s">
        <v>103</v>
      </c>
      <c r="AB111" s="19" t="s">
        <v>1025</v>
      </c>
      <c r="AC111" s="19" t="s">
        <v>1026</v>
      </c>
      <c r="AD111" s="19" t="s">
        <v>2106</v>
      </c>
      <c r="AE111" s="19" t="s">
        <v>2107</v>
      </c>
      <c r="AF111" s="19" t="s">
        <v>2108</v>
      </c>
      <c r="AG111" s="19" t="s">
        <v>2109</v>
      </c>
      <c r="AH111" s="19" t="s">
        <v>1029</v>
      </c>
      <c r="AI111" s="19" t="s">
        <v>111</v>
      </c>
      <c r="AJ111" s="19" t="s">
        <v>2110</v>
      </c>
      <c r="AK111" s="19" t="s">
        <v>2111</v>
      </c>
      <c r="AL111" s="19" t="s">
        <v>2112</v>
      </c>
      <c r="AM111" s="19" t="s">
        <v>2113</v>
      </c>
      <c r="AN111" s="19" t="s">
        <v>2114</v>
      </c>
      <c r="AO111" s="19" t="s">
        <v>1206</v>
      </c>
      <c r="AP111" s="19" t="s">
        <v>1207</v>
      </c>
      <c r="AQ111" s="19" t="s">
        <v>117</v>
      </c>
      <c r="AR111" s="19" t="s">
        <v>1208</v>
      </c>
      <c r="AS111" s="19" t="s">
        <v>1209</v>
      </c>
      <c r="AT111" s="19" t="s">
        <v>1210</v>
      </c>
      <c r="AU111" s="19" t="s">
        <v>1211</v>
      </c>
      <c r="AV111" s="19" t="s">
        <v>219</v>
      </c>
      <c r="AW111" s="19" t="s">
        <v>1212</v>
      </c>
      <c r="AX111" s="19" t="s">
        <v>124</v>
      </c>
      <c r="AY111" s="19" t="s">
        <v>1213</v>
      </c>
      <c r="AZ111" s="19" t="s">
        <v>1214</v>
      </c>
      <c r="BA111" s="20">
        <v>37560</v>
      </c>
      <c r="BB111" s="19" t="s">
        <v>161</v>
      </c>
      <c r="BC111" s="19" t="s">
        <v>2115</v>
      </c>
      <c r="BD111" s="19" t="s">
        <v>1028</v>
      </c>
      <c r="BE111" s="19" t="s">
        <v>130</v>
      </c>
      <c r="BF111" s="19" t="s">
        <v>2116</v>
      </c>
      <c r="BG111" s="19"/>
      <c r="BH111" s="19" t="s">
        <v>2117</v>
      </c>
      <c r="BI111" s="19" t="s">
        <v>2117</v>
      </c>
      <c r="BJ111" s="19" t="s">
        <v>194</v>
      </c>
      <c r="BK111" s="19" t="s">
        <v>591</v>
      </c>
      <c r="BL111" s="19" t="s">
        <v>122</v>
      </c>
      <c r="BM111" s="19" t="s">
        <v>592</v>
      </c>
      <c r="BN111" s="21">
        <v>28.565999999999999</v>
      </c>
      <c r="BO111" s="21">
        <v>993.66259679999996</v>
      </c>
      <c r="BQ111" s="2"/>
      <c r="BR111" s="2"/>
      <c r="BS111" s="2"/>
      <c r="BT111" s="2"/>
      <c r="BU111" s="22"/>
      <c r="BV111" s="2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</row>
    <row r="112" spans="1:95" x14ac:dyDescent="0.25">
      <c r="A112" s="18">
        <v>109</v>
      </c>
      <c r="B112" s="19" t="s">
        <v>2118</v>
      </c>
      <c r="C112" s="19" t="s">
        <v>2119</v>
      </c>
      <c r="D112" s="20">
        <v>46017</v>
      </c>
      <c r="E112" s="20">
        <v>35306</v>
      </c>
      <c r="F112" s="19"/>
      <c r="G112" s="19"/>
      <c r="H112" s="19" t="s">
        <v>94</v>
      </c>
      <c r="I112" s="19"/>
      <c r="J112" s="19"/>
      <c r="K112" s="19"/>
      <c r="L112" s="19" t="s">
        <v>2120</v>
      </c>
      <c r="M112" s="19" t="s">
        <v>245</v>
      </c>
      <c r="N112" s="19" t="s">
        <v>2121</v>
      </c>
      <c r="O112" s="19" t="s">
        <v>100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 t="s">
        <v>101</v>
      </c>
      <c r="Z112" s="19" t="s">
        <v>102</v>
      </c>
      <c r="AA112" s="19" t="s">
        <v>103</v>
      </c>
      <c r="AB112" s="19" t="s">
        <v>850</v>
      </c>
      <c r="AC112" s="19" t="s">
        <v>851</v>
      </c>
      <c r="AD112" s="19" t="s">
        <v>2122</v>
      </c>
      <c r="AE112" s="19" t="s">
        <v>2123</v>
      </c>
      <c r="AF112" s="19" t="s">
        <v>2124</v>
      </c>
      <c r="AG112" s="19" t="s">
        <v>2125</v>
      </c>
      <c r="AH112" s="19" t="s">
        <v>149</v>
      </c>
      <c r="AI112" s="19" t="s">
        <v>111</v>
      </c>
      <c r="AJ112" s="19" t="s">
        <v>2126</v>
      </c>
      <c r="AK112" s="19"/>
      <c r="AL112" s="19"/>
      <c r="AM112" s="19" t="s">
        <v>2127</v>
      </c>
      <c r="AN112" s="19" t="s">
        <v>2128</v>
      </c>
      <c r="AO112" s="19" t="s">
        <v>620</v>
      </c>
      <c r="AP112" s="19" t="s">
        <v>436</v>
      </c>
      <c r="AQ112" s="19" t="s">
        <v>94</v>
      </c>
      <c r="AR112" s="19" t="s">
        <v>437</v>
      </c>
      <c r="AS112" s="19" t="s">
        <v>438</v>
      </c>
      <c r="AT112" s="19" t="s">
        <v>439</v>
      </c>
      <c r="AU112" s="19" t="s">
        <v>440</v>
      </c>
      <c r="AV112" s="19" t="s">
        <v>148</v>
      </c>
      <c r="AW112" s="19" t="s">
        <v>441</v>
      </c>
      <c r="AX112" s="19" t="s">
        <v>149</v>
      </c>
      <c r="AY112" s="19" t="s">
        <v>442</v>
      </c>
      <c r="AZ112" s="19" t="s">
        <v>443</v>
      </c>
      <c r="BA112" s="20">
        <v>41415</v>
      </c>
      <c r="BB112" s="19" t="s">
        <v>331</v>
      </c>
      <c r="BC112" s="19" t="s">
        <v>2129</v>
      </c>
      <c r="BD112" s="19" t="s">
        <v>2129</v>
      </c>
      <c r="BE112" s="19" t="s">
        <v>130</v>
      </c>
      <c r="BF112" s="19" t="s">
        <v>2130</v>
      </c>
      <c r="BG112" s="19" t="s">
        <v>2131</v>
      </c>
      <c r="BH112" s="19" t="s">
        <v>2132</v>
      </c>
      <c r="BI112" s="19" t="s">
        <v>2132</v>
      </c>
      <c r="BJ112" s="19" t="s">
        <v>194</v>
      </c>
      <c r="BK112" s="19" t="s">
        <v>2133</v>
      </c>
      <c r="BL112" s="19" t="s">
        <v>2134</v>
      </c>
      <c r="BM112" s="19" t="s">
        <v>196</v>
      </c>
      <c r="BN112" s="21">
        <v>91.004000000000005</v>
      </c>
      <c r="BO112" s="21">
        <v>10009.52996</v>
      </c>
      <c r="BQ112" s="2"/>
      <c r="BR112" s="2"/>
      <c r="BS112" s="2"/>
      <c r="BT112" s="2"/>
      <c r="BU112" s="22"/>
      <c r="BV112" s="2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</row>
    <row r="113" spans="1:95" x14ac:dyDescent="0.25">
      <c r="A113" s="18">
        <v>110</v>
      </c>
      <c r="B113" s="19" t="s">
        <v>2135</v>
      </c>
      <c r="C113" s="19" t="s">
        <v>2136</v>
      </c>
      <c r="D113" s="20">
        <v>46017</v>
      </c>
      <c r="E113" s="20">
        <v>33027</v>
      </c>
      <c r="F113" s="19"/>
      <c r="G113" s="19"/>
      <c r="H113" s="19" t="s">
        <v>94</v>
      </c>
      <c r="I113" s="19"/>
      <c r="J113" s="19"/>
      <c r="K113" s="19"/>
      <c r="L113" s="19"/>
      <c r="M113" s="19"/>
      <c r="N113" s="19" t="s">
        <v>2137</v>
      </c>
      <c r="O113" s="19" t="s">
        <v>100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 t="s">
        <v>101</v>
      </c>
      <c r="Z113" s="19" t="s">
        <v>102</v>
      </c>
      <c r="AA113" s="19" t="s">
        <v>103</v>
      </c>
      <c r="AB113" s="19" t="s">
        <v>292</v>
      </c>
      <c r="AC113" s="19" t="s">
        <v>293</v>
      </c>
      <c r="AD113" s="19" t="s">
        <v>2138</v>
      </c>
      <c r="AE113" s="19" t="s">
        <v>2139</v>
      </c>
      <c r="AF113" s="19" t="s">
        <v>2140</v>
      </c>
      <c r="AG113" s="19" t="s">
        <v>2141</v>
      </c>
      <c r="AH113" s="19" t="s">
        <v>124</v>
      </c>
      <c r="AI113" s="19" t="s">
        <v>111</v>
      </c>
      <c r="AJ113" s="19" t="s">
        <v>2142</v>
      </c>
      <c r="AK113" s="19"/>
      <c r="AL113" s="19"/>
      <c r="AM113" s="19" t="s">
        <v>2143</v>
      </c>
      <c r="AN113" s="19" t="s">
        <v>2144</v>
      </c>
      <c r="AO113" s="19" t="s">
        <v>2145</v>
      </c>
      <c r="AP113" s="19" t="s">
        <v>2146</v>
      </c>
      <c r="AQ113" s="19" t="s">
        <v>117</v>
      </c>
      <c r="AR113" s="19" t="s">
        <v>2147</v>
      </c>
      <c r="AS113" s="19" t="s">
        <v>2148</v>
      </c>
      <c r="AT113" s="19" t="s">
        <v>2149</v>
      </c>
      <c r="AU113" s="19" t="s">
        <v>2150</v>
      </c>
      <c r="AV113" s="19" t="s">
        <v>616</v>
      </c>
      <c r="AW113" s="19" t="s">
        <v>2151</v>
      </c>
      <c r="AX113" s="19" t="s">
        <v>124</v>
      </c>
      <c r="AY113" s="19" t="s">
        <v>2152</v>
      </c>
      <c r="AZ113" s="19" t="s">
        <v>2153</v>
      </c>
      <c r="BA113" s="20">
        <v>43188</v>
      </c>
      <c r="BB113" s="19" t="s">
        <v>2154</v>
      </c>
      <c r="BC113" s="19" t="s">
        <v>2155</v>
      </c>
      <c r="BD113" s="19"/>
      <c r="BE113" s="19" t="s">
        <v>130</v>
      </c>
      <c r="BF113" s="19" t="s">
        <v>2156</v>
      </c>
      <c r="BG113" s="19"/>
      <c r="BH113" s="19" t="s">
        <v>2157</v>
      </c>
      <c r="BI113" s="19" t="s">
        <v>2157</v>
      </c>
      <c r="BJ113" s="19" t="s">
        <v>166</v>
      </c>
      <c r="BK113" s="19" t="s">
        <v>1084</v>
      </c>
      <c r="BL113" s="19" t="s">
        <v>222</v>
      </c>
      <c r="BM113" s="19" t="s">
        <v>169</v>
      </c>
      <c r="BN113" s="21">
        <v>6067.9160000000002</v>
      </c>
      <c r="BO113" s="21">
        <v>99899.135066000003</v>
      </c>
      <c r="BQ113" s="2"/>
      <c r="BR113" s="2"/>
      <c r="BS113" s="2"/>
      <c r="BT113" s="2"/>
      <c r="BU113" s="22"/>
      <c r="BV113" s="2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</row>
    <row r="114" spans="1:95" x14ac:dyDescent="0.25">
      <c r="A114" s="18">
        <v>111</v>
      </c>
      <c r="B114" s="19" t="s">
        <v>2158</v>
      </c>
      <c r="C114" s="19" t="s">
        <v>2159</v>
      </c>
      <c r="D114" s="20">
        <v>46017</v>
      </c>
      <c r="E114" s="20">
        <v>39325</v>
      </c>
      <c r="F114" s="19"/>
      <c r="G114" s="19"/>
      <c r="H114" s="19" t="s">
        <v>94</v>
      </c>
      <c r="I114" s="19"/>
      <c r="J114" s="19" t="s">
        <v>287</v>
      </c>
      <c r="K114" s="19" t="s">
        <v>288</v>
      </c>
      <c r="L114" s="19" t="s">
        <v>1262</v>
      </c>
      <c r="M114" s="19" t="s">
        <v>1263</v>
      </c>
      <c r="N114" s="19" t="s">
        <v>2160</v>
      </c>
      <c r="O114" s="19" t="s">
        <v>100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 t="s">
        <v>101</v>
      </c>
      <c r="Z114" s="19" t="s">
        <v>102</v>
      </c>
      <c r="AA114" s="19" t="s">
        <v>103</v>
      </c>
      <c r="AB114" s="19" t="s">
        <v>173</v>
      </c>
      <c r="AC114" s="19" t="s">
        <v>174</v>
      </c>
      <c r="AD114" s="19" t="s">
        <v>2161</v>
      </c>
      <c r="AE114" s="19" t="s">
        <v>2162</v>
      </c>
      <c r="AF114" s="19" t="s">
        <v>2163</v>
      </c>
      <c r="AG114" s="19" t="s">
        <v>122</v>
      </c>
      <c r="AH114" s="19" t="s">
        <v>124</v>
      </c>
      <c r="AI114" s="19" t="s">
        <v>111</v>
      </c>
      <c r="AJ114" s="19" t="s">
        <v>2164</v>
      </c>
      <c r="AK114" s="19"/>
      <c r="AL114" s="19"/>
      <c r="AM114" s="19" t="s">
        <v>2165</v>
      </c>
      <c r="AN114" s="19" t="s">
        <v>2166</v>
      </c>
      <c r="AO114" s="19" t="s">
        <v>1077</v>
      </c>
      <c r="AP114" s="19" t="s">
        <v>1077</v>
      </c>
      <c r="AQ114" s="19" t="s">
        <v>117</v>
      </c>
      <c r="AR114" s="19"/>
      <c r="AS114" s="19" t="s">
        <v>1078</v>
      </c>
      <c r="AT114" s="19"/>
      <c r="AU114" s="19"/>
      <c r="AV114" s="19"/>
      <c r="AW114" s="19" t="s">
        <v>1079</v>
      </c>
      <c r="AX114" s="19"/>
      <c r="AY114" s="19"/>
      <c r="AZ114" s="19"/>
      <c r="BA114" s="20">
        <v>38627</v>
      </c>
      <c r="BB114" s="19" t="s">
        <v>1342</v>
      </c>
      <c r="BC114" s="19" t="s">
        <v>2167</v>
      </c>
      <c r="BD114" s="19" t="s">
        <v>219</v>
      </c>
      <c r="BE114" s="19" t="s">
        <v>130</v>
      </c>
      <c r="BF114" s="19" t="s">
        <v>2168</v>
      </c>
      <c r="BG114" s="19"/>
      <c r="BH114" s="19" t="s">
        <v>2169</v>
      </c>
      <c r="BI114" s="19" t="s">
        <v>2169</v>
      </c>
      <c r="BJ114" s="19" t="s">
        <v>166</v>
      </c>
      <c r="BK114" s="19" t="s">
        <v>195</v>
      </c>
      <c r="BL114" s="19" t="s">
        <v>122</v>
      </c>
      <c r="BM114" s="19" t="s">
        <v>196</v>
      </c>
      <c r="BN114" s="21">
        <v>1395.6969999999999</v>
      </c>
      <c r="BO114" s="21">
        <v>49441.449667399997</v>
      </c>
      <c r="BQ114" s="2"/>
      <c r="BR114" s="2"/>
      <c r="BS114" s="2"/>
      <c r="BT114" s="2"/>
      <c r="BU114" s="22"/>
      <c r="BV114" s="2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</row>
    <row r="115" spans="1:95" x14ac:dyDescent="0.25">
      <c r="A115" s="18">
        <v>112</v>
      </c>
      <c r="B115" s="19" t="s">
        <v>2170</v>
      </c>
      <c r="C115" s="19" t="s">
        <v>2171</v>
      </c>
      <c r="D115" s="20">
        <v>46021</v>
      </c>
      <c r="E115" s="20">
        <v>23193</v>
      </c>
      <c r="F115" s="19"/>
      <c r="G115" s="19"/>
      <c r="H115" s="19" t="s">
        <v>94</v>
      </c>
      <c r="I115" s="19"/>
      <c r="J115" s="19" t="s">
        <v>287</v>
      </c>
      <c r="K115" s="19" t="s">
        <v>288</v>
      </c>
      <c r="L115" s="19" t="s">
        <v>1825</v>
      </c>
      <c r="M115" s="19" t="s">
        <v>610</v>
      </c>
      <c r="N115" s="19" t="s">
        <v>2172</v>
      </c>
      <c r="O115" s="19" t="s">
        <v>100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 t="s">
        <v>101</v>
      </c>
      <c r="Z115" s="19" t="s">
        <v>102</v>
      </c>
      <c r="AA115" s="19" t="s">
        <v>103</v>
      </c>
      <c r="AB115" s="19" t="s">
        <v>2173</v>
      </c>
      <c r="AC115" s="19" t="s">
        <v>2174</v>
      </c>
      <c r="AD115" s="19" t="s">
        <v>2175</v>
      </c>
      <c r="AE115" s="19" t="s">
        <v>2176</v>
      </c>
      <c r="AF115" s="19"/>
      <c r="AG115" s="19" t="s">
        <v>2177</v>
      </c>
      <c r="AH115" s="19" t="s">
        <v>757</v>
      </c>
      <c r="AI115" s="19" t="s">
        <v>111</v>
      </c>
      <c r="AJ115" s="19" t="s">
        <v>2178</v>
      </c>
      <c r="AK115" s="19"/>
      <c r="AL115" s="19"/>
      <c r="AM115" s="19" t="s">
        <v>2179</v>
      </c>
      <c r="AN115" s="19" t="s">
        <v>2180</v>
      </c>
      <c r="AO115" s="19" t="s">
        <v>2181</v>
      </c>
      <c r="AP115" s="19" t="s">
        <v>2182</v>
      </c>
      <c r="AQ115" s="19" t="s">
        <v>117</v>
      </c>
      <c r="AR115" s="19" t="s">
        <v>2183</v>
      </c>
      <c r="AS115" s="19" t="s">
        <v>2184</v>
      </c>
      <c r="AT115" s="19" t="s">
        <v>2185</v>
      </c>
      <c r="AU115" s="19" t="s">
        <v>2186</v>
      </c>
      <c r="AV115" s="19" t="s">
        <v>2177</v>
      </c>
      <c r="AW115" s="19" t="s">
        <v>2178</v>
      </c>
      <c r="AX115" s="19" t="s">
        <v>757</v>
      </c>
      <c r="AY115" s="19" t="s">
        <v>2187</v>
      </c>
      <c r="AZ115" s="19" t="s">
        <v>2188</v>
      </c>
      <c r="BA115" s="20">
        <v>42530</v>
      </c>
      <c r="BB115" s="19" t="s">
        <v>312</v>
      </c>
      <c r="BC115" s="19" t="s">
        <v>2189</v>
      </c>
      <c r="BD115" s="19" t="s">
        <v>2177</v>
      </c>
      <c r="BE115" s="19" t="s">
        <v>130</v>
      </c>
      <c r="BF115" s="19" t="s">
        <v>2190</v>
      </c>
      <c r="BG115" s="19" t="s">
        <v>2191</v>
      </c>
      <c r="BH115" s="19" t="s">
        <v>2192</v>
      </c>
      <c r="BI115" s="19" t="s">
        <v>2192</v>
      </c>
      <c r="BJ115" s="19" t="s">
        <v>166</v>
      </c>
      <c r="BK115" s="19" t="s">
        <v>2193</v>
      </c>
      <c r="BL115" s="19" t="s">
        <v>2177</v>
      </c>
      <c r="BM115" s="19" t="s">
        <v>1045</v>
      </c>
      <c r="BN115" s="21">
        <v>0</v>
      </c>
      <c r="BO115" s="21">
        <v>0</v>
      </c>
      <c r="BQ115" s="2"/>
      <c r="BR115" s="2"/>
      <c r="BS115" s="2"/>
      <c r="BT115" s="2"/>
      <c r="BU115" s="22"/>
      <c r="BV115" s="2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</row>
    <row r="116" spans="1:95" x14ac:dyDescent="0.25">
      <c r="A116" s="18">
        <v>113</v>
      </c>
      <c r="B116" s="19" t="s">
        <v>2194</v>
      </c>
      <c r="C116" s="19" t="s">
        <v>2195</v>
      </c>
      <c r="D116" s="20">
        <v>46021</v>
      </c>
      <c r="E116" s="20">
        <v>37319</v>
      </c>
      <c r="F116" s="19"/>
      <c r="G116" s="19"/>
      <c r="H116" s="19" t="s">
        <v>94</v>
      </c>
      <c r="I116" s="19"/>
      <c r="J116" s="19"/>
      <c r="K116" s="19"/>
      <c r="L116" s="19" t="s">
        <v>97</v>
      </c>
      <c r="M116" s="19" t="s">
        <v>98</v>
      </c>
      <c r="N116" s="19" t="s">
        <v>2196</v>
      </c>
      <c r="O116" s="19" t="s">
        <v>100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 t="s">
        <v>101</v>
      </c>
      <c r="Z116" s="19" t="s">
        <v>102</v>
      </c>
      <c r="AA116" s="19" t="s">
        <v>103</v>
      </c>
      <c r="AB116" s="19" t="s">
        <v>1744</v>
      </c>
      <c r="AC116" s="19" t="s">
        <v>1745</v>
      </c>
      <c r="AD116" s="19" t="s">
        <v>2197</v>
      </c>
      <c r="AE116" s="19" t="s">
        <v>2198</v>
      </c>
      <c r="AF116" s="19" t="s">
        <v>2199</v>
      </c>
      <c r="AG116" s="19" t="s">
        <v>2200</v>
      </c>
      <c r="AH116" s="19" t="s">
        <v>124</v>
      </c>
      <c r="AI116" s="19" t="s">
        <v>111</v>
      </c>
      <c r="AJ116" s="19" t="s">
        <v>2201</v>
      </c>
      <c r="AK116" s="19"/>
      <c r="AL116" s="19"/>
      <c r="AM116" s="19" t="s">
        <v>2202</v>
      </c>
      <c r="AN116" s="19" t="s">
        <v>2203</v>
      </c>
      <c r="AO116" s="19" t="s">
        <v>835</v>
      </c>
      <c r="AP116" s="19" t="s">
        <v>836</v>
      </c>
      <c r="AQ116" s="19" t="s">
        <v>117</v>
      </c>
      <c r="AR116" s="19" t="s">
        <v>837</v>
      </c>
      <c r="AS116" s="19" t="s">
        <v>838</v>
      </c>
      <c r="AT116" s="19" t="s">
        <v>839</v>
      </c>
      <c r="AU116" s="19" t="s">
        <v>840</v>
      </c>
      <c r="AV116" s="19" t="s">
        <v>841</v>
      </c>
      <c r="AW116" s="19"/>
      <c r="AX116" s="19" t="s">
        <v>707</v>
      </c>
      <c r="AY116" s="19" t="s">
        <v>842</v>
      </c>
      <c r="AZ116" s="19" t="s">
        <v>843</v>
      </c>
      <c r="BA116" s="20">
        <v>45453</v>
      </c>
      <c r="BB116" s="19" t="s">
        <v>363</v>
      </c>
      <c r="BC116" s="19" t="s">
        <v>2200</v>
      </c>
      <c r="BD116" s="19" t="s">
        <v>2200</v>
      </c>
      <c r="BE116" s="19" t="s">
        <v>130</v>
      </c>
      <c r="BF116" s="19" t="s">
        <v>2204</v>
      </c>
      <c r="BG116" s="19"/>
      <c r="BH116" s="19" t="s">
        <v>2205</v>
      </c>
      <c r="BI116" s="19" t="s">
        <v>2205</v>
      </c>
      <c r="BJ116" s="19" t="s">
        <v>194</v>
      </c>
      <c r="BK116" s="19" t="s">
        <v>195</v>
      </c>
      <c r="BL116" s="19" t="s">
        <v>122</v>
      </c>
      <c r="BM116" s="19" t="s">
        <v>196</v>
      </c>
      <c r="BN116" s="21">
        <v>8.032</v>
      </c>
      <c r="BO116" s="21">
        <v>201.94295360000001</v>
      </c>
      <c r="BQ116" s="2"/>
      <c r="BR116" s="2"/>
      <c r="BS116" s="2"/>
      <c r="BT116" s="2"/>
      <c r="BU116" s="22"/>
      <c r="BV116" s="2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</row>
    <row r="117" spans="1:95" x14ac:dyDescent="0.25">
      <c r="A117" s="18">
        <v>114</v>
      </c>
      <c r="B117" s="19" t="s">
        <v>2206</v>
      </c>
      <c r="C117" s="19" t="s">
        <v>2207</v>
      </c>
      <c r="D117" s="20">
        <v>46021</v>
      </c>
      <c r="E117" s="20">
        <v>36704</v>
      </c>
      <c r="F117" s="19" t="s">
        <v>2208</v>
      </c>
      <c r="G117" s="19" t="s">
        <v>1248</v>
      </c>
      <c r="H117" s="19" t="s">
        <v>94</v>
      </c>
      <c r="I117" s="19"/>
      <c r="J117" s="19"/>
      <c r="K117" s="19"/>
      <c r="L117" s="19" t="s">
        <v>140</v>
      </c>
      <c r="M117" s="19" t="s">
        <v>141</v>
      </c>
      <c r="N117" s="19" t="s">
        <v>2209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 t="s">
        <v>101</v>
      </c>
      <c r="Z117" s="19" t="s">
        <v>102</v>
      </c>
      <c r="AA117" s="19" t="s">
        <v>103</v>
      </c>
      <c r="AB117" s="19" t="s">
        <v>1025</v>
      </c>
      <c r="AC117" s="19" t="s">
        <v>1026</v>
      </c>
      <c r="AD117" s="19" t="s">
        <v>2210</v>
      </c>
      <c r="AE117" s="19" t="s">
        <v>2211</v>
      </c>
      <c r="AF117" s="19" t="s">
        <v>2212</v>
      </c>
      <c r="AG117" s="19" t="s">
        <v>2213</v>
      </c>
      <c r="AH117" s="19" t="s">
        <v>707</v>
      </c>
      <c r="AI117" s="19" t="s">
        <v>111</v>
      </c>
      <c r="AJ117" s="19" t="s">
        <v>2214</v>
      </c>
      <c r="AK117" s="19"/>
      <c r="AL117" s="19"/>
      <c r="AM117" s="19" t="s">
        <v>2215</v>
      </c>
      <c r="AN117" s="19" t="s">
        <v>2216</v>
      </c>
      <c r="AO117" s="19" t="s">
        <v>208</v>
      </c>
      <c r="AP117" s="19" t="s">
        <v>209</v>
      </c>
      <c r="AQ117" s="19" t="s">
        <v>117</v>
      </c>
      <c r="AR117" s="19" t="s">
        <v>210</v>
      </c>
      <c r="AS117" s="19" t="s">
        <v>211</v>
      </c>
      <c r="AT117" s="19" t="s">
        <v>212</v>
      </c>
      <c r="AU117" s="19" t="s">
        <v>213</v>
      </c>
      <c r="AV117" s="19" t="s">
        <v>214</v>
      </c>
      <c r="AW117" s="19" t="s">
        <v>215</v>
      </c>
      <c r="AX117" s="19" t="s">
        <v>149</v>
      </c>
      <c r="AY117" s="19" t="s">
        <v>216</v>
      </c>
      <c r="AZ117" s="19" t="s">
        <v>217</v>
      </c>
      <c r="BA117" s="20">
        <v>35521</v>
      </c>
      <c r="BB117" s="19" t="s">
        <v>444</v>
      </c>
      <c r="BC117" s="19" t="s">
        <v>2217</v>
      </c>
      <c r="BD117" s="19" t="s">
        <v>2213</v>
      </c>
      <c r="BE117" s="19" t="s">
        <v>130</v>
      </c>
      <c r="BF117" s="19" t="s">
        <v>2218</v>
      </c>
      <c r="BG117" s="19"/>
      <c r="BH117" s="19" t="s">
        <v>2219</v>
      </c>
      <c r="BI117" s="19" t="s">
        <v>2219</v>
      </c>
      <c r="BJ117" s="19" t="s">
        <v>1259</v>
      </c>
      <c r="BK117" s="19" t="s">
        <v>591</v>
      </c>
      <c r="BL117" s="19" t="s">
        <v>122</v>
      </c>
      <c r="BM117" s="19" t="s">
        <v>592</v>
      </c>
      <c r="BN117" s="21">
        <v>280.90899999999999</v>
      </c>
      <c r="BO117" s="21">
        <v>9771.3633831999996</v>
      </c>
      <c r="BQ117" s="2"/>
      <c r="BR117" s="2"/>
      <c r="BS117" s="2"/>
      <c r="BT117" s="2"/>
      <c r="BU117" s="22"/>
      <c r="BV117" s="2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</row>
    <row r="118" spans="1:95" x14ac:dyDescent="0.25">
      <c r="A118" s="18">
        <v>115</v>
      </c>
      <c r="B118" s="19" t="s">
        <v>2220</v>
      </c>
      <c r="C118" s="19" t="s">
        <v>2221</v>
      </c>
      <c r="D118" s="20">
        <v>46022</v>
      </c>
      <c r="E118" s="20">
        <v>38755</v>
      </c>
      <c r="F118" s="19" t="s">
        <v>2222</v>
      </c>
      <c r="G118" s="19" t="s">
        <v>139</v>
      </c>
      <c r="H118" s="19" t="s">
        <v>94</v>
      </c>
      <c r="I118" s="19"/>
      <c r="J118" s="19"/>
      <c r="K118" s="19"/>
      <c r="L118" s="19" t="s">
        <v>140</v>
      </c>
      <c r="M118" s="19" t="s">
        <v>141</v>
      </c>
      <c r="N118" s="19" t="s">
        <v>2223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 t="s">
        <v>101</v>
      </c>
      <c r="Z118" s="19" t="s">
        <v>102</v>
      </c>
      <c r="AA118" s="19" t="s">
        <v>103</v>
      </c>
      <c r="AB118" s="19" t="s">
        <v>173</v>
      </c>
      <c r="AC118" s="19" t="s">
        <v>174</v>
      </c>
      <c r="AD118" s="19" t="s">
        <v>2224</v>
      </c>
      <c r="AE118" s="19"/>
      <c r="AF118" s="19"/>
      <c r="AG118" s="19" t="s">
        <v>2225</v>
      </c>
      <c r="AH118" s="19" t="s">
        <v>231</v>
      </c>
      <c r="AI118" s="19"/>
      <c r="AJ118" s="19" t="s">
        <v>2226</v>
      </c>
      <c r="AK118" s="19"/>
      <c r="AL118" s="19" t="s">
        <v>2227</v>
      </c>
      <c r="AM118" s="19" t="s">
        <v>2228</v>
      </c>
      <c r="AN118" s="19" t="s">
        <v>2229</v>
      </c>
      <c r="AO118" s="19" t="s">
        <v>154</v>
      </c>
      <c r="AP118" s="19" t="s">
        <v>155</v>
      </c>
      <c r="AQ118" s="19" t="s">
        <v>117</v>
      </c>
      <c r="AR118" s="19" t="s">
        <v>156</v>
      </c>
      <c r="AS118" s="19" t="s">
        <v>157</v>
      </c>
      <c r="AT118" s="19" t="s">
        <v>158</v>
      </c>
      <c r="AU118" s="19"/>
      <c r="AV118" s="19" t="s">
        <v>122</v>
      </c>
      <c r="AW118" s="19"/>
      <c r="AX118" s="19" t="s">
        <v>124</v>
      </c>
      <c r="AY118" s="19" t="s">
        <v>159</v>
      </c>
      <c r="AZ118" s="19" t="s">
        <v>160</v>
      </c>
      <c r="BA118" s="20">
        <v>44676</v>
      </c>
      <c r="BB118" s="19" t="s">
        <v>331</v>
      </c>
      <c r="BC118" s="19" t="s">
        <v>2230</v>
      </c>
      <c r="BD118" s="19" t="s">
        <v>2231</v>
      </c>
      <c r="BE118" s="19" t="s">
        <v>130</v>
      </c>
      <c r="BF118" s="19" t="s">
        <v>2232</v>
      </c>
      <c r="BG118" s="19"/>
      <c r="BH118" s="19" t="s">
        <v>2233</v>
      </c>
      <c r="BI118" s="19" t="s">
        <v>2233</v>
      </c>
      <c r="BJ118" s="19" t="s">
        <v>166</v>
      </c>
      <c r="BK118" s="19" t="s">
        <v>167</v>
      </c>
      <c r="BL118" s="19" t="s">
        <v>168</v>
      </c>
      <c r="BM118" s="19" t="s">
        <v>169</v>
      </c>
      <c r="BN118" s="21">
        <v>2.823</v>
      </c>
      <c r="BO118" s="21">
        <v>100.00251660000001</v>
      </c>
      <c r="BQ118" s="2"/>
      <c r="BR118" s="2"/>
      <c r="BS118" s="2"/>
      <c r="BT118" s="2"/>
      <c r="BU118" s="22"/>
      <c r="BV118" s="2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</row>
    <row r="119" spans="1:95" x14ac:dyDescent="0.25">
      <c r="A119" s="18">
        <v>116</v>
      </c>
      <c r="B119" s="19" t="s">
        <v>2234</v>
      </c>
      <c r="C119" s="19" t="s">
        <v>2235</v>
      </c>
      <c r="D119" s="20">
        <v>46022</v>
      </c>
      <c r="E119" s="20">
        <v>33587</v>
      </c>
      <c r="F119" s="19"/>
      <c r="G119" s="19"/>
      <c r="H119" s="19" t="s">
        <v>94</v>
      </c>
      <c r="I119" s="19"/>
      <c r="J119" s="19" t="s">
        <v>1276</v>
      </c>
      <c r="K119" s="19" t="s">
        <v>1277</v>
      </c>
      <c r="L119" s="19" t="s">
        <v>97</v>
      </c>
      <c r="M119" s="19" t="s">
        <v>98</v>
      </c>
      <c r="N119" s="19" t="s">
        <v>2236</v>
      </c>
      <c r="O119" s="19" t="s">
        <v>100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 t="s">
        <v>467</v>
      </c>
      <c r="Z119" s="19" t="s">
        <v>2237</v>
      </c>
      <c r="AA119" s="19" t="s">
        <v>103</v>
      </c>
      <c r="AB119" s="19" t="s">
        <v>402</v>
      </c>
      <c r="AC119" s="19" t="s">
        <v>403</v>
      </c>
      <c r="AD119" s="19" t="s">
        <v>2238</v>
      </c>
      <c r="AE119" s="19" t="s">
        <v>2239</v>
      </c>
      <c r="AF119" s="19" t="s">
        <v>2240</v>
      </c>
      <c r="AG119" s="19" t="s">
        <v>2241</v>
      </c>
      <c r="AH119" s="19" t="s">
        <v>1226</v>
      </c>
      <c r="AI119" s="19" t="s">
        <v>111</v>
      </c>
      <c r="AJ119" s="19" t="s">
        <v>2242</v>
      </c>
      <c r="AK119" s="19"/>
      <c r="AL119" s="19"/>
      <c r="AM119" s="19" t="s">
        <v>2243</v>
      </c>
      <c r="AN119" s="19" t="s">
        <v>2244</v>
      </c>
      <c r="AO119" s="19" t="s">
        <v>2245</v>
      </c>
      <c r="AP119" s="19" t="s">
        <v>2246</v>
      </c>
      <c r="AQ119" s="19" t="s">
        <v>117</v>
      </c>
      <c r="AR119" s="19" t="s">
        <v>2247</v>
      </c>
      <c r="AS119" s="19" t="s">
        <v>2248</v>
      </c>
      <c r="AT119" s="19" t="s">
        <v>2249</v>
      </c>
      <c r="AU119" s="19" t="s">
        <v>2250</v>
      </c>
      <c r="AV119" s="19" t="s">
        <v>2240</v>
      </c>
      <c r="AW119" s="19" t="s">
        <v>2242</v>
      </c>
      <c r="AX119" s="19" t="s">
        <v>1226</v>
      </c>
      <c r="AY119" s="19" t="s">
        <v>2251</v>
      </c>
      <c r="AZ119" s="19" t="s">
        <v>2252</v>
      </c>
      <c r="BA119" s="20">
        <v>45978</v>
      </c>
      <c r="BB119" s="19" t="s">
        <v>2253</v>
      </c>
      <c r="BC119" s="19" t="s">
        <v>2254</v>
      </c>
      <c r="BD119" s="19" t="s">
        <v>2255</v>
      </c>
      <c r="BE119" s="19" t="s">
        <v>130</v>
      </c>
      <c r="BF119" s="19" t="s">
        <v>2256</v>
      </c>
      <c r="BG119" s="19" t="s">
        <v>2257</v>
      </c>
      <c r="BH119" s="19" t="s">
        <v>2258</v>
      </c>
      <c r="BI119" s="19" t="s">
        <v>2258</v>
      </c>
      <c r="BJ119" s="19" t="s">
        <v>2259</v>
      </c>
      <c r="BK119" s="19" t="s">
        <v>2260</v>
      </c>
      <c r="BL119" s="19" t="s">
        <v>2261</v>
      </c>
      <c r="BM119" s="19" t="s">
        <v>135</v>
      </c>
      <c r="BN119" s="21">
        <v>0</v>
      </c>
      <c r="BO119" s="21">
        <v>0</v>
      </c>
      <c r="BQ119" s="2"/>
      <c r="BR119" s="2"/>
      <c r="BS119" s="2"/>
      <c r="BT119" s="2"/>
      <c r="BU119" s="22"/>
      <c r="BV119" s="2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</row>
    <row r="120" spans="1:95" x14ac:dyDescent="0.25">
      <c r="A120" s="18">
        <v>117</v>
      </c>
      <c r="B120" s="19" t="s">
        <v>2262</v>
      </c>
      <c r="C120" s="19" t="s">
        <v>2263</v>
      </c>
      <c r="D120" s="20">
        <v>45999</v>
      </c>
      <c r="E120" s="20">
        <v>20824</v>
      </c>
      <c r="F120" s="19"/>
      <c r="G120" s="19"/>
      <c r="H120" s="19" t="s">
        <v>94</v>
      </c>
      <c r="I120" s="19"/>
      <c r="J120" s="19"/>
      <c r="K120" s="19"/>
      <c r="L120" s="19" t="s">
        <v>687</v>
      </c>
      <c r="M120" s="19" t="s">
        <v>688</v>
      </c>
      <c r="N120" s="19" t="s">
        <v>2264</v>
      </c>
      <c r="O120" s="19" t="s">
        <v>100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 t="s">
        <v>101</v>
      </c>
      <c r="Z120" s="19" t="s">
        <v>102</v>
      </c>
      <c r="AA120" s="19" t="s">
        <v>103</v>
      </c>
      <c r="AB120" s="19" t="s">
        <v>292</v>
      </c>
      <c r="AC120" s="19" t="s">
        <v>293</v>
      </c>
      <c r="AD120" s="19" t="s">
        <v>2265</v>
      </c>
      <c r="AE120" s="19" t="s">
        <v>2266</v>
      </c>
      <c r="AF120" s="19"/>
      <c r="AG120" s="19" t="s">
        <v>616</v>
      </c>
      <c r="AH120" s="19" t="s">
        <v>124</v>
      </c>
      <c r="AI120" s="19" t="s">
        <v>111</v>
      </c>
      <c r="AJ120" s="19" t="s">
        <v>2267</v>
      </c>
      <c r="AK120" s="19"/>
      <c r="AL120" s="19"/>
      <c r="AM120" s="19" t="s">
        <v>2268</v>
      </c>
      <c r="AN120" s="19" t="s">
        <v>2269</v>
      </c>
      <c r="AO120" s="19" t="s">
        <v>2270</v>
      </c>
      <c r="AP120" s="19" t="s">
        <v>2271</v>
      </c>
      <c r="AQ120" s="19" t="s">
        <v>117</v>
      </c>
      <c r="AR120" s="19" t="s">
        <v>2272</v>
      </c>
      <c r="AS120" s="19" t="s">
        <v>2273</v>
      </c>
      <c r="AT120" s="19" t="s">
        <v>2274</v>
      </c>
      <c r="AU120" s="19"/>
      <c r="AV120" s="19" t="s">
        <v>2275</v>
      </c>
      <c r="AW120" s="19" t="s">
        <v>2276</v>
      </c>
      <c r="AX120" s="19" t="s">
        <v>124</v>
      </c>
      <c r="AY120" s="19" t="s">
        <v>2277</v>
      </c>
      <c r="AZ120" s="19" t="s">
        <v>2278</v>
      </c>
      <c r="BA120" s="20">
        <v>40274</v>
      </c>
      <c r="BB120" s="19" t="s">
        <v>312</v>
      </c>
      <c r="BC120" s="19" t="s">
        <v>2279</v>
      </c>
      <c r="BD120" s="19" t="s">
        <v>623</v>
      </c>
      <c r="BE120" s="19" t="s">
        <v>130</v>
      </c>
      <c r="BF120" s="19" t="s">
        <v>2280</v>
      </c>
      <c r="BG120" s="19"/>
      <c r="BH120" s="19" t="s">
        <v>2281</v>
      </c>
      <c r="BI120" s="19" t="s">
        <v>2281</v>
      </c>
      <c r="BJ120" s="19" t="s">
        <v>166</v>
      </c>
      <c r="BK120" s="19" t="s">
        <v>221</v>
      </c>
      <c r="BL120" s="19" t="s">
        <v>222</v>
      </c>
      <c r="BM120" s="19" t="s">
        <v>169</v>
      </c>
      <c r="BN120" s="21">
        <v>187.71899999999999</v>
      </c>
      <c r="BO120" s="21">
        <v>3090.5117565</v>
      </c>
      <c r="BQ120" s="2"/>
      <c r="BR120" s="2"/>
      <c r="BS120" s="2"/>
      <c r="BT120" s="2"/>
      <c r="BU120" s="22"/>
      <c r="BV120" s="2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</row>
    <row r="121" spans="1:95" x14ac:dyDescent="0.25">
      <c r="A121" s="18">
        <v>118</v>
      </c>
      <c r="B121" s="19" t="s">
        <v>2282</v>
      </c>
      <c r="C121" s="19" t="s">
        <v>2283</v>
      </c>
      <c r="D121" s="20">
        <v>45992</v>
      </c>
      <c r="E121" s="20">
        <v>29437</v>
      </c>
      <c r="F121" s="19" t="s">
        <v>2284</v>
      </c>
      <c r="G121" s="19" t="s">
        <v>139</v>
      </c>
      <c r="H121" s="19" t="s">
        <v>94</v>
      </c>
      <c r="I121" s="19"/>
      <c r="J121" s="19"/>
      <c r="K121" s="19"/>
      <c r="L121" s="19" t="s">
        <v>244</v>
      </c>
      <c r="M121" s="19" t="s">
        <v>245</v>
      </c>
      <c r="N121" s="19" t="s">
        <v>2285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 t="s">
        <v>101</v>
      </c>
      <c r="Z121" s="19" t="s">
        <v>102</v>
      </c>
      <c r="AA121" s="19" t="s">
        <v>103</v>
      </c>
      <c r="AB121" s="19" t="s">
        <v>2286</v>
      </c>
      <c r="AC121" s="19" t="s">
        <v>2287</v>
      </c>
      <c r="AD121" s="19" t="s">
        <v>2288</v>
      </c>
      <c r="AE121" s="19" t="s">
        <v>2289</v>
      </c>
      <c r="AF121" s="19" t="s">
        <v>2290</v>
      </c>
      <c r="AG121" s="19" t="s">
        <v>2109</v>
      </c>
      <c r="AH121" s="19" t="s">
        <v>1029</v>
      </c>
      <c r="AI121" s="19"/>
      <c r="AJ121" s="19" t="s">
        <v>2291</v>
      </c>
      <c r="AK121" s="19"/>
      <c r="AL121" s="19"/>
      <c r="AM121" s="19" t="s">
        <v>2292</v>
      </c>
      <c r="AN121" s="19" t="s">
        <v>2293</v>
      </c>
      <c r="AO121" s="19" t="s">
        <v>255</v>
      </c>
      <c r="AP121" s="19" t="s">
        <v>256</v>
      </c>
      <c r="AQ121" s="19" t="s">
        <v>117</v>
      </c>
      <c r="AR121" s="19" t="s">
        <v>257</v>
      </c>
      <c r="AS121" s="19" t="s">
        <v>258</v>
      </c>
      <c r="AT121" s="19" t="s">
        <v>259</v>
      </c>
      <c r="AU121" s="19" t="s">
        <v>260</v>
      </c>
      <c r="AV121" s="19" t="s">
        <v>260</v>
      </c>
      <c r="AW121" s="19" t="s">
        <v>261</v>
      </c>
      <c r="AX121" s="19" t="s">
        <v>262</v>
      </c>
      <c r="AY121" s="19" t="s">
        <v>263</v>
      </c>
      <c r="AZ121" s="19" t="s">
        <v>264</v>
      </c>
      <c r="BA121" s="20">
        <v>43627</v>
      </c>
      <c r="BB121" s="19" t="s">
        <v>349</v>
      </c>
      <c r="BC121" s="19" t="s">
        <v>2294</v>
      </c>
      <c r="BD121" s="19" t="s">
        <v>2294</v>
      </c>
      <c r="BE121" s="19" t="s">
        <v>130</v>
      </c>
      <c r="BF121" s="19" t="s">
        <v>2295</v>
      </c>
      <c r="BG121" s="19"/>
      <c r="BH121" s="19" t="s">
        <v>2296</v>
      </c>
      <c r="BI121" s="19" t="s">
        <v>2296</v>
      </c>
      <c r="BJ121" s="19" t="s">
        <v>166</v>
      </c>
      <c r="BK121" s="19" t="s">
        <v>167</v>
      </c>
      <c r="BL121" s="19" t="s">
        <v>168</v>
      </c>
      <c r="BM121" s="19" t="s">
        <v>169</v>
      </c>
      <c r="BN121" s="21">
        <v>31.757000000000001</v>
      </c>
      <c r="BO121" s="21">
        <v>4738.3794017999999</v>
      </c>
      <c r="BQ121" s="2"/>
      <c r="BR121" s="2"/>
      <c r="BS121" s="2"/>
      <c r="BT121" s="2"/>
      <c r="BU121" s="22"/>
      <c r="BV121" s="2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</row>
    <row r="122" spans="1:95" x14ac:dyDescent="0.25">
      <c r="A122" s="18">
        <v>119</v>
      </c>
      <c r="B122" s="19" t="s">
        <v>2297</v>
      </c>
      <c r="C122" s="19" t="s">
        <v>2298</v>
      </c>
      <c r="D122" s="20">
        <v>46020</v>
      </c>
      <c r="E122" s="20">
        <v>36757</v>
      </c>
      <c r="F122" s="19"/>
      <c r="G122" s="19"/>
      <c r="H122" s="19" t="s">
        <v>94</v>
      </c>
      <c r="I122" s="19"/>
      <c r="J122" s="19"/>
      <c r="K122" s="19"/>
      <c r="L122" s="19" t="s">
        <v>140</v>
      </c>
      <c r="M122" s="19" t="s">
        <v>141</v>
      </c>
      <c r="N122" s="19" t="s">
        <v>2299</v>
      </c>
      <c r="O122" s="19" t="s">
        <v>100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 t="s">
        <v>101</v>
      </c>
      <c r="Z122" s="19" t="s">
        <v>102</v>
      </c>
      <c r="AA122" s="19" t="s">
        <v>103</v>
      </c>
      <c r="AB122" s="19" t="s">
        <v>1372</v>
      </c>
      <c r="AC122" s="19" t="s">
        <v>1373</v>
      </c>
      <c r="AD122" s="19" t="s">
        <v>2300</v>
      </c>
      <c r="AE122" s="19" t="s">
        <v>2301</v>
      </c>
      <c r="AF122" s="19" t="s">
        <v>2302</v>
      </c>
      <c r="AG122" s="19" t="s">
        <v>2303</v>
      </c>
      <c r="AH122" s="19" t="s">
        <v>677</v>
      </c>
      <c r="AI122" s="19" t="s">
        <v>111</v>
      </c>
      <c r="AJ122" s="19" t="s">
        <v>2304</v>
      </c>
      <c r="AK122" s="19"/>
      <c r="AL122" s="19"/>
      <c r="AM122" s="19" t="s">
        <v>2305</v>
      </c>
      <c r="AN122" s="19" t="s">
        <v>2306</v>
      </c>
      <c r="AO122" s="19" t="s">
        <v>2307</v>
      </c>
      <c r="AP122" s="19" t="s">
        <v>2308</v>
      </c>
      <c r="AQ122" s="19" t="s">
        <v>94</v>
      </c>
      <c r="AR122" s="19" t="s">
        <v>2309</v>
      </c>
      <c r="AS122" s="19" t="s">
        <v>2310</v>
      </c>
      <c r="AT122" s="19" t="s">
        <v>2311</v>
      </c>
      <c r="AU122" s="19" t="s">
        <v>2312</v>
      </c>
      <c r="AV122" s="19" t="s">
        <v>122</v>
      </c>
      <c r="AW122" s="19" t="s">
        <v>2313</v>
      </c>
      <c r="AX122" s="19" t="s">
        <v>901</v>
      </c>
      <c r="AY122" s="19" t="s">
        <v>2314</v>
      </c>
      <c r="AZ122" s="19" t="s">
        <v>2315</v>
      </c>
      <c r="BA122" s="20">
        <v>43194</v>
      </c>
      <c r="BB122" s="19" t="s">
        <v>2308</v>
      </c>
      <c r="BC122" s="19" t="s">
        <v>2316</v>
      </c>
      <c r="BD122" s="19" t="s">
        <v>2317</v>
      </c>
      <c r="BE122" s="19" t="s">
        <v>130</v>
      </c>
      <c r="BF122" s="19" t="s">
        <v>2318</v>
      </c>
      <c r="BG122" s="19"/>
      <c r="BH122" s="19" t="s">
        <v>2319</v>
      </c>
      <c r="BI122" s="19" t="s">
        <v>2319</v>
      </c>
      <c r="BJ122" s="19" t="s">
        <v>166</v>
      </c>
      <c r="BK122" s="19" t="s">
        <v>195</v>
      </c>
      <c r="BL122" s="19" t="s">
        <v>122</v>
      </c>
      <c r="BM122" s="19" t="s">
        <v>196</v>
      </c>
      <c r="BN122" s="21">
        <v>0</v>
      </c>
      <c r="BO122" s="21">
        <v>0</v>
      </c>
      <c r="BQ122" s="2"/>
      <c r="BR122" s="2"/>
      <c r="BS122" s="2"/>
      <c r="BT122" s="2"/>
      <c r="BU122" s="22"/>
      <c r="BV122" s="2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</row>
    <row r="123" spans="1:95" x14ac:dyDescent="0.25">
      <c r="A123" s="18">
        <v>120</v>
      </c>
      <c r="B123" s="19" t="s">
        <v>2320</v>
      </c>
      <c r="C123" s="19" t="s">
        <v>2321</v>
      </c>
      <c r="D123" s="20">
        <v>45995</v>
      </c>
      <c r="E123" s="20">
        <v>30728</v>
      </c>
      <c r="F123" s="19"/>
      <c r="G123" s="19"/>
      <c r="H123" s="19" t="s">
        <v>94</v>
      </c>
      <c r="I123" s="19"/>
      <c r="J123" s="19" t="s">
        <v>287</v>
      </c>
      <c r="K123" s="19" t="s">
        <v>288</v>
      </c>
      <c r="L123" s="19" t="s">
        <v>687</v>
      </c>
      <c r="M123" s="19" t="s">
        <v>688</v>
      </c>
      <c r="N123" s="19" t="s">
        <v>2322</v>
      </c>
      <c r="O123" s="19" t="s">
        <v>100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 t="s">
        <v>101</v>
      </c>
      <c r="Z123" s="19" t="s">
        <v>102</v>
      </c>
      <c r="AA123" s="19" t="s">
        <v>103</v>
      </c>
      <c r="AB123" s="19" t="s">
        <v>247</v>
      </c>
      <c r="AC123" s="19" t="s">
        <v>248</v>
      </c>
      <c r="AD123" s="19" t="s">
        <v>2323</v>
      </c>
      <c r="AE123" s="19" t="s">
        <v>2324</v>
      </c>
      <c r="AF123" s="19" t="s">
        <v>2325</v>
      </c>
      <c r="AG123" s="19" t="s">
        <v>2326</v>
      </c>
      <c r="AH123" s="19" t="s">
        <v>515</v>
      </c>
      <c r="AI123" s="19" t="s">
        <v>111</v>
      </c>
      <c r="AJ123" s="19" t="s">
        <v>2327</v>
      </c>
      <c r="AK123" s="19"/>
      <c r="AL123" s="19"/>
      <c r="AM123" s="19" t="s">
        <v>2328</v>
      </c>
      <c r="AN123" s="19" t="s">
        <v>2329</v>
      </c>
      <c r="AO123" s="19" t="s">
        <v>1077</v>
      </c>
      <c r="AP123" s="19" t="s">
        <v>1077</v>
      </c>
      <c r="AQ123" s="19" t="s">
        <v>117</v>
      </c>
      <c r="AR123" s="19"/>
      <c r="AS123" s="19" t="s">
        <v>1078</v>
      </c>
      <c r="AT123" s="19"/>
      <c r="AU123" s="19"/>
      <c r="AV123" s="19"/>
      <c r="AW123" s="19" t="s">
        <v>1079</v>
      </c>
      <c r="AX123" s="19"/>
      <c r="AY123" s="19"/>
      <c r="AZ123" s="19"/>
      <c r="BA123" s="20">
        <v>38627</v>
      </c>
      <c r="BB123" s="19" t="s">
        <v>1342</v>
      </c>
      <c r="BC123" s="19" t="s">
        <v>2330</v>
      </c>
      <c r="BD123" s="19" t="s">
        <v>514</v>
      </c>
      <c r="BE123" s="19" t="s">
        <v>130</v>
      </c>
      <c r="BF123" s="19" t="s">
        <v>2331</v>
      </c>
      <c r="BG123" s="19"/>
      <c r="BH123" s="19" t="s">
        <v>2332</v>
      </c>
      <c r="BI123" s="19" t="s">
        <v>2332</v>
      </c>
      <c r="BJ123" s="19" t="s">
        <v>166</v>
      </c>
      <c r="BK123" s="19" t="s">
        <v>221</v>
      </c>
      <c r="BL123" s="19" t="s">
        <v>222</v>
      </c>
      <c r="BM123" s="19" t="s">
        <v>169</v>
      </c>
      <c r="BN123" s="21">
        <v>2290.94</v>
      </c>
      <c r="BO123" s="21">
        <v>1004605.5976560001</v>
      </c>
      <c r="BQ123" s="2"/>
      <c r="BR123" s="2"/>
      <c r="BS123" s="2"/>
      <c r="BT123" s="2"/>
      <c r="BU123" s="22"/>
      <c r="BV123" s="2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</row>
    <row r="124" spans="1:95" x14ac:dyDescent="0.25">
      <c r="A124" s="18">
        <v>121</v>
      </c>
      <c r="B124" s="19" t="s">
        <v>2333</v>
      </c>
      <c r="C124" s="19" t="s">
        <v>2334</v>
      </c>
      <c r="D124" s="20">
        <v>46000</v>
      </c>
      <c r="E124" s="20">
        <v>34773</v>
      </c>
      <c r="F124" s="19"/>
      <c r="G124" s="19"/>
      <c r="H124" s="19" t="s">
        <v>94</v>
      </c>
      <c r="I124" s="19"/>
      <c r="J124" s="19"/>
      <c r="K124" s="19"/>
      <c r="L124" s="19" t="s">
        <v>140</v>
      </c>
      <c r="M124" s="19" t="s">
        <v>141</v>
      </c>
      <c r="N124" s="19" t="s">
        <v>2335</v>
      </c>
      <c r="O124" s="19" t="s">
        <v>100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 t="s">
        <v>101</v>
      </c>
      <c r="Z124" s="19" t="s">
        <v>102</v>
      </c>
      <c r="AA124" s="19" t="s">
        <v>103</v>
      </c>
      <c r="AB124" s="19" t="s">
        <v>1025</v>
      </c>
      <c r="AC124" s="19" t="s">
        <v>1026</v>
      </c>
      <c r="AD124" s="19" t="s">
        <v>2336</v>
      </c>
      <c r="AE124" s="19" t="s">
        <v>2337</v>
      </c>
      <c r="AF124" s="19"/>
      <c r="AG124" s="19" t="s">
        <v>2338</v>
      </c>
      <c r="AH124" s="19" t="s">
        <v>515</v>
      </c>
      <c r="AI124" s="19" t="s">
        <v>111</v>
      </c>
      <c r="AJ124" s="19" t="s">
        <v>2339</v>
      </c>
      <c r="AK124" s="19"/>
      <c r="AL124" s="19"/>
      <c r="AM124" s="19" t="s">
        <v>2340</v>
      </c>
      <c r="AN124" s="19" t="s">
        <v>2341</v>
      </c>
      <c r="AO124" s="19" t="s">
        <v>1206</v>
      </c>
      <c r="AP124" s="19" t="s">
        <v>1207</v>
      </c>
      <c r="AQ124" s="19" t="s">
        <v>117</v>
      </c>
      <c r="AR124" s="19" t="s">
        <v>1208</v>
      </c>
      <c r="AS124" s="19" t="s">
        <v>1209</v>
      </c>
      <c r="AT124" s="19" t="s">
        <v>1210</v>
      </c>
      <c r="AU124" s="19" t="s">
        <v>1211</v>
      </c>
      <c r="AV124" s="19" t="s">
        <v>219</v>
      </c>
      <c r="AW124" s="19" t="s">
        <v>1212</v>
      </c>
      <c r="AX124" s="19" t="s">
        <v>124</v>
      </c>
      <c r="AY124" s="19" t="s">
        <v>1213</v>
      </c>
      <c r="AZ124" s="19" t="s">
        <v>1214</v>
      </c>
      <c r="BA124" s="20">
        <v>37560</v>
      </c>
      <c r="BB124" s="19" t="s">
        <v>161</v>
      </c>
      <c r="BC124" s="19" t="s">
        <v>2342</v>
      </c>
      <c r="BD124" s="19" t="s">
        <v>2343</v>
      </c>
      <c r="BE124" s="19" t="s">
        <v>130</v>
      </c>
      <c r="BF124" s="19" t="s">
        <v>2344</v>
      </c>
      <c r="BG124" s="19"/>
      <c r="BH124" s="19" t="s">
        <v>2345</v>
      </c>
      <c r="BI124" s="19" t="s">
        <v>2345</v>
      </c>
      <c r="BJ124" s="19" t="s">
        <v>194</v>
      </c>
      <c r="BK124" s="19" t="s">
        <v>591</v>
      </c>
      <c r="BL124" s="19" t="s">
        <v>122</v>
      </c>
      <c r="BM124" s="19" t="s">
        <v>592</v>
      </c>
      <c r="BN124" s="21">
        <v>36.366999999999997</v>
      </c>
      <c r="BO124" s="21">
        <v>1265.0188215999999</v>
      </c>
      <c r="BQ124" s="2"/>
      <c r="BR124" s="2"/>
      <c r="BS124" s="2"/>
      <c r="BT124" s="2"/>
      <c r="BU124" s="22"/>
      <c r="BV124" s="2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</row>
    <row r="125" spans="1:95" x14ac:dyDescent="0.25">
      <c r="A125" s="18">
        <v>122</v>
      </c>
      <c r="B125" s="19" t="s">
        <v>2346</v>
      </c>
      <c r="C125" s="19" t="s">
        <v>2347</v>
      </c>
      <c r="D125" s="20">
        <v>45993</v>
      </c>
      <c r="E125" s="20">
        <v>34851</v>
      </c>
      <c r="F125" s="19"/>
      <c r="G125" s="19"/>
      <c r="H125" s="19" t="s">
        <v>94</v>
      </c>
      <c r="I125" s="19"/>
      <c r="J125" s="19"/>
      <c r="K125" s="19"/>
      <c r="L125" s="19" t="s">
        <v>140</v>
      </c>
      <c r="M125" s="19" t="s">
        <v>141</v>
      </c>
      <c r="N125" s="19" t="s">
        <v>2348</v>
      </c>
      <c r="O125" s="19" t="s">
        <v>100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 t="s">
        <v>101</v>
      </c>
      <c r="Z125" s="19" t="s">
        <v>102</v>
      </c>
      <c r="AA125" s="19" t="s">
        <v>103</v>
      </c>
      <c r="AB125" s="19" t="s">
        <v>812</v>
      </c>
      <c r="AC125" s="19" t="s">
        <v>813</v>
      </c>
      <c r="AD125" s="19" t="s">
        <v>2349</v>
      </c>
      <c r="AE125" s="19"/>
      <c r="AF125" s="19"/>
      <c r="AG125" s="19" t="s">
        <v>2350</v>
      </c>
      <c r="AH125" s="19" t="s">
        <v>262</v>
      </c>
      <c r="AI125" s="19" t="s">
        <v>111</v>
      </c>
      <c r="AJ125" s="19" t="s">
        <v>2351</v>
      </c>
      <c r="AK125" s="19"/>
      <c r="AL125" s="19"/>
      <c r="AM125" s="19" t="s">
        <v>2352</v>
      </c>
      <c r="AN125" s="19" t="s">
        <v>2353</v>
      </c>
      <c r="AO125" s="19" t="s">
        <v>579</v>
      </c>
      <c r="AP125" s="19" t="s">
        <v>580</v>
      </c>
      <c r="AQ125" s="19" t="s">
        <v>117</v>
      </c>
      <c r="AR125" s="19" t="s">
        <v>581</v>
      </c>
      <c r="AS125" s="19" t="s">
        <v>582</v>
      </c>
      <c r="AT125" s="19" t="s">
        <v>583</v>
      </c>
      <c r="AU125" s="19" t="s">
        <v>584</v>
      </c>
      <c r="AV125" s="19" t="s">
        <v>168</v>
      </c>
      <c r="AW125" s="19" t="s">
        <v>585</v>
      </c>
      <c r="AX125" s="19" t="s">
        <v>262</v>
      </c>
      <c r="AY125" s="19" t="s">
        <v>586</v>
      </c>
      <c r="AZ125" s="19" t="s">
        <v>587</v>
      </c>
      <c r="BA125" s="20">
        <v>44494</v>
      </c>
      <c r="BB125" s="19" t="s">
        <v>312</v>
      </c>
      <c r="BC125" s="19" t="s">
        <v>2354</v>
      </c>
      <c r="BD125" s="19" t="s">
        <v>260</v>
      </c>
      <c r="BE125" s="19" t="s">
        <v>130</v>
      </c>
      <c r="BF125" s="19" t="s">
        <v>2355</v>
      </c>
      <c r="BG125" s="19"/>
      <c r="BH125" s="19" t="s">
        <v>2356</v>
      </c>
      <c r="BI125" s="19" t="s">
        <v>2356</v>
      </c>
      <c r="BJ125" s="19" t="s">
        <v>194</v>
      </c>
      <c r="BK125" s="19" t="s">
        <v>591</v>
      </c>
      <c r="BL125" s="19" t="s">
        <v>122</v>
      </c>
      <c r="BM125" s="19" t="s">
        <v>592</v>
      </c>
      <c r="BN125" s="21">
        <v>14.602</v>
      </c>
      <c r="BO125" s="21">
        <v>506.25134000000003</v>
      </c>
      <c r="BQ125" s="2"/>
      <c r="BR125" s="2"/>
      <c r="BS125" s="2"/>
      <c r="BT125" s="2"/>
      <c r="BU125" s="22"/>
      <c r="BV125" s="2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</row>
    <row r="126" spans="1:95" x14ac:dyDescent="0.25">
      <c r="A126" s="18">
        <v>123</v>
      </c>
      <c r="B126" s="19" t="s">
        <v>2357</v>
      </c>
      <c r="C126" s="19" t="s">
        <v>2358</v>
      </c>
      <c r="D126" s="20">
        <v>46000</v>
      </c>
      <c r="E126" s="20">
        <v>26253</v>
      </c>
      <c r="F126" s="19"/>
      <c r="G126" s="19"/>
      <c r="H126" s="19" t="s">
        <v>94</v>
      </c>
      <c r="I126" s="19"/>
      <c r="J126" s="19"/>
      <c r="K126" s="19"/>
      <c r="L126" s="19" t="s">
        <v>2359</v>
      </c>
      <c r="M126" s="19" t="s">
        <v>2360</v>
      </c>
      <c r="N126" s="19" t="s">
        <v>2361</v>
      </c>
      <c r="O126" s="19" t="s">
        <v>100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 t="s">
        <v>101</v>
      </c>
      <c r="Z126" s="19" t="s">
        <v>102</v>
      </c>
      <c r="AA126" s="19" t="s">
        <v>103</v>
      </c>
      <c r="AB126" s="19" t="s">
        <v>1025</v>
      </c>
      <c r="AC126" s="19" t="s">
        <v>1026</v>
      </c>
      <c r="AD126" s="19" t="s">
        <v>2362</v>
      </c>
      <c r="AE126" s="19" t="s">
        <v>2363</v>
      </c>
      <c r="AF126" s="19" t="s">
        <v>2364</v>
      </c>
      <c r="AG126" s="19" t="s">
        <v>2365</v>
      </c>
      <c r="AH126" s="19" t="s">
        <v>231</v>
      </c>
      <c r="AI126" s="19" t="s">
        <v>111</v>
      </c>
      <c r="AJ126" s="19" t="s">
        <v>2366</v>
      </c>
      <c r="AK126" s="19"/>
      <c r="AL126" s="19"/>
      <c r="AM126" s="19" t="s">
        <v>2367</v>
      </c>
      <c r="AN126" s="19" t="s">
        <v>2368</v>
      </c>
      <c r="AO126" s="19" t="s">
        <v>2369</v>
      </c>
      <c r="AP126" s="19" t="s">
        <v>2370</v>
      </c>
      <c r="AQ126" s="19" t="s">
        <v>94</v>
      </c>
      <c r="AR126" s="19" t="s">
        <v>2371</v>
      </c>
      <c r="AS126" s="19" t="s">
        <v>2372</v>
      </c>
      <c r="AT126" s="19" t="s">
        <v>2373</v>
      </c>
      <c r="AU126" s="19" t="s">
        <v>2374</v>
      </c>
      <c r="AV126" s="19" t="s">
        <v>222</v>
      </c>
      <c r="AW126" s="19" t="s">
        <v>2375</v>
      </c>
      <c r="AX126" s="19" t="s">
        <v>515</v>
      </c>
      <c r="AY126" s="19" t="s">
        <v>2376</v>
      </c>
      <c r="AZ126" s="19" t="s">
        <v>2377</v>
      </c>
      <c r="BA126" s="20">
        <v>42262</v>
      </c>
      <c r="BB126" s="19" t="s">
        <v>2378</v>
      </c>
      <c r="BC126" s="19" t="s">
        <v>2379</v>
      </c>
      <c r="BD126" s="19" t="s">
        <v>2380</v>
      </c>
      <c r="BE126" s="19" t="s">
        <v>130</v>
      </c>
      <c r="BF126" s="19" t="s">
        <v>2381</v>
      </c>
      <c r="BG126" s="19"/>
      <c r="BH126" s="19" t="s">
        <v>2382</v>
      </c>
      <c r="BI126" s="19" t="s">
        <v>2382</v>
      </c>
      <c r="BJ126" s="19" t="s">
        <v>166</v>
      </c>
      <c r="BK126" s="19" t="s">
        <v>195</v>
      </c>
      <c r="BL126" s="19" t="s">
        <v>122</v>
      </c>
      <c r="BM126" s="19" t="s">
        <v>196</v>
      </c>
      <c r="BN126" s="21">
        <v>0</v>
      </c>
      <c r="BO126" s="21">
        <v>0</v>
      </c>
      <c r="BQ126" s="2"/>
      <c r="BR126" s="2"/>
      <c r="BS126" s="2"/>
      <c r="BT126" s="2"/>
      <c r="BU126" s="22"/>
      <c r="BV126" s="2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</row>
    <row r="127" spans="1:95" x14ac:dyDescent="0.25">
      <c r="A127" s="18">
        <v>124</v>
      </c>
      <c r="B127" s="19" t="s">
        <v>2383</v>
      </c>
      <c r="C127" s="19" t="s">
        <v>2384</v>
      </c>
      <c r="D127" s="20">
        <v>45994</v>
      </c>
      <c r="E127" s="20">
        <v>38612</v>
      </c>
      <c r="F127" s="19"/>
      <c r="G127" s="19"/>
      <c r="H127" s="19" t="s">
        <v>94</v>
      </c>
      <c r="I127" s="19"/>
      <c r="J127" s="19"/>
      <c r="K127" s="19"/>
      <c r="L127" s="19" t="s">
        <v>1262</v>
      </c>
      <c r="M127" s="19" t="s">
        <v>1263</v>
      </c>
      <c r="N127" s="19" t="s">
        <v>2385</v>
      </c>
      <c r="O127" s="19" t="s">
        <v>100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 t="s">
        <v>101</v>
      </c>
      <c r="Z127" s="19" t="s">
        <v>102</v>
      </c>
      <c r="AA127" s="19" t="s">
        <v>103</v>
      </c>
      <c r="AB127" s="19" t="s">
        <v>812</v>
      </c>
      <c r="AC127" s="19" t="s">
        <v>813</v>
      </c>
      <c r="AD127" s="19" t="s">
        <v>2386</v>
      </c>
      <c r="AE127" s="19" t="s">
        <v>2387</v>
      </c>
      <c r="AF127" s="19"/>
      <c r="AG127" s="19" t="s">
        <v>1140</v>
      </c>
      <c r="AH127" s="19" t="s">
        <v>327</v>
      </c>
      <c r="AI127" s="19" t="s">
        <v>111</v>
      </c>
      <c r="AJ127" s="19" t="s">
        <v>2388</v>
      </c>
      <c r="AK127" s="19"/>
      <c r="AL127" s="19"/>
      <c r="AM127" s="19" t="s">
        <v>2389</v>
      </c>
      <c r="AN127" s="19" t="s">
        <v>2390</v>
      </c>
      <c r="AO127" s="19" t="s">
        <v>1206</v>
      </c>
      <c r="AP127" s="19" t="s">
        <v>1207</v>
      </c>
      <c r="AQ127" s="19" t="s">
        <v>117</v>
      </c>
      <c r="AR127" s="19" t="s">
        <v>1208</v>
      </c>
      <c r="AS127" s="19" t="s">
        <v>1209</v>
      </c>
      <c r="AT127" s="19" t="s">
        <v>1210</v>
      </c>
      <c r="AU127" s="19" t="s">
        <v>1211</v>
      </c>
      <c r="AV127" s="19" t="s">
        <v>219</v>
      </c>
      <c r="AW127" s="19" t="s">
        <v>1212</v>
      </c>
      <c r="AX127" s="19" t="s">
        <v>124</v>
      </c>
      <c r="AY127" s="19" t="s">
        <v>1213</v>
      </c>
      <c r="AZ127" s="19" t="s">
        <v>1214</v>
      </c>
      <c r="BA127" s="20">
        <v>37560</v>
      </c>
      <c r="BB127" s="19" t="s">
        <v>161</v>
      </c>
      <c r="BC127" s="19" t="s">
        <v>2391</v>
      </c>
      <c r="BD127" s="19" t="s">
        <v>1140</v>
      </c>
      <c r="BE127" s="19" t="s">
        <v>130</v>
      </c>
      <c r="BF127" s="19" t="s">
        <v>2392</v>
      </c>
      <c r="BG127" s="19"/>
      <c r="BH127" s="19" t="s">
        <v>2393</v>
      </c>
      <c r="BI127" s="19" t="s">
        <v>2393</v>
      </c>
      <c r="BJ127" s="19" t="s">
        <v>194</v>
      </c>
      <c r="BK127" s="19" t="s">
        <v>591</v>
      </c>
      <c r="BL127" s="19" t="s">
        <v>122</v>
      </c>
      <c r="BM127" s="19" t="s">
        <v>592</v>
      </c>
      <c r="BN127" s="21">
        <v>5.9329999999999998</v>
      </c>
      <c r="BO127" s="21">
        <v>205.69711000000001</v>
      </c>
      <c r="BQ127" s="2"/>
      <c r="BR127" s="2"/>
      <c r="BS127" s="2"/>
      <c r="BT127" s="2"/>
      <c r="BU127" s="22"/>
      <c r="BV127" s="2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</row>
    <row r="128" spans="1:95" x14ac:dyDescent="0.25">
      <c r="A128" s="18">
        <v>125</v>
      </c>
      <c r="B128" s="19" t="s">
        <v>2394</v>
      </c>
      <c r="C128" s="19" t="s">
        <v>2395</v>
      </c>
      <c r="D128" s="20">
        <v>45994</v>
      </c>
      <c r="E128" s="20">
        <v>36423</v>
      </c>
      <c r="F128" s="19" t="s">
        <v>2396</v>
      </c>
      <c r="G128" s="19" t="s">
        <v>139</v>
      </c>
      <c r="H128" s="19" t="s">
        <v>94</v>
      </c>
      <c r="I128" s="19"/>
      <c r="J128" s="19"/>
      <c r="K128" s="19"/>
      <c r="L128" s="19" t="s">
        <v>244</v>
      </c>
      <c r="M128" s="19" t="s">
        <v>245</v>
      </c>
      <c r="N128" s="19" t="s">
        <v>2397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 t="s">
        <v>101</v>
      </c>
      <c r="Z128" s="19" t="s">
        <v>102</v>
      </c>
      <c r="AA128" s="19" t="s">
        <v>103</v>
      </c>
      <c r="AB128" s="19" t="s">
        <v>812</v>
      </c>
      <c r="AC128" s="19" t="s">
        <v>813</v>
      </c>
      <c r="AD128" s="19" t="s">
        <v>2398</v>
      </c>
      <c r="AE128" s="19" t="s">
        <v>2399</v>
      </c>
      <c r="AF128" s="19" t="s">
        <v>2400</v>
      </c>
      <c r="AG128" s="19" t="s">
        <v>2401</v>
      </c>
      <c r="AH128" s="19" t="s">
        <v>376</v>
      </c>
      <c r="AI128" s="19"/>
      <c r="AJ128" s="19" t="s">
        <v>2402</v>
      </c>
      <c r="AK128" s="19"/>
      <c r="AL128" s="19" t="s">
        <v>2403</v>
      </c>
      <c r="AM128" s="19" t="s">
        <v>2404</v>
      </c>
      <c r="AN128" s="19"/>
      <c r="AO128" s="19" t="s">
        <v>1407</v>
      </c>
      <c r="AP128" s="19" t="s">
        <v>1408</v>
      </c>
      <c r="AQ128" s="19" t="s">
        <v>117</v>
      </c>
      <c r="AR128" s="19" t="s">
        <v>156</v>
      </c>
      <c r="AS128" s="19" t="s">
        <v>1409</v>
      </c>
      <c r="AT128" s="19" t="s">
        <v>1410</v>
      </c>
      <c r="AU128" s="19" t="s">
        <v>1411</v>
      </c>
      <c r="AV128" s="19" t="s">
        <v>219</v>
      </c>
      <c r="AW128" s="19" t="s">
        <v>1412</v>
      </c>
      <c r="AX128" s="19" t="s">
        <v>124</v>
      </c>
      <c r="AY128" s="19" t="s">
        <v>1413</v>
      </c>
      <c r="AZ128" s="19" t="s">
        <v>1414</v>
      </c>
      <c r="BA128" s="20">
        <v>40180</v>
      </c>
      <c r="BB128" s="19" t="s">
        <v>1002</v>
      </c>
      <c r="BC128" s="19" t="s">
        <v>2405</v>
      </c>
      <c r="BD128" s="19" t="s">
        <v>2405</v>
      </c>
      <c r="BE128" s="19" t="s">
        <v>130</v>
      </c>
      <c r="BF128" s="19" t="s">
        <v>2406</v>
      </c>
      <c r="BG128" s="19"/>
      <c r="BH128" s="19" t="s">
        <v>2407</v>
      </c>
      <c r="BI128" s="19" t="s">
        <v>2407</v>
      </c>
      <c r="BJ128" s="19" t="s">
        <v>166</v>
      </c>
      <c r="BK128" s="19" t="s">
        <v>907</v>
      </c>
      <c r="BL128" s="19" t="s">
        <v>122</v>
      </c>
      <c r="BM128" s="19" t="s">
        <v>592</v>
      </c>
      <c r="BN128" s="21">
        <v>2.9660000000000002</v>
      </c>
      <c r="BO128" s="21">
        <v>102.83122</v>
      </c>
      <c r="BQ128" s="2"/>
      <c r="BR128" s="2"/>
      <c r="BS128" s="2"/>
      <c r="BT128" s="2"/>
      <c r="BU128" s="22"/>
      <c r="BV128" s="2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</row>
    <row r="129" spans="1:95" x14ac:dyDescent="0.25">
      <c r="A129" s="18">
        <v>126</v>
      </c>
      <c r="B129" s="19" t="s">
        <v>2408</v>
      </c>
      <c r="C129" s="19" t="s">
        <v>2409</v>
      </c>
      <c r="D129" s="20">
        <v>46012</v>
      </c>
      <c r="E129" s="20">
        <v>31627</v>
      </c>
      <c r="F129" s="19" t="s">
        <v>2410</v>
      </c>
      <c r="G129" s="19" t="s">
        <v>139</v>
      </c>
      <c r="H129" s="19" t="s">
        <v>94</v>
      </c>
      <c r="I129" s="19"/>
      <c r="J129" s="19"/>
      <c r="K129" s="19"/>
      <c r="L129" s="19" t="s">
        <v>101</v>
      </c>
      <c r="M129" s="19" t="s">
        <v>290</v>
      </c>
      <c r="N129" s="19" t="s">
        <v>2411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 t="s">
        <v>101</v>
      </c>
      <c r="Z129" s="19" t="s">
        <v>102</v>
      </c>
      <c r="AA129" s="19" t="s">
        <v>103</v>
      </c>
      <c r="AB129" s="19" t="s">
        <v>247</v>
      </c>
      <c r="AC129" s="19" t="s">
        <v>248</v>
      </c>
      <c r="AD129" s="19" t="s">
        <v>2412</v>
      </c>
      <c r="AE129" s="19" t="s">
        <v>2413</v>
      </c>
      <c r="AF129" s="19" t="s">
        <v>2414</v>
      </c>
      <c r="AG129" s="19" t="s">
        <v>1549</v>
      </c>
      <c r="AH129" s="19" t="s">
        <v>188</v>
      </c>
      <c r="AI129" s="19" t="s">
        <v>111</v>
      </c>
      <c r="AJ129" s="19" t="s">
        <v>1471</v>
      </c>
      <c r="AK129" s="19"/>
      <c r="AL129" s="19" t="s">
        <v>2415</v>
      </c>
      <c r="AM129" s="19" t="s">
        <v>2416</v>
      </c>
      <c r="AN129" s="19" t="s">
        <v>2417</v>
      </c>
      <c r="AO129" s="19" t="s">
        <v>154</v>
      </c>
      <c r="AP129" s="19" t="s">
        <v>155</v>
      </c>
      <c r="AQ129" s="19" t="s">
        <v>117</v>
      </c>
      <c r="AR129" s="19" t="s">
        <v>156</v>
      </c>
      <c r="AS129" s="19" t="s">
        <v>157</v>
      </c>
      <c r="AT129" s="19" t="s">
        <v>158</v>
      </c>
      <c r="AU129" s="19"/>
      <c r="AV129" s="19" t="s">
        <v>122</v>
      </c>
      <c r="AW129" s="19"/>
      <c r="AX129" s="19" t="s">
        <v>124</v>
      </c>
      <c r="AY129" s="19" t="s">
        <v>159</v>
      </c>
      <c r="AZ129" s="19" t="s">
        <v>160</v>
      </c>
      <c r="BA129" s="20">
        <v>44676</v>
      </c>
      <c r="BB129" s="19" t="s">
        <v>479</v>
      </c>
      <c r="BC129" s="19" t="s">
        <v>2418</v>
      </c>
      <c r="BD129" s="19" t="s">
        <v>514</v>
      </c>
      <c r="BE129" s="19" t="s">
        <v>130</v>
      </c>
      <c r="BF129" s="19" t="s">
        <v>2419</v>
      </c>
      <c r="BG129" s="19"/>
      <c r="BH129" s="19" t="s">
        <v>2420</v>
      </c>
      <c r="BI129" s="19" t="s">
        <v>2420</v>
      </c>
      <c r="BJ129" s="19" t="s">
        <v>166</v>
      </c>
      <c r="BK129" s="19" t="s">
        <v>167</v>
      </c>
      <c r="BL129" s="19" t="s">
        <v>168</v>
      </c>
      <c r="BM129" s="19" t="s">
        <v>169</v>
      </c>
      <c r="BN129" s="21">
        <v>1143.415</v>
      </c>
      <c r="BO129" s="21">
        <v>501401.65584600001</v>
      </c>
      <c r="BQ129" s="2"/>
      <c r="BR129" s="2"/>
      <c r="BS129" s="2"/>
      <c r="BT129" s="2"/>
      <c r="BU129" s="22"/>
      <c r="BV129" s="2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</row>
    <row r="130" spans="1:95" x14ac:dyDescent="0.25">
      <c r="A130" s="18">
        <v>127</v>
      </c>
      <c r="B130" s="19" t="s">
        <v>2421</v>
      </c>
      <c r="C130" s="19" t="s">
        <v>2422</v>
      </c>
      <c r="D130" s="20">
        <v>46012</v>
      </c>
      <c r="E130" s="20">
        <v>38820</v>
      </c>
      <c r="F130" s="19"/>
      <c r="G130" s="19"/>
      <c r="H130" s="19" t="s">
        <v>94</v>
      </c>
      <c r="I130" s="19"/>
      <c r="J130" s="19"/>
      <c r="K130" s="19"/>
      <c r="L130" s="19" t="s">
        <v>1262</v>
      </c>
      <c r="M130" s="19" t="s">
        <v>1263</v>
      </c>
      <c r="N130" s="19" t="s">
        <v>2423</v>
      </c>
      <c r="O130" s="19" t="s">
        <v>100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 t="s">
        <v>101</v>
      </c>
      <c r="Z130" s="19" t="s">
        <v>102</v>
      </c>
      <c r="AA130" s="19" t="s">
        <v>103</v>
      </c>
      <c r="AB130" s="19" t="s">
        <v>487</v>
      </c>
      <c r="AC130" s="19" t="s">
        <v>488</v>
      </c>
      <c r="AD130" s="19" t="s">
        <v>2424</v>
      </c>
      <c r="AE130" s="19" t="s">
        <v>2425</v>
      </c>
      <c r="AF130" s="19" t="s">
        <v>2426</v>
      </c>
      <c r="AG130" s="19" t="s">
        <v>2427</v>
      </c>
      <c r="AH130" s="19" t="s">
        <v>1029</v>
      </c>
      <c r="AI130" s="19"/>
      <c r="AJ130" s="19" t="s">
        <v>2428</v>
      </c>
      <c r="AK130" s="19"/>
      <c r="AL130" s="19"/>
      <c r="AM130" s="19" t="s">
        <v>2429</v>
      </c>
      <c r="AN130" s="19" t="s">
        <v>2430</v>
      </c>
      <c r="AO130" s="19" t="s">
        <v>2431</v>
      </c>
      <c r="AP130" s="19" t="s">
        <v>2432</v>
      </c>
      <c r="AQ130" s="19" t="s">
        <v>117</v>
      </c>
      <c r="AR130" s="19" t="s">
        <v>2433</v>
      </c>
      <c r="AS130" s="19" t="s">
        <v>2434</v>
      </c>
      <c r="AT130" s="19" t="s">
        <v>2435</v>
      </c>
      <c r="AU130" s="19" t="s">
        <v>2436</v>
      </c>
      <c r="AV130" s="19" t="s">
        <v>2436</v>
      </c>
      <c r="AW130" s="19" t="s">
        <v>2428</v>
      </c>
      <c r="AX130" s="19" t="s">
        <v>1029</v>
      </c>
      <c r="AY130" s="19" t="s">
        <v>2437</v>
      </c>
      <c r="AZ130" s="19" t="s">
        <v>2438</v>
      </c>
      <c r="BA130" s="20">
        <v>39906</v>
      </c>
      <c r="BB130" s="19" t="s">
        <v>312</v>
      </c>
      <c r="BC130" s="19" t="s">
        <v>2439</v>
      </c>
      <c r="BD130" s="19" t="s">
        <v>2440</v>
      </c>
      <c r="BE130" s="19" t="s">
        <v>130</v>
      </c>
      <c r="BF130" s="19" t="s">
        <v>2441</v>
      </c>
      <c r="BG130" s="19" t="s">
        <v>2442</v>
      </c>
      <c r="BH130" s="19" t="s">
        <v>2443</v>
      </c>
      <c r="BI130" s="19" t="s">
        <v>2443</v>
      </c>
      <c r="BJ130" s="19" t="s">
        <v>166</v>
      </c>
      <c r="BK130" s="19" t="s">
        <v>2444</v>
      </c>
      <c r="BL130" s="19" t="s">
        <v>2445</v>
      </c>
      <c r="BM130" s="19" t="s">
        <v>592</v>
      </c>
      <c r="BN130" s="21">
        <v>12.723000000000001</v>
      </c>
      <c r="BO130" s="21">
        <v>5509.1455163999999</v>
      </c>
      <c r="BQ130" s="2"/>
      <c r="BR130" s="2"/>
      <c r="BS130" s="2"/>
      <c r="BT130" s="2"/>
      <c r="BU130" s="22"/>
      <c r="BV130" s="2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</row>
    <row r="131" spans="1:95" x14ac:dyDescent="0.25">
      <c r="A131" s="18">
        <v>128</v>
      </c>
      <c r="B131" s="19" t="s">
        <v>2446</v>
      </c>
      <c r="C131" s="19" t="s">
        <v>2447</v>
      </c>
      <c r="D131" s="20">
        <v>46002</v>
      </c>
      <c r="E131" s="20">
        <v>34729</v>
      </c>
      <c r="F131" s="19"/>
      <c r="G131" s="19"/>
      <c r="H131" s="19" t="s">
        <v>94</v>
      </c>
      <c r="I131" s="19"/>
      <c r="J131" s="19"/>
      <c r="K131" s="19"/>
      <c r="L131" s="19" t="s">
        <v>2080</v>
      </c>
      <c r="M131" s="19" t="s">
        <v>141</v>
      </c>
      <c r="N131" s="19" t="s">
        <v>2448</v>
      </c>
      <c r="O131" s="19" t="s">
        <v>100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 t="s">
        <v>101</v>
      </c>
      <c r="Z131" s="19" t="s">
        <v>102</v>
      </c>
      <c r="AA131" s="19" t="s">
        <v>103</v>
      </c>
      <c r="AB131" s="19" t="s">
        <v>1372</v>
      </c>
      <c r="AC131" s="19" t="s">
        <v>1373</v>
      </c>
      <c r="AD131" s="19" t="s">
        <v>2449</v>
      </c>
      <c r="AE131" s="19" t="s">
        <v>2450</v>
      </c>
      <c r="AF131" s="19" t="s">
        <v>2451</v>
      </c>
      <c r="AG131" s="19" t="s">
        <v>472</v>
      </c>
      <c r="AH131" s="19" t="s">
        <v>188</v>
      </c>
      <c r="AI131" s="19" t="s">
        <v>111</v>
      </c>
      <c r="AJ131" s="19" t="s">
        <v>2452</v>
      </c>
      <c r="AK131" s="19" t="s">
        <v>2453</v>
      </c>
      <c r="AL131" s="19" t="s">
        <v>2454</v>
      </c>
      <c r="AM131" s="19" t="s">
        <v>2455</v>
      </c>
      <c r="AN131" s="19" t="s">
        <v>2456</v>
      </c>
      <c r="AO131" s="19" t="s">
        <v>2088</v>
      </c>
      <c r="AP131" s="19" t="s">
        <v>2089</v>
      </c>
      <c r="AQ131" s="19" t="s">
        <v>94</v>
      </c>
      <c r="AR131" s="19" t="s">
        <v>2090</v>
      </c>
      <c r="AS131" s="19" t="s">
        <v>2091</v>
      </c>
      <c r="AT131" s="19" t="s">
        <v>2092</v>
      </c>
      <c r="AU131" s="19" t="s">
        <v>2093</v>
      </c>
      <c r="AV131" s="19" t="s">
        <v>122</v>
      </c>
      <c r="AW131" s="19" t="s">
        <v>2094</v>
      </c>
      <c r="AX131" s="19" t="s">
        <v>901</v>
      </c>
      <c r="AY131" s="19" t="s">
        <v>2095</v>
      </c>
      <c r="AZ131" s="19" t="s">
        <v>2096</v>
      </c>
      <c r="BA131" s="20">
        <v>39974</v>
      </c>
      <c r="BB131" s="19" t="s">
        <v>2097</v>
      </c>
      <c r="BC131" s="19" t="s">
        <v>2457</v>
      </c>
      <c r="BD131" s="19" t="s">
        <v>2458</v>
      </c>
      <c r="BE131" s="19" t="s">
        <v>130</v>
      </c>
      <c r="BF131" s="19" t="s">
        <v>2459</v>
      </c>
      <c r="BG131" s="19" t="s">
        <v>2460</v>
      </c>
      <c r="BH131" s="19" t="s">
        <v>2461</v>
      </c>
      <c r="BI131" s="19" t="s">
        <v>2461</v>
      </c>
      <c r="BJ131" s="19" t="s">
        <v>1259</v>
      </c>
      <c r="BK131" s="19" t="s">
        <v>195</v>
      </c>
      <c r="BL131" s="19" t="s">
        <v>122</v>
      </c>
      <c r="BM131" s="19" t="s">
        <v>196</v>
      </c>
      <c r="BN131" s="21">
        <v>26.693000000000001</v>
      </c>
      <c r="BO131" s="21">
        <v>1032.9710525999999</v>
      </c>
      <c r="BQ131" s="2"/>
      <c r="BR131" s="2"/>
      <c r="BS131" s="2"/>
      <c r="BT131" s="2"/>
      <c r="BU131" s="22"/>
      <c r="BV131" s="2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</row>
    <row r="132" spans="1:95" x14ac:dyDescent="0.25">
      <c r="A132" s="18">
        <v>129</v>
      </c>
      <c r="B132" s="19" t="s">
        <v>2462</v>
      </c>
      <c r="C132" s="19" t="s">
        <v>2463</v>
      </c>
      <c r="D132" s="20">
        <v>46002</v>
      </c>
      <c r="E132" s="20">
        <v>32070</v>
      </c>
      <c r="F132" s="19"/>
      <c r="G132" s="19"/>
      <c r="H132" s="19" t="s">
        <v>94</v>
      </c>
      <c r="I132" s="19"/>
      <c r="J132" s="19"/>
      <c r="K132" s="19"/>
      <c r="L132" s="19" t="s">
        <v>687</v>
      </c>
      <c r="M132" s="19" t="s">
        <v>688</v>
      </c>
      <c r="N132" s="19" t="s">
        <v>2464</v>
      </c>
      <c r="O132" s="19" t="s">
        <v>100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 t="s">
        <v>101</v>
      </c>
      <c r="Z132" s="19" t="s">
        <v>102</v>
      </c>
      <c r="AA132" s="19" t="s">
        <v>103</v>
      </c>
      <c r="AB132" s="19" t="s">
        <v>2465</v>
      </c>
      <c r="AC132" s="19" t="s">
        <v>2466</v>
      </c>
      <c r="AD132" s="19" t="s">
        <v>2467</v>
      </c>
      <c r="AE132" s="19"/>
      <c r="AF132" s="19"/>
      <c r="AG132" s="19" t="s">
        <v>2468</v>
      </c>
      <c r="AH132" s="19" t="s">
        <v>231</v>
      </c>
      <c r="AI132" s="19" t="s">
        <v>111</v>
      </c>
      <c r="AJ132" s="19" t="s">
        <v>2469</v>
      </c>
      <c r="AK132" s="19"/>
      <c r="AL132" s="19"/>
      <c r="AM132" s="19" t="s">
        <v>2470</v>
      </c>
      <c r="AN132" s="19" t="s">
        <v>2471</v>
      </c>
      <c r="AO132" s="19" t="s">
        <v>181</v>
      </c>
      <c r="AP132" s="19" t="s">
        <v>182</v>
      </c>
      <c r="AQ132" s="19" t="s">
        <v>117</v>
      </c>
      <c r="AR132" s="19" t="s">
        <v>183</v>
      </c>
      <c r="AS132" s="19" t="s">
        <v>184</v>
      </c>
      <c r="AT132" s="19" t="s">
        <v>185</v>
      </c>
      <c r="AU132" s="19"/>
      <c r="AV132" s="19" t="s">
        <v>186</v>
      </c>
      <c r="AW132" s="19" t="s">
        <v>187</v>
      </c>
      <c r="AX132" s="19" t="s">
        <v>188</v>
      </c>
      <c r="AY132" s="19"/>
      <c r="AZ132" s="19" t="s">
        <v>189</v>
      </c>
      <c r="BA132" s="20">
        <v>44673</v>
      </c>
      <c r="BB132" s="19" t="s">
        <v>331</v>
      </c>
      <c r="BC132" s="19" t="s">
        <v>2472</v>
      </c>
      <c r="BD132" s="19" t="s">
        <v>2472</v>
      </c>
      <c r="BE132" s="19" t="s">
        <v>130</v>
      </c>
      <c r="BF132" s="19" t="s">
        <v>2473</v>
      </c>
      <c r="BG132" s="19"/>
      <c r="BH132" s="19" t="s">
        <v>2474</v>
      </c>
      <c r="BI132" s="19" t="s">
        <v>2474</v>
      </c>
      <c r="BJ132" s="19" t="s">
        <v>194</v>
      </c>
      <c r="BK132" s="19" t="s">
        <v>195</v>
      </c>
      <c r="BL132" s="19" t="s">
        <v>122</v>
      </c>
      <c r="BM132" s="19" t="s">
        <v>196</v>
      </c>
      <c r="BN132" s="21">
        <v>222.02199999999999</v>
      </c>
      <c r="BO132" s="21">
        <v>2038.5171952000001</v>
      </c>
      <c r="BQ132" s="2"/>
      <c r="BR132" s="2"/>
      <c r="BS132" s="2"/>
      <c r="BT132" s="2"/>
      <c r="BU132" s="22"/>
      <c r="BV132" s="2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</row>
    <row r="133" spans="1:95" x14ac:dyDescent="0.25">
      <c r="A133" s="18">
        <v>130</v>
      </c>
      <c r="B133" s="19" t="s">
        <v>2475</v>
      </c>
      <c r="C133" s="19" t="s">
        <v>2476</v>
      </c>
      <c r="D133" s="20">
        <v>46019</v>
      </c>
      <c r="E133" s="20">
        <v>39395</v>
      </c>
      <c r="F133" s="19"/>
      <c r="G133" s="19"/>
      <c r="H133" s="19" t="s">
        <v>94</v>
      </c>
      <c r="I133" s="19"/>
      <c r="J133" s="19"/>
      <c r="K133" s="19"/>
      <c r="L133" s="19" t="s">
        <v>1262</v>
      </c>
      <c r="M133" s="19" t="s">
        <v>1263</v>
      </c>
      <c r="N133" s="19" t="s">
        <v>2477</v>
      </c>
      <c r="O133" s="19" t="s">
        <v>100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 t="s">
        <v>101</v>
      </c>
      <c r="Z133" s="19" t="s">
        <v>102</v>
      </c>
      <c r="AA133" s="19" t="s">
        <v>103</v>
      </c>
      <c r="AB133" s="19" t="s">
        <v>247</v>
      </c>
      <c r="AC133" s="19" t="s">
        <v>248</v>
      </c>
      <c r="AD133" s="19" t="s">
        <v>2478</v>
      </c>
      <c r="AE133" s="19" t="s">
        <v>2479</v>
      </c>
      <c r="AF133" s="19"/>
      <c r="AG133" s="19" t="s">
        <v>1549</v>
      </c>
      <c r="AH133" s="19" t="s">
        <v>188</v>
      </c>
      <c r="AI133" s="19" t="s">
        <v>111</v>
      </c>
      <c r="AJ133" s="19" t="s">
        <v>2480</v>
      </c>
      <c r="AK133" s="19"/>
      <c r="AL133" s="19"/>
      <c r="AM133" s="19" t="s">
        <v>2481</v>
      </c>
      <c r="AN133" s="19" t="s">
        <v>2482</v>
      </c>
      <c r="AO133" s="19" t="s">
        <v>181</v>
      </c>
      <c r="AP133" s="19" t="s">
        <v>182</v>
      </c>
      <c r="AQ133" s="19" t="s">
        <v>117</v>
      </c>
      <c r="AR133" s="19" t="s">
        <v>183</v>
      </c>
      <c r="AS133" s="19" t="s">
        <v>184</v>
      </c>
      <c r="AT133" s="19" t="s">
        <v>185</v>
      </c>
      <c r="AU133" s="19"/>
      <c r="AV133" s="19" t="s">
        <v>186</v>
      </c>
      <c r="AW133" s="19" t="s">
        <v>187</v>
      </c>
      <c r="AX133" s="19" t="s">
        <v>188</v>
      </c>
      <c r="AY133" s="19"/>
      <c r="AZ133" s="19" t="s">
        <v>189</v>
      </c>
      <c r="BA133" s="20">
        <v>44673</v>
      </c>
      <c r="BB133" s="19" t="s">
        <v>1002</v>
      </c>
      <c r="BC133" s="19" t="s">
        <v>1896</v>
      </c>
      <c r="BD133" s="19" t="s">
        <v>260</v>
      </c>
      <c r="BE133" s="19" t="s">
        <v>130</v>
      </c>
      <c r="BF133" s="19" t="s">
        <v>2483</v>
      </c>
      <c r="BG133" s="19"/>
      <c r="BH133" s="19" t="s">
        <v>1898</v>
      </c>
      <c r="BI133" s="19" t="s">
        <v>1898</v>
      </c>
      <c r="BJ133" s="19" t="s">
        <v>194</v>
      </c>
      <c r="BK133" s="19" t="s">
        <v>195</v>
      </c>
      <c r="BL133" s="19" t="s">
        <v>122</v>
      </c>
      <c r="BM133" s="19" t="s">
        <v>196</v>
      </c>
      <c r="BN133" s="21">
        <v>2.282</v>
      </c>
      <c r="BO133" s="21">
        <v>1000.6852967999999</v>
      </c>
      <c r="BQ133" s="2"/>
      <c r="BR133" s="2"/>
      <c r="BS133" s="2"/>
      <c r="BT133" s="2"/>
      <c r="BU133" s="22"/>
      <c r="BV133" s="2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</row>
    <row r="134" spans="1:95" x14ac:dyDescent="0.25">
      <c r="A134" s="18">
        <v>131</v>
      </c>
      <c r="B134" s="19" t="s">
        <v>2484</v>
      </c>
      <c r="C134" s="19" t="s">
        <v>2485</v>
      </c>
      <c r="D134" s="20">
        <v>46003</v>
      </c>
      <c r="E134" s="20">
        <v>36098</v>
      </c>
      <c r="F134" s="19" t="s">
        <v>2486</v>
      </c>
      <c r="G134" s="19" t="s">
        <v>139</v>
      </c>
      <c r="H134" s="19" t="s">
        <v>94</v>
      </c>
      <c r="I134" s="19"/>
      <c r="J134" s="19"/>
      <c r="K134" s="19"/>
      <c r="L134" s="19" t="s">
        <v>244</v>
      </c>
      <c r="M134" s="19" t="s">
        <v>245</v>
      </c>
      <c r="N134" s="19" t="s">
        <v>2487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 t="s">
        <v>101</v>
      </c>
      <c r="Z134" s="19" t="s">
        <v>102</v>
      </c>
      <c r="AA134" s="19" t="s">
        <v>103</v>
      </c>
      <c r="AB134" s="19" t="s">
        <v>143</v>
      </c>
      <c r="AC134" s="19" t="s">
        <v>144</v>
      </c>
      <c r="AD134" s="19" t="s">
        <v>2488</v>
      </c>
      <c r="AE134" s="19"/>
      <c r="AF134" s="19"/>
      <c r="AG134" s="19" t="s">
        <v>481</v>
      </c>
      <c r="AH134" s="19" t="s">
        <v>707</v>
      </c>
      <c r="AI134" s="19"/>
      <c r="AJ134" s="19" t="s">
        <v>2489</v>
      </c>
      <c r="AK134" s="19"/>
      <c r="AL134" s="19" t="s">
        <v>2490</v>
      </c>
      <c r="AM134" s="19" t="s">
        <v>2491</v>
      </c>
      <c r="AN134" s="19" t="s">
        <v>2492</v>
      </c>
      <c r="AO134" s="19" t="s">
        <v>154</v>
      </c>
      <c r="AP134" s="19" t="s">
        <v>155</v>
      </c>
      <c r="AQ134" s="19" t="s">
        <v>117</v>
      </c>
      <c r="AR134" s="19" t="s">
        <v>156</v>
      </c>
      <c r="AS134" s="19" t="s">
        <v>157</v>
      </c>
      <c r="AT134" s="19" t="s">
        <v>158</v>
      </c>
      <c r="AU134" s="19"/>
      <c r="AV134" s="19" t="s">
        <v>122</v>
      </c>
      <c r="AW134" s="19"/>
      <c r="AX134" s="19" t="s">
        <v>124</v>
      </c>
      <c r="AY134" s="19" t="s">
        <v>159</v>
      </c>
      <c r="AZ134" s="19" t="s">
        <v>160</v>
      </c>
      <c r="BA134" s="20">
        <v>44676</v>
      </c>
      <c r="BB134" s="19" t="s">
        <v>1388</v>
      </c>
      <c r="BC134" s="19" t="s">
        <v>2493</v>
      </c>
      <c r="BD134" s="19" t="s">
        <v>2494</v>
      </c>
      <c r="BE134" s="19" t="s">
        <v>130</v>
      </c>
      <c r="BF134" s="19" t="s">
        <v>2495</v>
      </c>
      <c r="BG134" s="19"/>
      <c r="BH134" s="19" t="s">
        <v>2496</v>
      </c>
      <c r="BI134" s="19" t="s">
        <v>2496</v>
      </c>
      <c r="BJ134" s="19" t="s">
        <v>166</v>
      </c>
      <c r="BK134" s="19" t="s">
        <v>167</v>
      </c>
      <c r="BL134" s="19" t="s">
        <v>168</v>
      </c>
      <c r="BM134" s="19" t="s">
        <v>169</v>
      </c>
      <c r="BN134" s="21">
        <v>2.6949999999999998</v>
      </c>
      <c r="BO134" s="21">
        <v>102.65255000000001</v>
      </c>
      <c r="BQ134" s="2"/>
      <c r="BR134" s="2"/>
      <c r="BS134" s="2"/>
      <c r="BT134" s="2"/>
      <c r="BU134" s="22"/>
      <c r="BV134" s="2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</row>
    <row r="135" spans="1:95" x14ac:dyDescent="0.25">
      <c r="A135" s="18">
        <v>132</v>
      </c>
      <c r="B135" s="19" t="s">
        <v>2497</v>
      </c>
      <c r="C135" s="19" t="s">
        <v>2498</v>
      </c>
      <c r="D135" s="20">
        <v>46006</v>
      </c>
      <c r="E135" s="20">
        <v>35043</v>
      </c>
      <c r="F135" s="19" t="s">
        <v>2499</v>
      </c>
      <c r="G135" s="19" t="s">
        <v>139</v>
      </c>
      <c r="H135" s="19" t="s">
        <v>94</v>
      </c>
      <c r="I135" s="19"/>
      <c r="J135" s="19"/>
      <c r="K135" s="19"/>
      <c r="L135" s="19" t="s">
        <v>101</v>
      </c>
      <c r="M135" s="19" t="s">
        <v>290</v>
      </c>
      <c r="N135" s="19" t="s">
        <v>2500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 t="s">
        <v>101</v>
      </c>
      <c r="Z135" s="19" t="s">
        <v>102</v>
      </c>
      <c r="AA135" s="19" t="s">
        <v>103</v>
      </c>
      <c r="AB135" s="19" t="s">
        <v>173</v>
      </c>
      <c r="AC135" s="19" t="s">
        <v>174</v>
      </c>
      <c r="AD135" s="19" t="s">
        <v>2501</v>
      </c>
      <c r="AE135" s="19" t="s">
        <v>2502</v>
      </c>
      <c r="AF135" s="19" t="s">
        <v>971</v>
      </c>
      <c r="AG135" s="19" t="s">
        <v>1892</v>
      </c>
      <c r="AH135" s="19" t="s">
        <v>262</v>
      </c>
      <c r="AI135" s="19" t="s">
        <v>111</v>
      </c>
      <c r="AJ135" s="19" t="s">
        <v>2503</v>
      </c>
      <c r="AK135" s="19"/>
      <c r="AL135" s="19" t="s">
        <v>2504</v>
      </c>
      <c r="AM135" s="19" t="s">
        <v>2505</v>
      </c>
      <c r="AN135" s="19" t="s">
        <v>2506</v>
      </c>
      <c r="AO135" s="19" t="s">
        <v>154</v>
      </c>
      <c r="AP135" s="19" t="s">
        <v>155</v>
      </c>
      <c r="AQ135" s="19" t="s">
        <v>117</v>
      </c>
      <c r="AR135" s="19" t="s">
        <v>156</v>
      </c>
      <c r="AS135" s="19" t="s">
        <v>157</v>
      </c>
      <c r="AT135" s="19" t="s">
        <v>158</v>
      </c>
      <c r="AU135" s="19"/>
      <c r="AV135" s="19" t="s">
        <v>122</v>
      </c>
      <c r="AW135" s="19"/>
      <c r="AX135" s="19" t="s">
        <v>124</v>
      </c>
      <c r="AY135" s="19" t="s">
        <v>159</v>
      </c>
      <c r="AZ135" s="19" t="s">
        <v>160</v>
      </c>
      <c r="BA135" s="20">
        <v>44676</v>
      </c>
      <c r="BB135" s="19" t="s">
        <v>312</v>
      </c>
      <c r="BC135" s="19" t="s">
        <v>2507</v>
      </c>
      <c r="BD135" s="19" t="s">
        <v>2508</v>
      </c>
      <c r="BE135" s="19" t="s">
        <v>130</v>
      </c>
      <c r="BF135" s="19" t="s">
        <v>2509</v>
      </c>
      <c r="BG135" s="19"/>
      <c r="BH135" s="19" t="s">
        <v>2510</v>
      </c>
      <c r="BI135" s="19" t="s">
        <v>2510</v>
      </c>
      <c r="BJ135" s="19" t="s">
        <v>166</v>
      </c>
      <c r="BK135" s="19" t="s">
        <v>167</v>
      </c>
      <c r="BL135" s="19" t="s">
        <v>168</v>
      </c>
      <c r="BM135" s="19" t="s">
        <v>169</v>
      </c>
      <c r="BN135" s="21">
        <v>3.3090000000000002</v>
      </c>
      <c r="BO135" s="21">
        <v>117.21867779999999</v>
      </c>
      <c r="BQ135" s="2"/>
      <c r="BR135" s="2"/>
      <c r="BS135" s="2"/>
      <c r="BT135" s="2"/>
      <c r="BU135" s="22"/>
      <c r="BV135" s="2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</row>
    <row r="136" spans="1:95" x14ac:dyDescent="0.25">
      <c r="A136" s="18">
        <v>133</v>
      </c>
      <c r="B136" s="19" t="s">
        <v>2511</v>
      </c>
      <c r="C136" s="19" t="s">
        <v>2512</v>
      </c>
      <c r="D136" s="20">
        <v>46006</v>
      </c>
      <c r="E136" s="20">
        <v>34969</v>
      </c>
      <c r="F136" s="19" t="s">
        <v>2513</v>
      </c>
      <c r="G136" s="19" t="s">
        <v>139</v>
      </c>
      <c r="H136" s="19" t="s">
        <v>94</v>
      </c>
      <c r="I136" s="19"/>
      <c r="J136" s="19"/>
      <c r="K136" s="19"/>
      <c r="L136" s="19" t="s">
        <v>101</v>
      </c>
      <c r="M136" s="19" t="s">
        <v>290</v>
      </c>
      <c r="N136" s="19" t="s">
        <v>2514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 t="s">
        <v>101</v>
      </c>
      <c r="Z136" s="19" t="s">
        <v>102</v>
      </c>
      <c r="AA136" s="19" t="s">
        <v>103</v>
      </c>
      <c r="AB136" s="19" t="s">
        <v>143</v>
      </c>
      <c r="AC136" s="19" t="s">
        <v>144</v>
      </c>
      <c r="AD136" s="19" t="s">
        <v>2515</v>
      </c>
      <c r="AE136" s="19" t="s">
        <v>2516</v>
      </c>
      <c r="AF136" s="19" t="s">
        <v>2517</v>
      </c>
      <c r="AG136" s="19" t="s">
        <v>2517</v>
      </c>
      <c r="AH136" s="19" t="s">
        <v>1015</v>
      </c>
      <c r="AI136" s="19" t="s">
        <v>111</v>
      </c>
      <c r="AJ136" s="19" t="s">
        <v>2518</v>
      </c>
      <c r="AK136" s="19"/>
      <c r="AL136" s="19" t="s">
        <v>2519</v>
      </c>
      <c r="AM136" s="19" t="s">
        <v>2520</v>
      </c>
      <c r="AN136" s="19" t="s">
        <v>2521</v>
      </c>
      <c r="AO136" s="19" t="s">
        <v>154</v>
      </c>
      <c r="AP136" s="19" t="s">
        <v>155</v>
      </c>
      <c r="AQ136" s="19" t="s">
        <v>117</v>
      </c>
      <c r="AR136" s="19" t="s">
        <v>156</v>
      </c>
      <c r="AS136" s="19" t="s">
        <v>157</v>
      </c>
      <c r="AT136" s="19" t="s">
        <v>158</v>
      </c>
      <c r="AU136" s="19"/>
      <c r="AV136" s="19" t="s">
        <v>122</v>
      </c>
      <c r="AW136" s="19"/>
      <c r="AX136" s="19" t="s">
        <v>124</v>
      </c>
      <c r="AY136" s="19" t="s">
        <v>159</v>
      </c>
      <c r="AZ136" s="19" t="s">
        <v>160</v>
      </c>
      <c r="BA136" s="20">
        <v>44676</v>
      </c>
      <c r="BB136" s="19" t="s">
        <v>479</v>
      </c>
      <c r="BC136" s="19" t="s">
        <v>2522</v>
      </c>
      <c r="BD136" s="19" t="s">
        <v>2523</v>
      </c>
      <c r="BE136" s="19" t="s">
        <v>130</v>
      </c>
      <c r="BF136" s="19" t="s">
        <v>2524</v>
      </c>
      <c r="BG136" s="19"/>
      <c r="BH136" s="19" t="s">
        <v>2525</v>
      </c>
      <c r="BI136" s="19" t="s">
        <v>2525</v>
      </c>
      <c r="BJ136" s="19" t="s">
        <v>166</v>
      </c>
      <c r="BK136" s="19" t="s">
        <v>167</v>
      </c>
      <c r="BL136" s="19" t="s">
        <v>168</v>
      </c>
      <c r="BM136" s="19" t="s">
        <v>169</v>
      </c>
      <c r="BN136" s="21">
        <v>269.45600000000002</v>
      </c>
      <c r="BO136" s="21">
        <v>10263.579040000001</v>
      </c>
      <c r="BQ136" s="2"/>
      <c r="BR136" s="2"/>
      <c r="BS136" s="2"/>
      <c r="BT136" s="2"/>
      <c r="BU136" s="22"/>
      <c r="BV136" s="2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</row>
    <row r="137" spans="1:95" x14ac:dyDescent="0.25">
      <c r="A137" s="18">
        <v>134</v>
      </c>
      <c r="B137" s="19" t="s">
        <v>2526</v>
      </c>
      <c r="C137" s="19" t="s">
        <v>2527</v>
      </c>
      <c r="D137" s="20">
        <v>46006</v>
      </c>
      <c r="E137" s="20">
        <v>35916</v>
      </c>
      <c r="F137" s="19"/>
      <c r="G137" s="19"/>
      <c r="H137" s="19" t="s">
        <v>94</v>
      </c>
      <c r="I137" s="19"/>
      <c r="J137" s="19"/>
      <c r="K137" s="19"/>
      <c r="L137" s="19" t="s">
        <v>140</v>
      </c>
      <c r="M137" s="19" t="s">
        <v>141</v>
      </c>
      <c r="N137" s="19" t="s">
        <v>2528</v>
      </c>
      <c r="O137" s="19" t="s">
        <v>100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 t="s">
        <v>101</v>
      </c>
      <c r="Z137" s="19" t="s">
        <v>102</v>
      </c>
      <c r="AA137" s="19" t="s">
        <v>103</v>
      </c>
      <c r="AB137" s="19" t="s">
        <v>173</v>
      </c>
      <c r="AC137" s="19" t="s">
        <v>174</v>
      </c>
      <c r="AD137" s="19" t="s">
        <v>2529</v>
      </c>
      <c r="AE137" s="19" t="s">
        <v>2530</v>
      </c>
      <c r="AF137" s="19" t="s">
        <v>2531</v>
      </c>
      <c r="AG137" s="19" t="s">
        <v>2532</v>
      </c>
      <c r="AH137" s="19" t="s">
        <v>124</v>
      </c>
      <c r="AI137" s="19" t="s">
        <v>111</v>
      </c>
      <c r="AJ137" s="19" t="s">
        <v>2533</v>
      </c>
      <c r="AK137" s="19"/>
      <c r="AL137" s="19"/>
      <c r="AM137" s="19" t="s">
        <v>2534</v>
      </c>
      <c r="AN137" s="19" t="s">
        <v>2535</v>
      </c>
      <c r="AO137" s="19" t="s">
        <v>181</v>
      </c>
      <c r="AP137" s="19" t="s">
        <v>182</v>
      </c>
      <c r="AQ137" s="19" t="s">
        <v>117</v>
      </c>
      <c r="AR137" s="19" t="s">
        <v>183</v>
      </c>
      <c r="AS137" s="19" t="s">
        <v>184</v>
      </c>
      <c r="AT137" s="19" t="s">
        <v>185</v>
      </c>
      <c r="AU137" s="19"/>
      <c r="AV137" s="19" t="s">
        <v>186</v>
      </c>
      <c r="AW137" s="19" t="s">
        <v>187</v>
      </c>
      <c r="AX137" s="19" t="s">
        <v>188</v>
      </c>
      <c r="AY137" s="19"/>
      <c r="AZ137" s="19" t="s">
        <v>189</v>
      </c>
      <c r="BA137" s="20">
        <v>44673</v>
      </c>
      <c r="BB137" s="19" t="s">
        <v>331</v>
      </c>
      <c r="BC137" s="19" t="s">
        <v>2536</v>
      </c>
      <c r="BD137" s="19" t="s">
        <v>277</v>
      </c>
      <c r="BE137" s="19" t="s">
        <v>130</v>
      </c>
      <c r="BF137" s="19" t="s">
        <v>2537</v>
      </c>
      <c r="BG137" s="19"/>
      <c r="BH137" s="19" t="s">
        <v>2538</v>
      </c>
      <c r="BI137" s="19" t="s">
        <v>2538</v>
      </c>
      <c r="BJ137" s="19" t="s">
        <v>194</v>
      </c>
      <c r="BK137" s="19" t="s">
        <v>195</v>
      </c>
      <c r="BL137" s="19" t="s">
        <v>122</v>
      </c>
      <c r="BM137" s="19" t="s">
        <v>196</v>
      </c>
      <c r="BN137" s="21">
        <v>3.3090000000000002</v>
      </c>
      <c r="BO137" s="21">
        <v>117.21867779999999</v>
      </c>
      <c r="BQ137" s="2"/>
      <c r="BR137" s="2"/>
      <c r="BS137" s="2"/>
      <c r="BT137" s="2"/>
      <c r="BU137" s="22"/>
      <c r="BV137" s="2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</row>
    <row r="138" spans="1:95" x14ac:dyDescent="0.25">
      <c r="A138" s="18">
        <v>135</v>
      </c>
      <c r="B138" s="19" t="s">
        <v>2539</v>
      </c>
      <c r="C138" s="19" t="s">
        <v>2540</v>
      </c>
      <c r="D138" s="20">
        <v>46006</v>
      </c>
      <c r="E138" s="20">
        <v>36572</v>
      </c>
      <c r="F138" s="19" t="s">
        <v>2541</v>
      </c>
      <c r="G138" s="19" t="s">
        <v>139</v>
      </c>
      <c r="H138" s="19" t="s">
        <v>94</v>
      </c>
      <c r="I138" s="19"/>
      <c r="J138" s="19"/>
      <c r="K138" s="19"/>
      <c r="L138" s="19" t="s">
        <v>244</v>
      </c>
      <c r="M138" s="19" t="s">
        <v>245</v>
      </c>
      <c r="N138" s="19" t="s">
        <v>2542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 t="s">
        <v>101</v>
      </c>
      <c r="Z138" s="19" t="s">
        <v>102</v>
      </c>
      <c r="AA138" s="19" t="s">
        <v>103</v>
      </c>
      <c r="AB138" s="19" t="s">
        <v>2543</v>
      </c>
      <c r="AC138" s="19" t="s">
        <v>2544</v>
      </c>
      <c r="AD138" s="19" t="s">
        <v>2545</v>
      </c>
      <c r="AE138" s="19" t="s">
        <v>2546</v>
      </c>
      <c r="AF138" s="19"/>
      <c r="AG138" s="19" t="s">
        <v>2071</v>
      </c>
      <c r="AH138" s="19" t="s">
        <v>188</v>
      </c>
      <c r="AI138" s="19" t="s">
        <v>111</v>
      </c>
      <c r="AJ138" s="19" t="s">
        <v>2547</v>
      </c>
      <c r="AK138" s="19"/>
      <c r="AL138" s="19"/>
      <c r="AM138" s="19" t="s">
        <v>2548</v>
      </c>
      <c r="AN138" s="19" t="s">
        <v>2549</v>
      </c>
      <c r="AO138" s="19" t="s">
        <v>255</v>
      </c>
      <c r="AP138" s="19" t="s">
        <v>256</v>
      </c>
      <c r="AQ138" s="19" t="s">
        <v>117</v>
      </c>
      <c r="AR138" s="19" t="s">
        <v>257</v>
      </c>
      <c r="AS138" s="19" t="s">
        <v>258</v>
      </c>
      <c r="AT138" s="19" t="s">
        <v>259</v>
      </c>
      <c r="AU138" s="19" t="s">
        <v>260</v>
      </c>
      <c r="AV138" s="19" t="s">
        <v>260</v>
      </c>
      <c r="AW138" s="19" t="s">
        <v>261</v>
      </c>
      <c r="AX138" s="19" t="s">
        <v>262</v>
      </c>
      <c r="AY138" s="19" t="s">
        <v>263</v>
      </c>
      <c r="AZ138" s="19" t="s">
        <v>264</v>
      </c>
      <c r="BA138" s="20">
        <v>43627</v>
      </c>
      <c r="BB138" s="19" t="s">
        <v>460</v>
      </c>
      <c r="BC138" s="19" t="s">
        <v>2550</v>
      </c>
      <c r="BD138" s="19" t="s">
        <v>1549</v>
      </c>
      <c r="BE138" s="19" t="s">
        <v>130</v>
      </c>
      <c r="BF138" s="19" t="s">
        <v>2551</v>
      </c>
      <c r="BG138" s="19"/>
      <c r="BH138" s="19" t="s">
        <v>2552</v>
      </c>
      <c r="BI138" s="19" t="s">
        <v>2552</v>
      </c>
      <c r="BJ138" s="19" t="s">
        <v>166</v>
      </c>
      <c r="BK138" s="19" t="s">
        <v>167</v>
      </c>
      <c r="BL138" s="19" t="s">
        <v>168</v>
      </c>
      <c r="BM138" s="19" t="s">
        <v>169</v>
      </c>
      <c r="BN138" s="21">
        <v>14.82</v>
      </c>
      <c r="BO138" s="21">
        <v>4014.9113940000002</v>
      </c>
      <c r="BQ138" s="2"/>
      <c r="BR138" s="2"/>
      <c r="BS138" s="2"/>
      <c r="BT138" s="2"/>
      <c r="BU138" s="22"/>
      <c r="BV138" s="2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</row>
    <row r="139" spans="1:95" x14ac:dyDescent="0.25">
      <c r="A139" s="18">
        <v>136</v>
      </c>
      <c r="B139" s="19" t="s">
        <v>2553</v>
      </c>
      <c r="C139" s="19" t="s">
        <v>2554</v>
      </c>
      <c r="D139" s="20">
        <v>46006</v>
      </c>
      <c r="E139" s="20">
        <v>36619</v>
      </c>
      <c r="F139" s="19"/>
      <c r="G139" s="19"/>
      <c r="H139" s="19" t="s">
        <v>94</v>
      </c>
      <c r="I139" s="19"/>
      <c r="J139" s="19"/>
      <c r="K139" s="19"/>
      <c r="L139" s="19" t="s">
        <v>140</v>
      </c>
      <c r="M139" s="19" t="s">
        <v>141</v>
      </c>
      <c r="N139" s="19" t="s">
        <v>2555</v>
      </c>
      <c r="O139" s="19" t="s">
        <v>100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 t="s">
        <v>101</v>
      </c>
      <c r="Z139" s="19" t="s">
        <v>102</v>
      </c>
      <c r="AA139" s="19" t="s">
        <v>103</v>
      </c>
      <c r="AB139" s="19" t="s">
        <v>812</v>
      </c>
      <c r="AC139" s="19" t="s">
        <v>813</v>
      </c>
      <c r="AD139" s="19" t="s">
        <v>2556</v>
      </c>
      <c r="AE139" s="19" t="s">
        <v>2557</v>
      </c>
      <c r="AF139" s="19"/>
      <c r="AG139" s="19" t="s">
        <v>2558</v>
      </c>
      <c r="AH139" s="19" t="s">
        <v>1560</v>
      </c>
      <c r="AI139" s="19" t="s">
        <v>111</v>
      </c>
      <c r="AJ139" s="19" t="s">
        <v>2559</v>
      </c>
      <c r="AK139" s="19"/>
      <c r="AL139" s="19"/>
      <c r="AM139" s="19" t="s">
        <v>2560</v>
      </c>
      <c r="AN139" s="19" t="s">
        <v>2561</v>
      </c>
      <c r="AO139" s="19" t="s">
        <v>579</v>
      </c>
      <c r="AP139" s="19" t="s">
        <v>580</v>
      </c>
      <c r="AQ139" s="19" t="s">
        <v>117</v>
      </c>
      <c r="AR139" s="19" t="s">
        <v>581</v>
      </c>
      <c r="AS139" s="19" t="s">
        <v>582</v>
      </c>
      <c r="AT139" s="19" t="s">
        <v>583</v>
      </c>
      <c r="AU139" s="19" t="s">
        <v>584</v>
      </c>
      <c r="AV139" s="19" t="s">
        <v>168</v>
      </c>
      <c r="AW139" s="19" t="s">
        <v>585</v>
      </c>
      <c r="AX139" s="19" t="s">
        <v>262</v>
      </c>
      <c r="AY139" s="19" t="s">
        <v>586</v>
      </c>
      <c r="AZ139" s="19" t="s">
        <v>587</v>
      </c>
      <c r="BA139" s="20">
        <v>44494</v>
      </c>
      <c r="BB139" s="19" t="s">
        <v>331</v>
      </c>
      <c r="BC139" s="19" t="s">
        <v>2562</v>
      </c>
      <c r="BD139" s="19" t="s">
        <v>2558</v>
      </c>
      <c r="BE139" s="19" t="s">
        <v>130</v>
      </c>
      <c r="BF139" s="19" t="s">
        <v>2563</v>
      </c>
      <c r="BG139" s="19"/>
      <c r="BH139" s="19" t="s">
        <v>2564</v>
      </c>
      <c r="BI139" s="19" t="s">
        <v>2564</v>
      </c>
      <c r="BJ139" s="19" t="s">
        <v>194</v>
      </c>
      <c r="BK139" s="19" t="s">
        <v>591</v>
      </c>
      <c r="BL139" s="19" t="s">
        <v>122</v>
      </c>
      <c r="BM139" s="19" t="s">
        <v>592</v>
      </c>
      <c r="BN139" s="21">
        <v>1479.654</v>
      </c>
      <c r="BO139" s="21">
        <v>51299.604180000002</v>
      </c>
      <c r="BQ139" s="2"/>
      <c r="BR139" s="2"/>
      <c r="BS139" s="2"/>
      <c r="BT139" s="2"/>
      <c r="BU139" s="22"/>
      <c r="BV139" s="2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</row>
    <row r="140" spans="1:95" x14ac:dyDescent="0.25">
      <c r="A140" s="18">
        <v>137</v>
      </c>
      <c r="B140" s="19" t="s">
        <v>2565</v>
      </c>
      <c r="C140" s="19" t="s">
        <v>2566</v>
      </c>
      <c r="D140" s="20">
        <v>46006</v>
      </c>
      <c r="E140" s="20">
        <v>36638</v>
      </c>
      <c r="F140" s="19" t="s">
        <v>2567</v>
      </c>
      <c r="G140" s="19" t="s">
        <v>139</v>
      </c>
      <c r="H140" s="19" t="s">
        <v>94</v>
      </c>
      <c r="I140" s="19"/>
      <c r="J140" s="19"/>
      <c r="K140" s="19"/>
      <c r="L140" s="19" t="s">
        <v>244</v>
      </c>
      <c r="M140" s="19" t="s">
        <v>245</v>
      </c>
      <c r="N140" s="19" t="s">
        <v>2568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 t="s">
        <v>101</v>
      </c>
      <c r="Z140" s="19" t="s">
        <v>102</v>
      </c>
      <c r="AA140" s="19" t="s">
        <v>103</v>
      </c>
      <c r="AB140" s="19" t="s">
        <v>953</v>
      </c>
      <c r="AC140" s="19" t="s">
        <v>954</v>
      </c>
      <c r="AD140" s="19" t="s">
        <v>2569</v>
      </c>
      <c r="AE140" s="19" t="s">
        <v>2570</v>
      </c>
      <c r="AF140" s="19"/>
      <c r="AG140" s="19" t="s">
        <v>2571</v>
      </c>
      <c r="AH140" s="19" t="s">
        <v>110</v>
      </c>
      <c r="AI140" s="19"/>
      <c r="AJ140" s="19" t="s">
        <v>2572</v>
      </c>
      <c r="AK140" s="19"/>
      <c r="AL140" s="19"/>
      <c r="AM140" s="19" t="s">
        <v>2573</v>
      </c>
      <c r="AN140" s="19" t="s">
        <v>2574</v>
      </c>
      <c r="AO140" s="19" t="s">
        <v>255</v>
      </c>
      <c r="AP140" s="19" t="s">
        <v>256</v>
      </c>
      <c r="AQ140" s="19" t="s">
        <v>117</v>
      </c>
      <c r="AR140" s="19" t="s">
        <v>257</v>
      </c>
      <c r="AS140" s="19" t="s">
        <v>258</v>
      </c>
      <c r="AT140" s="19" t="s">
        <v>259</v>
      </c>
      <c r="AU140" s="19" t="s">
        <v>260</v>
      </c>
      <c r="AV140" s="19" t="s">
        <v>260</v>
      </c>
      <c r="AW140" s="19" t="s">
        <v>261</v>
      </c>
      <c r="AX140" s="19" t="s">
        <v>262</v>
      </c>
      <c r="AY140" s="19" t="s">
        <v>263</v>
      </c>
      <c r="AZ140" s="19" t="s">
        <v>264</v>
      </c>
      <c r="BA140" s="20">
        <v>43627</v>
      </c>
      <c r="BB140" s="19" t="s">
        <v>2575</v>
      </c>
      <c r="BC140" s="19" t="s">
        <v>2576</v>
      </c>
      <c r="BD140" s="19" t="s">
        <v>2109</v>
      </c>
      <c r="BE140" s="19" t="s">
        <v>130</v>
      </c>
      <c r="BF140" s="19" t="s">
        <v>2577</v>
      </c>
      <c r="BG140" s="19"/>
      <c r="BH140" s="19" t="s">
        <v>2578</v>
      </c>
      <c r="BI140" s="19" t="s">
        <v>2578</v>
      </c>
      <c r="BJ140" s="19" t="s">
        <v>166</v>
      </c>
      <c r="BK140" s="19" t="s">
        <v>167</v>
      </c>
      <c r="BL140" s="19" t="s">
        <v>168</v>
      </c>
      <c r="BM140" s="19" t="s">
        <v>169</v>
      </c>
      <c r="BN140" s="21">
        <v>12.368</v>
      </c>
      <c r="BO140" s="21">
        <v>498.20406559999998</v>
      </c>
      <c r="BQ140" s="2"/>
      <c r="BR140" s="2"/>
      <c r="BS140" s="2"/>
      <c r="BT140" s="2"/>
      <c r="BU140" s="22"/>
      <c r="BV140" s="2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</row>
    <row r="141" spans="1:95" x14ac:dyDescent="0.25">
      <c r="A141" s="18">
        <v>138</v>
      </c>
      <c r="B141" s="19" t="s">
        <v>2579</v>
      </c>
      <c r="C141" s="19" t="s">
        <v>2580</v>
      </c>
      <c r="D141" s="20">
        <v>46013</v>
      </c>
      <c r="E141" s="20">
        <v>24861</v>
      </c>
      <c r="F141" s="19"/>
      <c r="G141" s="19"/>
      <c r="H141" s="19" t="s">
        <v>94</v>
      </c>
      <c r="I141" s="19"/>
      <c r="J141" s="19"/>
      <c r="K141" s="19"/>
      <c r="L141" s="19" t="s">
        <v>2080</v>
      </c>
      <c r="M141" s="19" t="s">
        <v>141</v>
      </c>
      <c r="N141" s="19" t="s">
        <v>2581</v>
      </c>
      <c r="O141" s="19" t="s">
        <v>100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 t="s">
        <v>101</v>
      </c>
      <c r="Z141" s="19" t="s">
        <v>102</v>
      </c>
      <c r="AA141" s="19" t="s">
        <v>103</v>
      </c>
      <c r="AB141" s="19" t="s">
        <v>1372</v>
      </c>
      <c r="AC141" s="19" t="s">
        <v>1373</v>
      </c>
      <c r="AD141" s="19" t="s">
        <v>2582</v>
      </c>
      <c r="AE141" s="19" t="s">
        <v>2583</v>
      </c>
      <c r="AF141" s="19"/>
      <c r="AG141" s="19" t="s">
        <v>260</v>
      </c>
      <c r="AH141" s="19" t="s">
        <v>262</v>
      </c>
      <c r="AI141" s="19" t="s">
        <v>111</v>
      </c>
      <c r="AJ141" s="19" t="s">
        <v>2584</v>
      </c>
      <c r="AK141" s="19"/>
      <c r="AL141" s="19" t="s">
        <v>2585</v>
      </c>
      <c r="AM141" s="19" t="s">
        <v>2586</v>
      </c>
      <c r="AN141" s="19" t="s">
        <v>2587</v>
      </c>
      <c r="AO141" s="19" t="s">
        <v>2088</v>
      </c>
      <c r="AP141" s="19" t="s">
        <v>2089</v>
      </c>
      <c r="AQ141" s="19" t="s">
        <v>94</v>
      </c>
      <c r="AR141" s="19" t="s">
        <v>2090</v>
      </c>
      <c r="AS141" s="19" t="s">
        <v>2091</v>
      </c>
      <c r="AT141" s="19" t="s">
        <v>2092</v>
      </c>
      <c r="AU141" s="19" t="s">
        <v>2093</v>
      </c>
      <c r="AV141" s="19" t="s">
        <v>122</v>
      </c>
      <c r="AW141" s="19" t="s">
        <v>2094</v>
      </c>
      <c r="AX141" s="19" t="s">
        <v>901</v>
      </c>
      <c r="AY141" s="19" t="s">
        <v>2095</v>
      </c>
      <c r="AZ141" s="19" t="s">
        <v>2096</v>
      </c>
      <c r="BA141" s="20">
        <v>39974</v>
      </c>
      <c r="BB141" s="19" t="s">
        <v>2097</v>
      </c>
      <c r="BC141" s="19" t="s">
        <v>2588</v>
      </c>
      <c r="BD141" s="19" t="s">
        <v>490</v>
      </c>
      <c r="BE141" s="19" t="s">
        <v>130</v>
      </c>
      <c r="BF141" s="19" t="s">
        <v>2589</v>
      </c>
      <c r="BG141" s="19" t="s">
        <v>2590</v>
      </c>
      <c r="BH141" s="19" t="s">
        <v>2591</v>
      </c>
      <c r="BI141" s="19" t="s">
        <v>2591</v>
      </c>
      <c r="BJ141" s="19" t="s">
        <v>1259</v>
      </c>
      <c r="BK141" s="19" t="s">
        <v>195</v>
      </c>
      <c r="BL141" s="19" t="s">
        <v>122</v>
      </c>
      <c r="BM141" s="19" t="s">
        <v>196</v>
      </c>
      <c r="BN141" s="21">
        <v>128.31800000000001</v>
      </c>
      <c r="BO141" s="21">
        <v>4965.6756275999996</v>
      </c>
      <c r="BQ141" s="2"/>
      <c r="BR141" s="2"/>
      <c r="BS141" s="2"/>
      <c r="BT141" s="2"/>
      <c r="BU141" s="22"/>
      <c r="BV141" s="2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</row>
    <row r="142" spans="1:95" x14ac:dyDescent="0.25">
      <c r="A142" s="18">
        <v>139</v>
      </c>
      <c r="B142" s="19" t="s">
        <v>2592</v>
      </c>
      <c r="C142" s="19" t="s">
        <v>2593</v>
      </c>
      <c r="D142" s="20">
        <v>46020</v>
      </c>
      <c r="E142" s="20">
        <v>33265</v>
      </c>
      <c r="F142" s="19" t="s">
        <v>2594</v>
      </c>
      <c r="G142" s="19" t="s">
        <v>139</v>
      </c>
      <c r="H142" s="19" t="s">
        <v>94</v>
      </c>
      <c r="I142" s="19"/>
      <c r="J142" s="19"/>
      <c r="K142" s="19"/>
      <c r="L142" s="19" t="s">
        <v>140</v>
      </c>
      <c r="M142" s="19" t="s">
        <v>141</v>
      </c>
      <c r="N142" s="19" t="s">
        <v>2595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 t="s">
        <v>101</v>
      </c>
      <c r="Z142" s="19" t="s">
        <v>102</v>
      </c>
      <c r="AA142" s="19" t="s">
        <v>103</v>
      </c>
      <c r="AB142" s="19" t="s">
        <v>143</v>
      </c>
      <c r="AC142" s="19" t="s">
        <v>144</v>
      </c>
      <c r="AD142" s="19" t="s">
        <v>2596</v>
      </c>
      <c r="AE142" s="19" t="s">
        <v>2597</v>
      </c>
      <c r="AF142" s="19" t="s">
        <v>2598</v>
      </c>
      <c r="AG142" s="19" t="s">
        <v>2599</v>
      </c>
      <c r="AH142" s="19" t="s">
        <v>1015</v>
      </c>
      <c r="AI142" s="19"/>
      <c r="AJ142" s="19" t="s">
        <v>2600</v>
      </c>
      <c r="AK142" s="19"/>
      <c r="AL142" s="19" t="s">
        <v>2601</v>
      </c>
      <c r="AM142" s="19" t="s">
        <v>2602</v>
      </c>
      <c r="AN142" s="19" t="s">
        <v>2603</v>
      </c>
      <c r="AO142" s="19" t="s">
        <v>154</v>
      </c>
      <c r="AP142" s="19" t="s">
        <v>155</v>
      </c>
      <c r="AQ142" s="19" t="s">
        <v>117</v>
      </c>
      <c r="AR142" s="19" t="s">
        <v>156</v>
      </c>
      <c r="AS142" s="19" t="s">
        <v>157</v>
      </c>
      <c r="AT142" s="19" t="s">
        <v>158</v>
      </c>
      <c r="AU142" s="19"/>
      <c r="AV142" s="19" t="s">
        <v>122</v>
      </c>
      <c r="AW142" s="19"/>
      <c r="AX142" s="19" t="s">
        <v>124</v>
      </c>
      <c r="AY142" s="19" t="s">
        <v>159</v>
      </c>
      <c r="AZ142" s="19" t="s">
        <v>160</v>
      </c>
      <c r="BA142" s="20">
        <v>44676</v>
      </c>
      <c r="BB142" s="19" t="s">
        <v>331</v>
      </c>
      <c r="BC142" s="19" t="s">
        <v>2604</v>
      </c>
      <c r="BD142" s="19" t="s">
        <v>2598</v>
      </c>
      <c r="BE142" s="19" t="s">
        <v>130</v>
      </c>
      <c r="BF142" s="19" t="s">
        <v>2605</v>
      </c>
      <c r="BG142" s="19"/>
      <c r="BH142" s="19" t="s">
        <v>2606</v>
      </c>
      <c r="BI142" s="19" t="s">
        <v>2606</v>
      </c>
      <c r="BJ142" s="19" t="s">
        <v>166</v>
      </c>
      <c r="BK142" s="19" t="s">
        <v>167</v>
      </c>
      <c r="BL142" s="19" t="s">
        <v>168</v>
      </c>
      <c r="BM142" s="19" t="s">
        <v>169</v>
      </c>
      <c r="BN142" s="21">
        <v>13.401</v>
      </c>
      <c r="BO142" s="21">
        <v>510.44409000000002</v>
      </c>
      <c r="BQ142" s="2"/>
      <c r="BR142" s="2"/>
      <c r="BS142" s="2"/>
      <c r="BT142" s="2"/>
      <c r="BU142" s="22"/>
      <c r="BV142" s="2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</row>
    <row r="143" spans="1:95" x14ac:dyDescent="0.25">
      <c r="A143" s="18">
        <v>140</v>
      </c>
      <c r="B143" s="19" t="s">
        <v>2607</v>
      </c>
      <c r="C143" s="19" t="s">
        <v>2608</v>
      </c>
      <c r="D143" s="20">
        <v>46013</v>
      </c>
      <c r="E143" s="20">
        <v>37598</v>
      </c>
      <c r="F143" s="19" t="s">
        <v>2609</v>
      </c>
      <c r="G143" s="19" t="s">
        <v>139</v>
      </c>
      <c r="H143" s="19" t="s">
        <v>117</v>
      </c>
      <c r="I143" s="19" t="s">
        <v>2610</v>
      </c>
      <c r="J143" s="19"/>
      <c r="K143" s="19"/>
      <c r="L143" s="19" t="s">
        <v>1262</v>
      </c>
      <c r="M143" s="19" t="s">
        <v>1263</v>
      </c>
      <c r="N143" s="19" t="s">
        <v>2611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 t="s">
        <v>101</v>
      </c>
      <c r="Z143" s="19" t="s">
        <v>102</v>
      </c>
      <c r="AA143" s="19" t="s">
        <v>103</v>
      </c>
      <c r="AB143" s="19" t="s">
        <v>2612</v>
      </c>
      <c r="AC143" s="19" t="s">
        <v>2613</v>
      </c>
      <c r="AD143" s="19" t="s">
        <v>2614</v>
      </c>
      <c r="AE143" s="19" t="s">
        <v>2615</v>
      </c>
      <c r="AF143" s="19"/>
      <c r="AG143" s="19" t="s">
        <v>2616</v>
      </c>
      <c r="AH143" s="19" t="s">
        <v>515</v>
      </c>
      <c r="AI143" s="19"/>
      <c r="AJ143" s="19" t="s">
        <v>2617</v>
      </c>
      <c r="AK143" s="19"/>
      <c r="AL143" s="19"/>
      <c r="AM143" s="19" t="s">
        <v>2618</v>
      </c>
      <c r="AN143" s="19" t="s">
        <v>2619</v>
      </c>
      <c r="AO143" s="19" t="s">
        <v>476</v>
      </c>
      <c r="AP143" s="19" t="s">
        <v>477</v>
      </c>
      <c r="AQ143" s="19" t="s">
        <v>117</v>
      </c>
      <c r="AR143" s="19" t="s">
        <v>478</v>
      </c>
      <c r="AS143" s="19"/>
      <c r="AT143" s="19"/>
      <c r="AU143" s="19"/>
      <c r="AV143" s="19"/>
      <c r="AW143" s="19"/>
      <c r="AX143" s="19"/>
      <c r="AY143" s="19"/>
      <c r="AZ143" s="19"/>
      <c r="BA143" s="20">
        <v>44452</v>
      </c>
      <c r="BB143" s="19" t="s">
        <v>961</v>
      </c>
      <c r="BC143" s="19" t="s">
        <v>2620</v>
      </c>
      <c r="BD143" s="19" t="s">
        <v>514</v>
      </c>
      <c r="BE143" s="19" t="s">
        <v>130</v>
      </c>
      <c r="BF143" s="19" t="s">
        <v>2621</v>
      </c>
      <c r="BG143" s="19"/>
      <c r="BH143" s="19" t="s">
        <v>2622</v>
      </c>
      <c r="BI143" s="19" t="s">
        <v>2622</v>
      </c>
      <c r="BJ143" s="19" t="s">
        <v>166</v>
      </c>
      <c r="BK143" s="19" t="s">
        <v>167</v>
      </c>
      <c r="BL143" s="19" t="s">
        <v>168</v>
      </c>
      <c r="BM143" s="19" t="s">
        <v>169</v>
      </c>
      <c r="BN143" s="21">
        <v>2.012</v>
      </c>
      <c r="BO143" s="21">
        <v>2998.2220400000001</v>
      </c>
      <c r="BQ143" s="2"/>
      <c r="BR143" s="2"/>
      <c r="BS143" s="2"/>
      <c r="BT143" s="2"/>
      <c r="BU143" s="22"/>
      <c r="BV143" s="2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</row>
    <row r="144" spans="1:95" x14ac:dyDescent="0.25">
      <c r="A144" s="18">
        <v>141</v>
      </c>
      <c r="B144" s="19" t="s">
        <v>2623</v>
      </c>
      <c r="C144" s="19" t="s">
        <v>2624</v>
      </c>
      <c r="D144" s="20">
        <v>46021</v>
      </c>
      <c r="E144" s="20">
        <v>38477</v>
      </c>
      <c r="F144" s="19"/>
      <c r="G144" s="19"/>
      <c r="H144" s="19" t="s">
        <v>94</v>
      </c>
      <c r="I144" s="19"/>
      <c r="J144" s="19" t="s">
        <v>2625</v>
      </c>
      <c r="K144" s="19" t="s">
        <v>2626</v>
      </c>
      <c r="L144" s="19"/>
      <c r="M144" s="19"/>
      <c r="N144" s="19" t="s">
        <v>2627</v>
      </c>
      <c r="O144" s="19" t="s">
        <v>100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 t="s">
        <v>101</v>
      </c>
      <c r="Z144" s="19" t="s">
        <v>102</v>
      </c>
      <c r="AA144" s="19" t="s">
        <v>103</v>
      </c>
      <c r="AB144" s="19" t="s">
        <v>402</v>
      </c>
      <c r="AC144" s="19" t="s">
        <v>403</v>
      </c>
      <c r="AD144" s="19" t="s">
        <v>2628</v>
      </c>
      <c r="AE144" s="19" t="s">
        <v>2629</v>
      </c>
      <c r="AF144" s="19" t="s">
        <v>2630</v>
      </c>
      <c r="AG144" s="19" t="s">
        <v>2631</v>
      </c>
      <c r="AH144" s="19" t="s">
        <v>149</v>
      </c>
      <c r="AI144" s="19" t="s">
        <v>111</v>
      </c>
      <c r="AJ144" s="19" t="s">
        <v>2632</v>
      </c>
      <c r="AK144" s="19"/>
      <c r="AL144" s="19"/>
      <c r="AM144" s="19" t="s">
        <v>2633</v>
      </c>
      <c r="AN144" s="19" t="s">
        <v>2634</v>
      </c>
      <c r="AO144" s="19" t="s">
        <v>2635</v>
      </c>
      <c r="AP144" s="19" t="s">
        <v>2636</v>
      </c>
      <c r="AQ144" s="19" t="s">
        <v>117</v>
      </c>
      <c r="AR144" s="19" t="s">
        <v>2637</v>
      </c>
      <c r="AS144" s="19" t="s">
        <v>2638</v>
      </c>
      <c r="AT144" s="19" t="s">
        <v>2639</v>
      </c>
      <c r="AU144" s="19"/>
      <c r="AV144" s="19" t="s">
        <v>2630</v>
      </c>
      <c r="AW144" s="19" t="s">
        <v>2632</v>
      </c>
      <c r="AX144" s="19" t="s">
        <v>149</v>
      </c>
      <c r="AY144" s="19" t="s">
        <v>2640</v>
      </c>
      <c r="AZ144" s="19" t="s">
        <v>2641</v>
      </c>
      <c r="BA144" s="20">
        <v>43834</v>
      </c>
      <c r="BB144" s="19" t="s">
        <v>312</v>
      </c>
      <c r="BC144" s="19" t="s">
        <v>2642</v>
      </c>
      <c r="BD144" s="19" t="s">
        <v>2643</v>
      </c>
      <c r="BE144" s="19" t="s">
        <v>130</v>
      </c>
      <c r="BF144" s="19" t="s">
        <v>2644</v>
      </c>
      <c r="BG144" s="19" t="s">
        <v>2645</v>
      </c>
      <c r="BH144" s="19"/>
      <c r="BI144" s="19" t="s">
        <v>2646</v>
      </c>
      <c r="BJ144" s="19"/>
      <c r="BK144" s="19" t="s">
        <v>2647</v>
      </c>
      <c r="BL144" s="19" t="s">
        <v>2630</v>
      </c>
      <c r="BM144" s="19" t="s">
        <v>196</v>
      </c>
      <c r="BN144" s="21">
        <v>0</v>
      </c>
      <c r="BO144" s="21">
        <v>0</v>
      </c>
      <c r="BQ144" s="2"/>
      <c r="BR144" s="2"/>
      <c r="BS144" s="2"/>
      <c r="BT144" s="2"/>
      <c r="BU144" s="22"/>
      <c r="BV144" s="2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</row>
    <row r="145" spans="1:95" x14ac:dyDescent="0.25">
      <c r="A145" s="18">
        <v>142</v>
      </c>
      <c r="B145" s="19" t="s">
        <v>2648</v>
      </c>
      <c r="C145" s="19" t="s">
        <v>2649</v>
      </c>
      <c r="D145" s="20">
        <v>46021</v>
      </c>
      <c r="E145" s="20">
        <v>28483</v>
      </c>
      <c r="F145" s="19" t="s">
        <v>2650</v>
      </c>
      <c r="G145" s="19" t="s">
        <v>139</v>
      </c>
      <c r="H145" s="19" t="s">
        <v>94</v>
      </c>
      <c r="I145" s="19"/>
      <c r="J145" s="19"/>
      <c r="K145" s="19"/>
      <c r="L145" s="19" t="s">
        <v>244</v>
      </c>
      <c r="M145" s="19" t="s">
        <v>245</v>
      </c>
      <c r="N145" s="19" t="s">
        <v>2651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 t="s">
        <v>101</v>
      </c>
      <c r="Z145" s="19" t="s">
        <v>102</v>
      </c>
      <c r="AA145" s="19" t="s">
        <v>103</v>
      </c>
      <c r="AB145" s="19" t="s">
        <v>671</v>
      </c>
      <c r="AC145" s="19" t="s">
        <v>672</v>
      </c>
      <c r="AD145" s="19" t="s">
        <v>2652</v>
      </c>
      <c r="AE145" s="19" t="s">
        <v>2653</v>
      </c>
      <c r="AF145" s="19" t="s">
        <v>2654</v>
      </c>
      <c r="AG145" s="19" t="s">
        <v>2655</v>
      </c>
      <c r="AH145" s="19" t="s">
        <v>188</v>
      </c>
      <c r="AI145" s="19" t="s">
        <v>111</v>
      </c>
      <c r="AJ145" s="19" t="s">
        <v>2656</v>
      </c>
      <c r="AK145" s="19"/>
      <c r="AL145" s="19"/>
      <c r="AM145" s="19" t="s">
        <v>2657</v>
      </c>
      <c r="AN145" s="19" t="s">
        <v>2658</v>
      </c>
      <c r="AO145" s="19" t="s">
        <v>255</v>
      </c>
      <c r="AP145" s="19" t="s">
        <v>256</v>
      </c>
      <c r="AQ145" s="19" t="s">
        <v>117</v>
      </c>
      <c r="AR145" s="19" t="s">
        <v>257</v>
      </c>
      <c r="AS145" s="19" t="s">
        <v>258</v>
      </c>
      <c r="AT145" s="19" t="s">
        <v>259</v>
      </c>
      <c r="AU145" s="19" t="s">
        <v>260</v>
      </c>
      <c r="AV145" s="19" t="s">
        <v>260</v>
      </c>
      <c r="AW145" s="19" t="s">
        <v>261</v>
      </c>
      <c r="AX145" s="19" t="s">
        <v>262</v>
      </c>
      <c r="AY145" s="19" t="s">
        <v>263</v>
      </c>
      <c r="AZ145" s="19" t="s">
        <v>264</v>
      </c>
      <c r="BA145" s="20">
        <v>43627</v>
      </c>
      <c r="BB145" s="19" t="s">
        <v>479</v>
      </c>
      <c r="BC145" s="19" t="s">
        <v>2659</v>
      </c>
      <c r="BD145" s="19" t="s">
        <v>365</v>
      </c>
      <c r="BE145" s="19" t="s">
        <v>130</v>
      </c>
      <c r="BF145" s="19" t="s">
        <v>2660</v>
      </c>
      <c r="BG145" s="19"/>
      <c r="BH145" s="19" t="s">
        <v>2661</v>
      </c>
      <c r="BI145" s="19" t="s">
        <v>2661</v>
      </c>
      <c r="BJ145" s="19" t="s">
        <v>166</v>
      </c>
      <c r="BK145" s="19" t="s">
        <v>167</v>
      </c>
      <c r="BL145" s="19" t="s">
        <v>168</v>
      </c>
      <c r="BM145" s="19" t="s">
        <v>169</v>
      </c>
      <c r="BN145" s="21">
        <v>667.12</v>
      </c>
      <c r="BO145" s="21">
        <v>30024.269295999999</v>
      </c>
      <c r="BQ145" s="2"/>
      <c r="BR145" s="2"/>
      <c r="BS145" s="2"/>
      <c r="BT145" s="2"/>
      <c r="BU145" s="22"/>
      <c r="BV145" s="2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</row>
    <row r="146" spans="1:95" x14ac:dyDescent="0.25">
      <c r="A146" s="18">
        <v>143</v>
      </c>
      <c r="B146" s="19" t="s">
        <v>2662</v>
      </c>
      <c r="C146" s="19" t="s">
        <v>2663</v>
      </c>
      <c r="D146" s="20">
        <v>46022</v>
      </c>
      <c r="E146" s="20">
        <v>34724</v>
      </c>
      <c r="F146" s="19"/>
      <c r="G146" s="19"/>
      <c r="H146" s="19" t="s">
        <v>94</v>
      </c>
      <c r="I146" s="19"/>
      <c r="J146" s="19" t="s">
        <v>95</v>
      </c>
      <c r="K146" s="19" t="s">
        <v>96</v>
      </c>
      <c r="L146" s="19" t="s">
        <v>1619</v>
      </c>
      <c r="M146" s="19" t="s">
        <v>1620</v>
      </c>
      <c r="N146" s="19" t="s">
        <v>2664</v>
      </c>
      <c r="O146" s="19" t="s">
        <v>100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 t="s">
        <v>101</v>
      </c>
      <c r="Z146" s="19" t="s">
        <v>102</v>
      </c>
      <c r="AA146" s="19" t="s">
        <v>103</v>
      </c>
      <c r="AB146" s="19" t="s">
        <v>1372</v>
      </c>
      <c r="AC146" s="19" t="s">
        <v>1373</v>
      </c>
      <c r="AD146" s="19" t="s">
        <v>2665</v>
      </c>
      <c r="AE146" s="19"/>
      <c r="AF146" s="19"/>
      <c r="AG146" s="19" t="s">
        <v>2468</v>
      </c>
      <c r="AH146" s="19" t="s">
        <v>231</v>
      </c>
      <c r="AI146" s="19" t="s">
        <v>111</v>
      </c>
      <c r="AJ146" s="19" t="s">
        <v>2666</v>
      </c>
      <c r="AK146" s="19"/>
      <c r="AL146" s="19"/>
      <c r="AM146" s="19" t="s">
        <v>2667</v>
      </c>
      <c r="AN146" s="19" t="s">
        <v>2668</v>
      </c>
      <c r="AO146" s="19" t="s">
        <v>2669</v>
      </c>
      <c r="AP146" s="19" t="s">
        <v>2670</v>
      </c>
      <c r="AQ146" s="19" t="s">
        <v>117</v>
      </c>
      <c r="AR146" s="19" t="s">
        <v>2671</v>
      </c>
      <c r="AS146" s="19" t="s">
        <v>2672</v>
      </c>
      <c r="AT146" s="19" t="s">
        <v>2673</v>
      </c>
      <c r="AU146" s="19" t="s">
        <v>2674</v>
      </c>
      <c r="AV146" s="19" t="s">
        <v>2365</v>
      </c>
      <c r="AW146" s="19" t="s">
        <v>2675</v>
      </c>
      <c r="AX146" s="19" t="s">
        <v>231</v>
      </c>
      <c r="AY146" s="19" t="s">
        <v>2676</v>
      </c>
      <c r="AZ146" s="19" t="s">
        <v>2677</v>
      </c>
      <c r="BA146" s="20">
        <v>45779</v>
      </c>
      <c r="BB146" s="19" t="s">
        <v>1388</v>
      </c>
      <c r="BC146" s="19" t="s">
        <v>2678</v>
      </c>
      <c r="BD146" s="19" t="s">
        <v>2468</v>
      </c>
      <c r="BE146" s="19" t="s">
        <v>130</v>
      </c>
      <c r="BF146" s="19" t="s">
        <v>2679</v>
      </c>
      <c r="BG146" s="19" t="s">
        <v>2680</v>
      </c>
      <c r="BH146" s="19" t="s">
        <v>2681</v>
      </c>
      <c r="BI146" s="19" t="s">
        <v>2681</v>
      </c>
      <c r="BJ146" s="19" t="s">
        <v>166</v>
      </c>
      <c r="BK146" s="19" t="s">
        <v>2682</v>
      </c>
      <c r="BL146" s="19" t="s">
        <v>2365</v>
      </c>
      <c r="BM146" s="19" t="s">
        <v>135</v>
      </c>
      <c r="BN146" s="21">
        <v>0</v>
      </c>
      <c r="BO146" s="21">
        <v>0</v>
      </c>
      <c r="BQ146" s="2"/>
      <c r="BR146" s="2"/>
      <c r="BS146" s="2"/>
      <c r="BT146" s="2"/>
      <c r="BU146" s="22"/>
      <c r="BV146" s="2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</row>
    <row r="147" spans="1:95" x14ac:dyDescent="0.25">
      <c r="A147" s="18">
        <v>144</v>
      </c>
      <c r="B147" s="19" t="s">
        <v>2683</v>
      </c>
      <c r="C147" s="19" t="s">
        <v>2684</v>
      </c>
      <c r="D147" s="20">
        <v>46021</v>
      </c>
      <c r="E147" s="20">
        <v>34904</v>
      </c>
      <c r="F147" s="19" t="s">
        <v>2685</v>
      </c>
      <c r="G147" s="19" t="s">
        <v>139</v>
      </c>
      <c r="H147" s="19" t="s">
        <v>94</v>
      </c>
      <c r="I147" s="19"/>
      <c r="J147" s="19"/>
      <c r="K147" s="19"/>
      <c r="L147" s="19" t="s">
        <v>244</v>
      </c>
      <c r="M147" s="19" t="s">
        <v>245</v>
      </c>
      <c r="N147" s="19" t="s">
        <v>2686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 t="s">
        <v>101</v>
      </c>
      <c r="Z147" s="19" t="s">
        <v>102</v>
      </c>
      <c r="AA147" s="19" t="s">
        <v>103</v>
      </c>
      <c r="AB147" s="19" t="s">
        <v>247</v>
      </c>
      <c r="AC147" s="19" t="s">
        <v>248</v>
      </c>
      <c r="AD147" s="19" t="s">
        <v>2687</v>
      </c>
      <c r="AE147" s="19" t="s">
        <v>2688</v>
      </c>
      <c r="AF147" s="19"/>
      <c r="AG147" s="19" t="s">
        <v>260</v>
      </c>
      <c r="AH147" s="19" t="s">
        <v>757</v>
      </c>
      <c r="AI147" s="19" t="s">
        <v>111</v>
      </c>
      <c r="AJ147" s="19" t="s">
        <v>2689</v>
      </c>
      <c r="AK147" s="19"/>
      <c r="AL147" s="19"/>
      <c r="AM147" s="19" t="s">
        <v>2690</v>
      </c>
      <c r="AN147" s="19" t="s">
        <v>2691</v>
      </c>
      <c r="AO147" s="19" t="s">
        <v>255</v>
      </c>
      <c r="AP147" s="19" t="s">
        <v>256</v>
      </c>
      <c r="AQ147" s="19" t="s">
        <v>117</v>
      </c>
      <c r="AR147" s="19" t="s">
        <v>257</v>
      </c>
      <c r="AS147" s="19" t="s">
        <v>258</v>
      </c>
      <c r="AT147" s="19" t="s">
        <v>259</v>
      </c>
      <c r="AU147" s="19" t="s">
        <v>260</v>
      </c>
      <c r="AV147" s="19" t="s">
        <v>260</v>
      </c>
      <c r="AW147" s="19" t="s">
        <v>261</v>
      </c>
      <c r="AX147" s="19" t="s">
        <v>262</v>
      </c>
      <c r="AY147" s="19" t="s">
        <v>263</v>
      </c>
      <c r="AZ147" s="19" t="s">
        <v>264</v>
      </c>
      <c r="BA147" s="20">
        <v>43627</v>
      </c>
      <c r="BB147" s="19" t="s">
        <v>349</v>
      </c>
      <c r="BC147" s="19" t="s">
        <v>2692</v>
      </c>
      <c r="BD147" s="19" t="s">
        <v>1960</v>
      </c>
      <c r="BE147" s="19" t="s">
        <v>130</v>
      </c>
      <c r="BF147" s="19" t="s">
        <v>2693</v>
      </c>
      <c r="BG147" s="19"/>
      <c r="BH147" s="19" t="s">
        <v>2694</v>
      </c>
      <c r="BI147" s="19" t="s">
        <v>2694</v>
      </c>
      <c r="BJ147" s="19" t="s">
        <v>166</v>
      </c>
      <c r="BK147" s="19" t="s">
        <v>167</v>
      </c>
      <c r="BL147" s="19" t="s">
        <v>168</v>
      </c>
      <c r="BM147" s="19" t="s">
        <v>169</v>
      </c>
      <c r="BN147" s="21">
        <v>114.07599999999999</v>
      </c>
      <c r="BO147" s="21">
        <v>50023.740542400003</v>
      </c>
      <c r="BQ147" s="2"/>
      <c r="BR147" s="2"/>
      <c r="BS147" s="2"/>
      <c r="BT147" s="2"/>
      <c r="BU147" s="22"/>
      <c r="BV147" s="2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</row>
    <row r="148" spans="1:95" x14ac:dyDescent="0.25">
      <c r="A148" s="18">
        <v>145</v>
      </c>
      <c r="B148" s="19" t="s">
        <v>2695</v>
      </c>
      <c r="C148" s="19" t="s">
        <v>2696</v>
      </c>
      <c r="D148" s="20">
        <v>46022</v>
      </c>
      <c r="E148" s="20">
        <v>33569</v>
      </c>
      <c r="F148" s="19" t="s">
        <v>2697</v>
      </c>
      <c r="G148" s="19" t="s">
        <v>139</v>
      </c>
      <c r="H148" s="19" t="s">
        <v>94</v>
      </c>
      <c r="I148" s="19"/>
      <c r="J148" s="19"/>
      <c r="K148" s="19"/>
      <c r="L148" s="19" t="s">
        <v>101</v>
      </c>
      <c r="M148" s="19" t="s">
        <v>290</v>
      </c>
      <c r="N148" s="19" t="s">
        <v>2698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 t="s">
        <v>101</v>
      </c>
      <c r="Z148" s="19" t="s">
        <v>102</v>
      </c>
      <c r="AA148" s="19" t="s">
        <v>103</v>
      </c>
      <c r="AB148" s="19" t="s">
        <v>173</v>
      </c>
      <c r="AC148" s="19" t="s">
        <v>174</v>
      </c>
      <c r="AD148" s="19" t="s">
        <v>2699</v>
      </c>
      <c r="AE148" s="19"/>
      <c r="AF148" s="19"/>
      <c r="AG148" s="19" t="s">
        <v>2700</v>
      </c>
      <c r="AH148" s="19" t="s">
        <v>942</v>
      </c>
      <c r="AI148" s="19" t="s">
        <v>111</v>
      </c>
      <c r="AJ148" s="19" t="s">
        <v>2701</v>
      </c>
      <c r="AK148" s="19"/>
      <c r="AL148" s="19" t="s">
        <v>2702</v>
      </c>
      <c r="AM148" s="19" t="s">
        <v>2703</v>
      </c>
      <c r="AN148" s="19" t="s">
        <v>2704</v>
      </c>
      <c r="AO148" s="19" t="s">
        <v>2705</v>
      </c>
      <c r="AP148" s="19" t="s">
        <v>2706</v>
      </c>
      <c r="AQ148" s="19" t="s">
        <v>117</v>
      </c>
      <c r="AR148" s="19"/>
      <c r="AS148" s="19"/>
      <c r="AT148" s="19"/>
      <c r="AU148" s="19"/>
      <c r="AV148" s="19"/>
      <c r="AW148" s="19"/>
      <c r="AX148" s="19"/>
      <c r="AY148" s="19"/>
      <c r="AZ148" s="19" t="s">
        <v>2707</v>
      </c>
      <c r="BA148" s="20">
        <v>45363</v>
      </c>
      <c r="BB148" s="19" t="s">
        <v>479</v>
      </c>
      <c r="BC148" s="19" t="s">
        <v>2708</v>
      </c>
      <c r="BD148" s="19" t="s">
        <v>2700</v>
      </c>
      <c r="BE148" s="19" t="s">
        <v>130</v>
      </c>
      <c r="BF148" s="19" t="s">
        <v>2709</v>
      </c>
      <c r="BG148" s="19"/>
      <c r="BH148" s="19" t="s">
        <v>2710</v>
      </c>
      <c r="BI148" s="19" t="s">
        <v>2710</v>
      </c>
      <c r="BJ148" s="19" t="s">
        <v>166</v>
      </c>
      <c r="BK148" s="19" t="s">
        <v>167</v>
      </c>
      <c r="BL148" s="19" t="s">
        <v>168</v>
      </c>
      <c r="BM148" s="19" t="s">
        <v>169</v>
      </c>
      <c r="BN148" s="21">
        <v>28.228000000000002</v>
      </c>
      <c r="BO148" s="21">
        <v>999.95431759999997</v>
      </c>
      <c r="BQ148" s="2"/>
      <c r="BR148" s="2"/>
      <c r="BS148" s="2"/>
      <c r="BT148" s="2"/>
      <c r="BU148" s="22"/>
      <c r="BV148" s="2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</row>
    <row r="149" spans="1:95" x14ac:dyDescent="0.25">
      <c r="A149" s="18">
        <v>146</v>
      </c>
      <c r="B149" s="19" t="s">
        <v>2711</v>
      </c>
      <c r="C149" s="19" t="s">
        <v>2712</v>
      </c>
      <c r="D149" s="20">
        <v>46022</v>
      </c>
      <c r="E149" s="20">
        <v>32326</v>
      </c>
      <c r="F149" s="19" t="s">
        <v>2713</v>
      </c>
      <c r="G149" s="19" t="s">
        <v>139</v>
      </c>
      <c r="H149" s="19" t="s">
        <v>94</v>
      </c>
      <c r="I149" s="19"/>
      <c r="J149" s="19"/>
      <c r="K149" s="19"/>
      <c r="L149" s="19" t="s">
        <v>244</v>
      </c>
      <c r="M149" s="19" t="s">
        <v>245</v>
      </c>
      <c r="N149" s="19" t="s">
        <v>2714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 t="s">
        <v>101</v>
      </c>
      <c r="Z149" s="19" t="s">
        <v>102</v>
      </c>
      <c r="AA149" s="19" t="s">
        <v>103</v>
      </c>
      <c r="AB149" s="19" t="s">
        <v>173</v>
      </c>
      <c r="AC149" s="19" t="s">
        <v>174</v>
      </c>
      <c r="AD149" s="19" t="s">
        <v>2715</v>
      </c>
      <c r="AE149" s="19" t="s">
        <v>2716</v>
      </c>
      <c r="AF149" s="19"/>
      <c r="AG149" s="19" t="s">
        <v>2571</v>
      </c>
      <c r="AH149" s="19" t="s">
        <v>110</v>
      </c>
      <c r="AI149" s="19"/>
      <c r="AJ149" s="19" t="s">
        <v>2717</v>
      </c>
      <c r="AK149" s="19"/>
      <c r="AL149" s="19"/>
      <c r="AM149" s="19" t="s">
        <v>2718</v>
      </c>
      <c r="AN149" s="19" t="s">
        <v>2719</v>
      </c>
      <c r="AO149" s="19" t="s">
        <v>255</v>
      </c>
      <c r="AP149" s="19" t="s">
        <v>256</v>
      </c>
      <c r="AQ149" s="19" t="s">
        <v>117</v>
      </c>
      <c r="AR149" s="19" t="s">
        <v>257</v>
      </c>
      <c r="AS149" s="19" t="s">
        <v>258</v>
      </c>
      <c r="AT149" s="19" t="s">
        <v>259</v>
      </c>
      <c r="AU149" s="19" t="s">
        <v>260</v>
      </c>
      <c r="AV149" s="19" t="s">
        <v>260</v>
      </c>
      <c r="AW149" s="19" t="s">
        <v>261</v>
      </c>
      <c r="AX149" s="19" t="s">
        <v>262</v>
      </c>
      <c r="AY149" s="19" t="s">
        <v>263</v>
      </c>
      <c r="AZ149" s="19" t="s">
        <v>264</v>
      </c>
      <c r="BA149" s="20">
        <v>43627</v>
      </c>
      <c r="BB149" s="19" t="s">
        <v>331</v>
      </c>
      <c r="BC149" s="19" t="s">
        <v>2720</v>
      </c>
      <c r="BD149" s="19" t="s">
        <v>2721</v>
      </c>
      <c r="BE149" s="19" t="s">
        <v>130</v>
      </c>
      <c r="BF149" s="19" t="s">
        <v>2722</v>
      </c>
      <c r="BG149" s="19"/>
      <c r="BH149" s="19" t="s">
        <v>2723</v>
      </c>
      <c r="BI149" s="19" t="s">
        <v>2723</v>
      </c>
      <c r="BJ149" s="19" t="s">
        <v>166</v>
      </c>
      <c r="BK149" s="19" t="s">
        <v>167</v>
      </c>
      <c r="BL149" s="19" t="s">
        <v>168</v>
      </c>
      <c r="BM149" s="19" t="s">
        <v>169</v>
      </c>
      <c r="BN149" s="21">
        <v>28.228000000000002</v>
      </c>
      <c r="BO149" s="21">
        <v>999.95431759999997</v>
      </c>
      <c r="BQ149" s="2"/>
      <c r="BR149" s="2"/>
      <c r="BS149" s="2"/>
      <c r="BT149" s="2"/>
      <c r="BU149" s="22"/>
      <c r="BV149" s="2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</row>
    <row r="150" spans="1:95" x14ac:dyDescent="0.25">
      <c r="A150" s="18">
        <v>147</v>
      </c>
      <c r="B150" s="19" t="s">
        <v>2724</v>
      </c>
      <c r="C150" s="19" t="s">
        <v>2725</v>
      </c>
      <c r="D150" s="20">
        <v>46022</v>
      </c>
      <c r="E150" s="20">
        <v>33930</v>
      </c>
      <c r="F150" s="19"/>
      <c r="G150" s="19"/>
      <c r="H150" s="19" t="s">
        <v>94</v>
      </c>
      <c r="I150" s="19"/>
      <c r="J150" s="19" t="s">
        <v>287</v>
      </c>
      <c r="K150" s="19" t="s">
        <v>288</v>
      </c>
      <c r="L150" s="19" t="s">
        <v>244</v>
      </c>
      <c r="M150" s="19" t="s">
        <v>245</v>
      </c>
      <c r="N150" s="19" t="s">
        <v>2726</v>
      </c>
      <c r="O150" s="19" t="s">
        <v>100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 t="s">
        <v>101</v>
      </c>
      <c r="Z150" s="19" t="s">
        <v>102</v>
      </c>
      <c r="AA150" s="19" t="s">
        <v>103</v>
      </c>
      <c r="AB150" s="19" t="s">
        <v>247</v>
      </c>
      <c r="AC150" s="19" t="s">
        <v>248</v>
      </c>
      <c r="AD150" s="19" t="s">
        <v>2727</v>
      </c>
      <c r="AE150" s="19" t="s">
        <v>2728</v>
      </c>
      <c r="AF150" s="19"/>
      <c r="AG150" s="19" t="s">
        <v>2729</v>
      </c>
      <c r="AH150" s="19" t="s">
        <v>942</v>
      </c>
      <c r="AI150" s="19" t="s">
        <v>111</v>
      </c>
      <c r="AJ150" s="19" t="s">
        <v>2730</v>
      </c>
      <c r="AK150" s="19"/>
      <c r="AL150" s="19"/>
      <c r="AM150" s="19" t="s">
        <v>2731</v>
      </c>
      <c r="AN150" s="19" t="s">
        <v>2732</v>
      </c>
      <c r="AO150" s="19" t="s">
        <v>1077</v>
      </c>
      <c r="AP150" s="19" t="s">
        <v>1077</v>
      </c>
      <c r="AQ150" s="19" t="s">
        <v>117</v>
      </c>
      <c r="AR150" s="19"/>
      <c r="AS150" s="19" t="s">
        <v>1078</v>
      </c>
      <c r="AT150" s="19"/>
      <c r="AU150" s="19"/>
      <c r="AV150" s="19"/>
      <c r="AW150" s="19" t="s">
        <v>1079</v>
      </c>
      <c r="AX150" s="19"/>
      <c r="AY150" s="19"/>
      <c r="AZ150" s="19"/>
      <c r="BA150" s="20">
        <v>38627</v>
      </c>
      <c r="BB150" s="19" t="s">
        <v>1002</v>
      </c>
      <c r="BC150" s="19" t="s">
        <v>2733</v>
      </c>
      <c r="BD150" s="19" t="s">
        <v>2700</v>
      </c>
      <c r="BE150" s="19" t="s">
        <v>130</v>
      </c>
      <c r="BF150" s="19" t="s">
        <v>2734</v>
      </c>
      <c r="BG150" s="19"/>
      <c r="BH150" s="19" t="s">
        <v>2735</v>
      </c>
      <c r="BI150" s="19" t="s">
        <v>2735</v>
      </c>
      <c r="BJ150" s="19" t="s">
        <v>166</v>
      </c>
      <c r="BK150" s="19" t="s">
        <v>2736</v>
      </c>
      <c r="BL150" s="19" t="s">
        <v>2737</v>
      </c>
      <c r="BM150" s="19" t="s">
        <v>1045</v>
      </c>
      <c r="BN150" s="21">
        <v>114.01600000000001</v>
      </c>
      <c r="BO150" s="21">
        <v>49997.4297984</v>
      </c>
      <c r="BQ150" s="2"/>
      <c r="BR150" s="2"/>
      <c r="BS150" s="2"/>
      <c r="BT150" s="2"/>
      <c r="BU150" s="22"/>
      <c r="BV150" s="2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</row>
    <row r="151" spans="1:95" x14ac:dyDescent="0.25">
      <c r="A151" s="18">
        <v>148</v>
      </c>
      <c r="B151" s="19" t="s">
        <v>2738</v>
      </c>
      <c r="C151" s="19" t="s">
        <v>2739</v>
      </c>
      <c r="D151" s="20">
        <v>45992</v>
      </c>
      <c r="E151" s="20">
        <v>33050</v>
      </c>
      <c r="F151" s="19" t="s">
        <v>2740</v>
      </c>
      <c r="G151" s="19" t="s">
        <v>139</v>
      </c>
      <c r="H151" s="19" t="s">
        <v>94</v>
      </c>
      <c r="I151" s="19"/>
      <c r="J151" s="19"/>
      <c r="K151" s="19"/>
      <c r="L151" s="19" t="s">
        <v>244</v>
      </c>
      <c r="M151" s="19" t="s">
        <v>245</v>
      </c>
      <c r="N151" s="19" t="s">
        <v>2741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 t="s">
        <v>101</v>
      </c>
      <c r="Z151" s="19" t="s">
        <v>102</v>
      </c>
      <c r="AA151" s="19" t="s">
        <v>103</v>
      </c>
      <c r="AB151" s="19" t="s">
        <v>173</v>
      </c>
      <c r="AC151" s="19" t="s">
        <v>174</v>
      </c>
      <c r="AD151" s="19" t="s">
        <v>2742</v>
      </c>
      <c r="AE151" s="19" t="s">
        <v>2743</v>
      </c>
      <c r="AF151" s="19" t="s">
        <v>2744</v>
      </c>
      <c r="AG151" s="19" t="s">
        <v>2745</v>
      </c>
      <c r="AH151" s="19" t="s">
        <v>1326</v>
      </c>
      <c r="AI151" s="19"/>
      <c r="AJ151" s="19" t="s">
        <v>2746</v>
      </c>
      <c r="AK151" s="19"/>
      <c r="AL151" s="19"/>
      <c r="AM151" s="19" t="s">
        <v>2747</v>
      </c>
      <c r="AN151" s="19" t="s">
        <v>2748</v>
      </c>
      <c r="AO151" s="19" t="s">
        <v>255</v>
      </c>
      <c r="AP151" s="19" t="s">
        <v>256</v>
      </c>
      <c r="AQ151" s="19" t="s">
        <v>117</v>
      </c>
      <c r="AR151" s="19" t="s">
        <v>257</v>
      </c>
      <c r="AS151" s="19" t="s">
        <v>258</v>
      </c>
      <c r="AT151" s="19" t="s">
        <v>259</v>
      </c>
      <c r="AU151" s="19" t="s">
        <v>260</v>
      </c>
      <c r="AV151" s="19" t="s">
        <v>260</v>
      </c>
      <c r="AW151" s="19" t="s">
        <v>261</v>
      </c>
      <c r="AX151" s="19" t="s">
        <v>262</v>
      </c>
      <c r="AY151" s="19" t="s">
        <v>263</v>
      </c>
      <c r="AZ151" s="19" t="s">
        <v>264</v>
      </c>
      <c r="BA151" s="20">
        <v>43627</v>
      </c>
      <c r="BB151" s="19" t="s">
        <v>331</v>
      </c>
      <c r="BC151" s="19" t="s">
        <v>2749</v>
      </c>
      <c r="BD151" s="19" t="s">
        <v>407</v>
      </c>
      <c r="BE151" s="19" t="s">
        <v>130</v>
      </c>
      <c r="BF151" s="19" t="s">
        <v>2750</v>
      </c>
      <c r="BG151" s="19"/>
      <c r="BH151" s="19" t="s">
        <v>2751</v>
      </c>
      <c r="BI151" s="19" t="s">
        <v>2751</v>
      </c>
      <c r="BJ151" s="19" t="s">
        <v>166</v>
      </c>
      <c r="BK151" s="19" t="s">
        <v>167</v>
      </c>
      <c r="BL151" s="19" t="s">
        <v>168</v>
      </c>
      <c r="BM151" s="19" t="s">
        <v>169</v>
      </c>
      <c r="BN151" s="21">
        <v>0</v>
      </c>
      <c r="BO151" s="21">
        <v>0</v>
      </c>
      <c r="BQ151" s="2"/>
      <c r="BR151" s="2"/>
      <c r="BS151" s="2"/>
      <c r="BT151" s="2"/>
      <c r="BU151" s="22"/>
      <c r="BV151" s="2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</row>
    <row r="152" spans="1:95" x14ac:dyDescent="0.25">
      <c r="A152" s="18">
        <v>149</v>
      </c>
      <c r="B152" s="19" t="s">
        <v>2752</v>
      </c>
      <c r="C152" s="19" t="s">
        <v>2753</v>
      </c>
      <c r="D152" s="20">
        <v>45992</v>
      </c>
      <c r="E152" s="20">
        <v>36554</v>
      </c>
      <c r="F152" s="19"/>
      <c r="G152" s="19"/>
      <c r="H152" s="19" t="s">
        <v>94</v>
      </c>
      <c r="I152" s="19"/>
      <c r="J152" s="19"/>
      <c r="K152" s="19"/>
      <c r="L152" s="19" t="s">
        <v>1262</v>
      </c>
      <c r="M152" s="19" t="s">
        <v>1263</v>
      </c>
      <c r="N152" s="19" t="s">
        <v>2754</v>
      </c>
      <c r="O152" s="19" t="s">
        <v>100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 t="s">
        <v>101</v>
      </c>
      <c r="Z152" s="19" t="s">
        <v>102</v>
      </c>
      <c r="AA152" s="19" t="s">
        <v>103</v>
      </c>
      <c r="AB152" s="19" t="s">
        <v>1025</v>
      </c>
      <c r="AC152" s="19" t="s">
        <v>1026</v>
      </c>
      <c r="AD152" s="19" t="s">
        <v>2755</v>
      </c>
      <c r="AE152" s="19" t="s">
        <v>2756</v>
      </c>
      <c r="AF152" s="19" t="s">
        <v>2757</v>
      </c>
      <c r="AG152" s="19" t="s">
        <v>2758</v>
      </c>
      <c r="AH152" s="19" t="s">
        <v>327</v>
      </c>
      <c r="AI152" s="19" t="s">
        <v>111</v>
      </c>
      <c r="AJ152" s="19" t="s">
        <v>2759</v>
      </c>
      <c r="AK152" s="19"/>
      <c r="AL152" s="19"/>
      <c r="AM152" s="19" t="s">
        <v>2760</v>
      </c>
      <c r="AN152" s="19" t="s">
        <v>2761</v>
      </c>
      <c r="AO152" s="19" t="s">
        <v>1206</v>
      </c>
      <c r="AP152" s="19" t="s">
        <v>1207</v>
      </c>
      <c r="AQ152" s="19" t="s">
        <v>117</v>
      </c>
      <c r="AR152" s="19" t="s">
        <v>1208</v>
      </c>
      <c r="AS152" s="19" t="s">
        <v>1209</v>
      </c>
      <c r="AT152" s="19" t="s">
        <v>1210</v>
      </c>
      <c r="AU152" s="19" t="s">
        <v>1211</v>
      </c>
      <c r="AV152" s="19" t="s">
        <v>219</v>
      </c>
      <c r="AW152" s="19" t="s">
        <v>1212</v>
      </c>
      <c r="AX152" s="19" t="s">
        <v>124</v>
      </c>
      <c r="AY152" s="19" t="s">
        <v>1213</v>
      </c>
      <c r="AZ152" s="19" t="s">
        <v>1214</v>
      </c>
      <c r="BA152" s="20">
        <v>37560</v>
      </c>
      <c r="BB152" s="19" t="s">
        <v>161</v>
      </c>
      <c r="BC152" s="19" t="s">
        <v>1140</v>
      </c>
      <c r="BD152" s="19" t="s">
        <v>1140</v>
      </c>
      <c r="BE152" s="19" t="s">
        <v>130</v>
      </c>
      <c r="BF152" s="19" t="s">
        <v>2762</v>
      </c>
      <c r="BG152" s="19"/>
      <c r="BH152" s="19" t="s">
        <v>2763</v>
      </c>
      <c r="BI152" s="19" t="s">
        <v>2763</v>
      </c>
      <c r="BJ152" s="19" t="s">
        <v>194</v>
      </c>
      <c r="BK152" s="19" t="s">
        <v>591</v>
      </c>
      <c r="BL152" s="19" t="s">
        <v>122</v>
      </c>
      <c r="BM152" s="19" t="s">
        <v>592</v>
      </c>
      <c r="BN152" s="21">
        <v>37.576999999999998</v>
      </c>
      <c r="BO152" s="21">
        <v>1307.1084295999999</v>
      </c>
      <c r="BQ152" s="2"/>
      <c r="BR152" s="2"/>
      <c r="BS152" s="2"/>
      <c r="BT152" s="2"/>
      <c r="BU152" s="22"/>
      <c r="BV152" s="2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</row>
    <row r="153" spans="1:95" x14ac:dyDescent="0.25">
      <c r="A153" s="18">
        <v>150</v>
      </c>
      <c r="B153" s="19" t="s">
        <v>2764</v>
      </c>
      <c r="C153" s="19" t="s">
        <v>2765</v>
      </c>
      <c r="D153" s="20">
        <v>45999</v>
      </c>
      <c r="E153" s="20">
        <v>36133</v>
      </c>
      <c r="F153" s="19"/>
      <c r="G153" s="19"/>
      <c r="H153" s="19" t="s">
        <v>94</v>
      </c>
      <c r="I153" s="19"/>
      <c r="J153" s="19"/>
      <c r="K153" s="19"/>
      <c r="L153" s="19" t="s">
        <v>140</v>
      </c>
      <c r="M153" s="19" t="s">
        <v>141</v>
      </c>
      <c r="N153" s="19" t="s">
        <v>2766</v>
      </c>
      <c r="O153" s="19" t="s">
        <v>100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 t="s">
        <v>101</v>
      </c>
      <c r="Z153" s="19" t="s">
        <v>102</v>
      </c>
      <c r="AA153" s="19" t="s">
        <v>103</v>
      </c>
      <c r="AB153" s="19" t="s">
        <v>402</v>
      </c>
      <c r="AC153" s="19" t="s">
        <v>403</v>
      </c>
      <c r="AD153" s="19" t="s">
        <v>2767</v>
      </c>
      <c r="AE153" s="19" t="s">
        <v>2768</v>
      </c>
      <c r="AF153" s="19"/>
      <c r="AG153" s="19" t="s">
        <v>440</v>
      </c>
      <c r="AH153" s="19" t="s">
        <v>149</v>
      </c>
      <c r="AI153" s="19" t="s">
        <v>111</v>
      </c>
      <c r="AJ153" s="19" t="s">
        <v>2769</v>
      </c>
      <c r="AK153" s="19"/>
      <c r="AL153" s="19"/>
      <c r="AM153" s="19" t="s">
        <v>2770</v>
      </c>
      <c r="AN153" s="19"/>
      <c r="AO153" s="19" t="s">
        <v>1206</v>
      </c>
      <c r="AP153" s="19" t="s">
        <v>1207</v>
      </c>
      <c r="AQ153" s="19" t="s">
        <v>117</v>
      </c>
      <c r="AR153" s="19" t="s">
        <v>1208</v>
      </c>
      <c r="AS153" s="19" t="s">
        <v>1209</v>
      </c>
      <c r="AT153" s="19" t="s">
        <v>1210</v>
      </c>
      <c r="AU153" s="19" t="s">
        <v>1211</v>
      </c>
      <c r="AV153" s="19" t="s">
        <v>219</v>
      </c>
      <c r="AW153" s="19" t="s">
        <v>1212</v>
      </c>
      <c r="AX153" s="19" t="s">
        <v>124</v>
      </c>
      <c r="AY153" s="19" t="s">
        <v>1213</v>
      </c>
      <c r="AZ153" s="19" t="s">
        <v>1214</v>
      </c>
      <c r="BA153" s="20">
        <v>37560</v>
      </c>
      <c r="BB153" s="19" t="s">
        <v>161</v>
      </c>
      <c r="BC153" s="19" t="s">
        <v>2771</v>
      </c>
      <c r="BD153" s="19" t="s">
        <v>2772</v>
      </c>
      <c r="BE153" s="19" t="s">
        <v>130</v>
      </c>
      <c r="BF153" s="19" t="s">
        <v>2773</v>
      </c>
      <c r="BG153" s="19"/>
      <c r="BH153" s="19" t="s">
        <v>2774</v>
      </c>
      <c r="BI153" s="19" t="s">
        <v>2774</v>
      </c>
      <c r="BJ153" s="19" t="s">
        <v>194</v>
      </c>
      <c r="BK153" s="19" t="s">
        <v>591</v>
      </c>
      <c r="BL153" s="19" t="s">
        <v>122</v>
      </c>
      <c r="BM153" s="19" t="s">
        <v>592</v>
      </c>
      <c r="BN153" s="21">
        <v>268.08699999999999</v>
      </c>
      <c r="BO153" s="21">
        <v>507577.15970999998</v>
      </c>
      <c r="BQ153" s="2"/>
      <c r="BR153" s="2"/>
      <c r="BS153" s="2"/>
      <c r="BT153" s="2"/>
      <c r="BU153" s="22"/>
      <c r="BV153" s="2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</row>
    <row r="154" spans="1:95" x14ac:dyDescent="0.25">
      <c r="A154" s="18">
        <v>151</v>
      </c>
      <c r="B154" s="19" t="s">
        <v>2775</v>
      </c>
      <c r="C154" s="19" t="s">
        <v>2776</v>
      </c>
      <c r="D154" s="20">
        <v>45999</v>
      </c>
      <c r="E154" s="20">
        <v>33619</v>
      </c>
      <c r="F154" s="19"/>
      <c r="G154" s="19"/>
      <c r="H154" s="19" t="s">
        <v>94</v>
      </c>
      <c r="I154" s="19"/>
      <c r="J154" s="19"/>
      <c r="K154" s="19"/>
      <c r="L154" s="19" t="s">
        <v>140</v>
      </c>
      <c r="M154" s="19" t="s">
        <v>141</v>
      </c>
      <c r="N154" s="19" t="s">
        <v>2777</v>
      </c>
      <c r="O154" s="19" t="s">
        <v>100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 t="s">
        <v>101</v>
      </c>
      <c r="Z154" s="19" t="s">
        <v>102</v>
      </c>
      <c r="AA154" s="19" t="s">
        <v>103</v>
      </c>
      <c r="AB154" s="19" t="s">
        <v>173</v>
      </c>
      <c r="AC154" s="19" t="s">
        <v>174</v>
      </c>
      <c r="AD154" s="19" t="s">
        <v>2778</v>
      </c>
      <c r="AE154" s="19" t="s">
        <v>2779</v>
      </c>
      <c r="AF154" s="19"/>
      <c r="AG154" s="19" t="s">
        <v>407</v>
      </c>
      <c r="AH154" s="19" t="s">
        <v>376</v>
      </c>
      <c r="AI154" s="19" t="s">
        <v>111</v>
      </c>
      <c r="AJ154" s="19" t="s">
        <v>2780</v>
      </c>
      <c r="AK154" s="19"/>
      <c r="AL154" s="19"/>
      <c r="AM154" s="19" t="s">
        <v>2781</v>
      </c>
      <c r="AN154" s="19" t="s">
        <v>2782</v>
      </c>
      <c r="AO154" s="19" t="s">
        <v>181</v>
      </c>
      <c r="AP154" s="19" t="s">
        <v>182</v>
      </c>
      <c r="AQ154" s="19" t="s">
        <v>117</v>
      </c>
      <c r="AR154" s="19" t="s">
        <v>183</v>
      </c>
      <c r="AS154" s="19" t="s">
        <v>184</v>
      </c>
      <c r="AT154" s="19" t="s">
        <v>185</v>
      </c>
      <c r="AU154" s="19"/>
      <c r="AV154" s="19" t="s">
        <v>186</v>
      </c>
      <c r="AW154" s="19" t="s">
        <v>187</v>
      </c>
      <c r="AX154" s="19" t="s">
        <v>188</v>
      </c>
      <c r="AY154" s="19"/>
      <c r="AZ154" s="19" t="s">
        <v>189</v>
      </c>
      <c r="BA154" s="20">
        <v>44673</v>
      </c>
      <c r="BB154" s="19" t="s">
        <v>2783</v>
      </c>
      <c r="BC154" s="19" t="s">
        <v>2784</v>
      </c>
      <c r="BD154" s="19" t="s">
        <v>2785</v>
      </c>
      <c r="BE154" s="19" t="s">
        <v>130</v>
      </c>
      <c r="BF154" s="19" t="s">
        <v>2786</v>
      </c>
      <c r="BG154" s="19"/>
      <c r="BH154" s="19" t="s">
        <v>2787</v>
      </c>
      <c r="BI154" s="19" t="s">
        <v>2787</v>
      </c>
      <c r="BJ154" s="19" t="s">
        <v>194</v>
      </c>
      <c r="BK154" s="19" t="s">
        <v>195</v>
      </c>
      <c r="BL154" s="19" t="s">
        <v>122</v>
      </c>
      <c r="BM154" s="19" t="s">
        <v>196</v>
      </c>
      <c r="BN154" s="21">
        <v>35.777999999999999</v>
      </c>
      <c r="BO154" s="21">
        <v>1267.4070276</v>
      </c>
      <c r="BQ154" s="2"/>
      <c r="BR154" s="2"/>
      <c r="BS154" s="2"/>
      <c r="BT154" s="2"/>
      <c r="BU154" s="22"/>
      <c r="BV154" s="2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</row>
    <row r="155" spans="1:95" x14ac:dyDescent="0.25">
      <c r="A155" s="18">
        <v>152</v>
      </c>
      <c r="B155" s="19" t="s">
        <v>2788</v>
      </c>
      <c r="C155" s="19" t="s">
        <v>2789</v>
      </c>
      <c r="D155" s="20">
        <v>45996</v>
      </c>
      <c r="E155" s="20">
        <v>36966</v>
      </c>
      <c r="F155" s="19"/>
      <c r="G155" s="19"/>
      <c r="H155" s="19" t="s">
        <v>94</v>
      </c>
      <c r="I155" s="19"/>
      <c r="J155" s="19"/>
      <c r="K155" s="19"/>
      <c r="L155" s="19" t="s">
        <v>467</v>
      </c>
      <c r="M155" s="19" t="s">
        <v>468</v>
      </c>
      <c r="N155" s="19" t="s">
        <v>2790</v>
      </c>
      <c r="O155" s="19" t="s">
        <v>100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 t="s">
        <v>101</v>
      </c>
      <c r="Z155" s="19" t="s">
        <v>102</v>
      </c>
      <c r="AA155" s="19" t="s">
        <v>103</v>
      </c>
      <c r="AB155" s="19" t="s">
        <v>1450</v>
      </c>
      <c r="AC155" s="19" t="s">
        <v>1451</v>
      </c>
      <c r="AD155" s="19" t="s">
        <v>2791</v>
      </c>
      <c r="AE155" s="19" t="s">
        <v>2792</v>
      </c>
      <c r="AF155" s="19" t="s">
        <v>2793</v>
      </c>
      <c r="AG155" s="19" t="s">
        <v>2794</v>
      </c>
      <c r="AH155" s="19" t="s">
        <v>262</v>
      </c>
      <c r="AI155" s="19" t="s">
        <v>111</v>
      </c>
      <c r="AJ155" s="19" t="s">
        <v>585</v>
      </c>
      <c r="AK155" s="19"/>
      <c r="AL155" s="19"/>
      <c r="AM155" s="19" t="s">
        <v>2795</v>
      </c>
      <c r="AN155" s="19" t="s">
        <v>2796</v>
      </c>
      <c r="AO155" s="19" t="s">
        <v>2797</v>
      </c>
      <c r="AP155" s="19" t="s">
        <v>1034</v>
      </c>
      <c r="AQ155" s="19" t="s">
        <v>94</v>
      </c>
      <c r="AR155" s="19" t="s">
        <v>1035</v>
      </c>
      <c r="AS155" s="19" t="s">
        <v>2798</v>
      </c>
      <c r="AT155" s="19" t="s">
        <v>2799</v>
      </c>
      <c r="AU155" s="19" t="s">
        <v>2800</v>
      </c>
      <c r="AV155" s="19" t="s">
        <v>2800</v>
      </c>
      <c r="AW155" s="19" t="s">
        <v>1755</v>
      </c>
      <c r="AX155" s="19" t="s">
        <v>188</v>
      </c>
      <c r="AY155" s="19" t="s">
        <v>2801</v>
      </c>
      <c r="AZ155" s="19" t="s">
        <v>2802</v>
      </c>
      <c r="BA155" s="20">
        <v>45467</v>
      </c>
      <c r="BB155" s="19" t="s">
        <v>444</v>
      </c>
      <c r="BC155" s="19" t="s">
        <v>2803</v>
      </c>
      <c r="BD155" s="19" t="s">
        <v>2804</v>
      </c>
      <c r="BE155" s="19" t="s">
        <v>130</v>
      </c>
      <c r="BF155" s="19" t="s">
        <v>2805</v>
      </c>
      <c r="BG155" s="19"/>
      <c r="BH155" s="19" t="s">
        <v>2806</v>
      </c>
      <c r="BI155" s="19" t="s">
        <v>2806</v>
      </c>
      <c r="BJ155" s="19" t="s">
        <v>194</v>
      </c>
      <c r="BK155" s="19" t="s">
        <v>1043</v>
      </c>
      <c r="BL155" s="19" t="s">
        <v>1044</v>
      </c>
      <c r="BM155" s="19" t="s">
        <v>1045</v>
      </c>
      <c r="BN155" s="21">
        <v>33.097999999999999</v>
      </c>
      <c r="BO155" s="21">
        <v>20103.394219999998</v>
      </c>
      <c r="BQ155" s="2"/>
      <c r="BR155" s="2"/>
      <c r="BS155" s="2"/>
      <c r="BT155" s="2"/>
      <c r="BU155" s="22"/>
      <c r="BV155" s="2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</row>
    <row r="156" spans="1:95" x14ac:dyDescent="0.25">
      <c r="A156" s="18">
        <v>153</v>
      </c>
      <c r="B156" s="19" t="s">
        <v>2807</v>
      </c>
      <c r="C156" s="19" t="s">
        <v>2808</v>
      </c>
      <c r="D156" s="20">
        <v>45992</v>
      </c>
      <c r="E156" s="20">
        <v>33055</v>
      </c>
      <c r="F156" s="19"/>
      <c r="G156" s="19"/>
      <c r="H156" s="19" t="s">
        <v>94</v>
      </c>
      <c r="I156" s="19"/>
      <c r="J156" s="19"/>
      <c r="K156" s="19"/>
      <c r="L156" s="19" t="s">
        <v>2080</v>
      </c>
      <c r="M156" s="19" t="s">
        <v>141</v>
      </c>
      <c r="N156" s="19" t="s">
        <v>2809</v>
      </c>
      <c r="O156" s="19" t="s">
        <v>100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 t="s">
        <v>101</v>
      </c>
      <c r="Z156" s="19" t="s">
        <v>102</v>
      </c>
      <c r="AA156" s="19" t="s">
        <v>103</v>
      </c>
      <c r="AB156" s="19" t="s">
        <v>2810</v>
      </c>
      <c r="AC156" s="19" t="s">
        <v>2811</v>
      </c>
      <c r="AD156" s="19" t="s">
        <v>2812</v>
      </c>
      <c r="AE156" s="19" t="s">
        <v>2813</v>
      </c>
      <c r="AF156" s="19" t="s">
        <v>2814</v>
      </c>
      <c r="AG156" s="19" t="s">
        <v>2815</v>
      </c>
      <c r="AH156" s="19" t="s">
        <v>1326</v>
      </c>
      <c r="AI156" s="19" t="s">
        <v>111</v>
      </c>
      <c r="AJ156" s="19" t="s">
        <v>2816</v>
      </c>
      <c r="AK156" s="19"/>
      <c r="AL156" s="19" t="s">
        <v>2817</v>
      </c>
      <c r="AM156" s="19" t="s">
        <v>2818</v>
      </c>
      <c r="AN156" s="19" t="s">
        <v>2819</v>
      </c>
      <c r="AO156" s="19" t="s">
        <v>2088</v>
      </c>
      <c r="AP156" s="19" t="s">
        <v>2089</v>
      </c>
      <c r="AQ156" s="19" t="s">
        <v>94</v>
      </c>
      <c r="AR156" s="19" t="s">
        <v>2090</v>
      </c>
      <c r="AS156" s="19" t="s">
        <v>2091</v>
      </c>
      <c r="AT156" s="19" t="s">
        <v>2092</v>
      </c>
      <c r="AU156" s="19" t="s">
        <v>2093</v>
      </c>
      <c r="AV156" s="19" t="s">
        <v>122</v>
      </c>
      <c r="AW156" s="19" t="s">
        <v>2094</v>
      </c>
      <c r="AX156" s="19" t="s">
        <v>901</v>
      </c>
      <c r="AY156" s="19" t="s">
        <v>2095</v>
      </c>
      <c r="AZ156" s="19" t="s">
        <v>2096</v>
      </c>
      <c r="BA156" s="20">
        <v>39974</v>
      </c>
      <c r="BB156" s="19" t="s">
        <v>2097</v>
      </c>
      <c r="BC156" s="19" t="s">
        <v>2820</v>
      </c>
      <c r="BD156" s="19" t="s">
        <v>2821</v>
      </c>
      <c r="BE156" s="19" t="s">
        <v>130</v>
      </c>
      <c r="BF156" s="19" t="s">
        <v>2822</v>
      </c>
      <c r="BG156" s="19" t="s">
        <v>2823</v>
      </c>
      <c r="BH156" s="19" t="s">
        <v>2824</v>
      </c>
      <c r="BI156" s="19" t="s">
        <v>2824</v>
      </c>
      <c r="BJ156" s="19" t="s">
        <v>1259</v>
      </c>
      <c r="BK156" s="19" t="s">
        <v>195</v>
      </c>
      <c r="BL156" s="19" t="s">
        <v>122</v>
      </c>
      <c r="BM156" s="19" t="s">
        <v>196</v>
      </c>
      <c r="BN156" s="21">
        <v>0</v>
      </c>
      <c r="BO156" s="21">
        <v>0</v>
      </c>
      <c r="BQ156" s="2"/>
      <c r="BR156" s="2"/>
      <c r="BS156" s="2"/>
      <c r="BT156" s="2"/>
      <c r="BU156" s="22"/>
      <c r="BV156" s="2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</row>
    <row r="157" spans="1:95" x14ac:dyDescent="0.25">
      <c r="A157" s="18">
        <v>154</v>
      </c>
      <c r="B157" s="19" t="s">
        <v>2825</v>
      </c>
      <c r="C157" s="19" t="s">
        <v>2826</v>
      </c>
      <c r="D157" s="20">
        <v>45993</v>
      </c>
      <c r="E157" s="20">
        <v>37749</v>
      </c>
      <c r="F157" s="19" t="s">
        <v>2827</v>
      </c>
      <c r="G157" s="19" t="s">
        <v>139</v>
      </c>
      <c r="H157" s="19" t="s">
        <v>94</v>
      </c>
      <c r="I157" s="19"/>
      <c r="J157" s="19"/>
      <c r="K157" s="19"/>
      <c r="L157" s="19" t="s">
        <v>244</v>
      </c>
      <c r="M157" s="19" t="s">
        <v>245</v>
      </c>
      <c r="N157" s="19" t="s">
        <v>2828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 t="s">
        <v>101</v>
      </c>
      <c r="Z157" s="19" t="s">
        <v>102</v>
      </c>
      <c r="AA157" s="19" t="s">
        <v>103</v>
      </c>
      <c r="AB157" s="19" t="s">
        <v>247</v>
      </c>
      <c r="AC157" s="19" t="s">
        <v>248</v>
      </c>
      <c r="AD157" s="19" t="s">
        <v>2829</v>
      </c>
      <c r="AE157" s="19" t="s">
        <v>2830</v>
      </c>
      <c r="AF157" s="19" t="s">
        <v>2831</v>
      </c>
      <c r="AG157" s="19" t="s">
        <v>676</v>
      </c>
      <c r="AH157" s="19" t="s">
        <v>1808</v>
      </c>
      <c r="AI157" s="19" t="s">
        <v>111</v>
      </c>
      <c r="AJ157" s="19" t="s">
        <v>2832</v>
      </c>
      <c r="AK157" s="19"/>
      <c r="AL157" s="19"/>
      <c r="AM157" s="19" t="s">
        <v>2833</v>
      </c>
      <c r="AN157" s="19" t="s">
        <v>2834</v>
      </c>
      <c r="AO157" s="19" t="s">
        <v>255</v>
      </c>
      <c r="AP157" s="19" t="s">
        <v>256</v>
      </c>
      <c r="AQ157" s="19" t="s">
        <v>117</v>
      </c>
      <c r="AR157" s="19" t="s">
        <v>257</v>
      </c>
      <c r="AS157" s="19" t="s">
        <v>258</v>
      </c>
      <c r="AT157" s="19" t="s">
        <v>259</v>
      </c>
      <c r="AU157" s="19" t="s">
        <v>260</v>
      </c>
      <c r="AV157" s="19" t="s">
        <v>260</v>
      </c>
      <c r="AW157" s="19" t="s">
        <v>261</v>
      </c>
      <c r="AX157" s="19" t="s">
        <v>262</v>
      </c>
      <c r="AY157" s="19" t="s">
        <v>263</v>
      </c>
      <c r="AZ157" s="19" t="s">
        <v>264</v>
      </c>
      <c r="BA157" s="20">
        <v>43627</v>
      </c>
      <c r="BB157" s="19" t="s">
        <v>479</v>
      </c>
      <c r="BC157" s="19" t="s">
        <v>2075</v>
      </c>
      <c r="BD157" s="19" t="s">
        <v>481</v>
      </c>
      <c r="BE157" s="19" t="s">
        <v>130</v>
      </c>
      <c r="BF157" s="19" t="s">
        <v>2835</v>
      </c>
      <c r="BG157" s="19"/>
      <c r="BH157" s="19" t="s">
        <v>2077</v>
      </c>
      <c r="BI157" s="19" t="s">
        <v>2077</v>
      </c>
      <c r="BJ157" s="19" t="s">
        <v>166</v>
      </c>
      <c r="BK157" s="19" t="s">
        <v>167</v>
      </c>
      <c r="BL157" s="19" t="s">
        <v>168</v>
      </c>
      <c r="BM157" s="19" t="s">
        <v>169</v>
      </c>
      <c r="BN157" s="21">
        <v>1.1459999999999999</v>
      </c>
      <c r="BO157" s="21">
        <v>502.53521039999998</v>
      </c>
      <c r="BQ157" s="2"/>
      <c r="BR157" s="2"/>
      <c r="BS157" s="2"/>
      <c r="BT157" s="2"/>
      <c r="BU157" s="22"/>
      <c r="BV157" s="2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</row>
    <row r="158" spans="1:95" x14ac:dyDescent="0.25">
      <c r="A158" s="18">
        <v>155</v>
      </c>
      <c r="B158" s="19" t="s">
        <v>2836</v>
      </c>
      <c r="C158" s="19" t="s">
        <v>2837</v>
      </c>
      <c r="D158" s="20">
        <v>45994</v>
      </c>
      <c r="E158" s="20">
        <v>33704</v>
      </c>
      <c r="F158" s="19"/>
      <c r="G158" s="19"/>
      <c r="H158" s="19" t="s">
        <v>94</v>
      </c>
      <c r="I158" s="19"/>
      <c r="J158" s="19"/>
      <c r="K158" s="19"/>
      <c r="L158" s="19" t="s">
        <v>101</v>
      </c>
      <c r="M158" s="19" t="s">
        <v>290</v>
      </c>
      <c r="N158" s="19" t="s">
        <v>2838</v>
      </c>
      <c r="O158" s="19" t="s">
        <v>100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 t="s">
        <v>101</v>
      </c>
      <c r="Z158" s="19" t="s">
        <v>102</v>
      </c>
      <c r="AA158" s="19" t="s">
        <v>103</v>
      </c>
      <c r="AB158" s="19" t="s">
        <v>2839</v>
      </c>
      <c r="AC158" s="19" t="s">
        <v>2840</v>
      </c>
      <c r="AD158" s="19" t="s">
        <v>2841</v>
      </c>
      <c r="AE158" s="19" t="s">
        <v>2842</v>
      </c>
      <c r="AF158" s="19"/>
      <c r="AG158" s="19" t="s">
        <v>2843</v>
      </c>
      <c r="AH158" s="19" t="s">
        <v>942</v>
      </c>
      <c r="AI158" s="19" t="s">
        <v>111</v>
      </c>
      <c r="AJ158" s="19" t="s">
        <v>2844</v>
      </c>
      <c r="AK158" s="19"/>
      <c r="AL158" s="19" t="s">
        <v>2845</v>
      </c>
      <c r="AM158" s="19" t="s">
        <v>2846</v>
      </c>
      <c r="AN158" s="19" t="s">
        <v>2847</v>
      </c>
      <c r="AO158" s="19" t="s">
        <v>2088</v>
      </c>
      <c r="AP158" s="19" t="s">
        <v>2089</v>
      </c>
      <c r="AQ158" s="19" t="s">
        <v>94</v>
      </c>
      <c r="AR158" s="19" t="s">
        <v>2090</v>
      </c>
      <c r="AS158" s="19" t="s">
        <v>2091</v>
      </c>
      <c r="AT158" s="19" t="s">
        <v>2092</v>
      </c>
      <c r="AU158" s="19" t="s">
        <v>2093</v>
      </c>
      <c r="AV158" s="19" t="s">
        <v>122</v>
      </c>
      <c r="AW158" s="19" t="s">
        <v>2094</v>
      </c>
      <c r="AX158" s="19" t="s">
        <v>901</v>
      </c>
      <c r="AY158" s="19" t="s">
        <v>2095</v>
      </c>
      <c r="AZ158" s="19" t="s">
        <v>2096</v>
      </c>
      <c r="BA158" s="20">
        <v>39974</v>
      </c>
      <c r="BB158" s="19" t="s">
        <v>2097</v>
      </c>
      <c r="BC158" s="19" t="s">
        <v>2848</v>
      </c>
      <c r="BD158" s="19" t="s">
        <v>2849</v>
      </c>
      <c r="BE158" s="19" t="s">
        <v>130</v>
      </c>
      <c r="BF158" s="19" t="s">
        <v>2850</v>
      </c>
      <c r="BG158" s="19" t="s">
        <v>2851</v>
      </c>
      <c r="BH158" s="19" t="s">
        <v>2852</v>
      </c>
      <c r="BI158" s="19" t="s">
        <v>2852</v>
      </c>
      <c r="BJ158" s="19" t="s">
        <v>1259</v>
      </c>
      <c r="BK158" s="19" t="s">
        <v>195</v>
      </c>
      <c r="BL158" s="19" t="s">
        <v>122</v>
      </c>
      <c r="BM158" s="19" t="s">
        <v>196</v>
      </c>
      <c r="BN158" s="21">
        <v>480.505</v>
      </c>
      <c r="BO158" s="21">
        <v>5055.7294585</v>
      </c>
      <c r="BQ158" s="2"/>
      <c r="BR158" s="2"/>
      <c r="BS158" s="2"/>
      <c r="BT158" s="2"/>
      <c r="BU158" s="22"/>
      <c r="BV158" s="2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</row>
    <row r="159" spans="1:95" x14ac:dyDescent="0.25">
      <c r="A159" s="18">
        <v>156</v>
      </c>
      <c r="B159" s="19" t="s">
        <v>2853</v>
      </c>
      <c r="C159" s="19" t="s">
        <v>2854</v>
      </c>
      <c r="D159" s="20">
        <v>45994</v>
      </c>
      <c r="E159" s="20">
        <v>37989</v>
      </c>
      <c r="F159" s="19" t="s">
        <v>2855</v>
      </c>
      <c r="G159" s="19" t="s">
        <v>139</v>
      </c>
      <c r="H159" s="19" t="s">
        <v>94</v>
      </c>
      <c r="I159" s="19"/>
      <c r="J159" s="19"/>
      <c r="K159" s="19"/>
      <c r="L159" s="19" t="s">
        <v>101</v>
      </c>
      <c r="M159" s="19" t="s">
        <v>290</v>
      </c>
      <c r="N159" s="19" t="s">
        <v>2856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 t="s">
        <v>101</v>
      </c>
      <c r="Z159" s="19" t="s">
        <v>102</v>
      </c>
      <c r="AA159" s="19" t="s">
        <v>103</v>
      </c>
      <c r="AB159" s="19" t="s">
        <v>173</v>
      </c>
      <c r="AC159" s="19" t="s">
        <v>174</v>
      </c>
      <c r="AD159" s="19" t="s">
        <v>2857</v>
      </c>
      <c r="AE159" s="19" t="s">
        <v>2858</v>
      </c>
      <c r="AF159" s="19"/>
      <c r="AG159" s="19" t="s">
        <v>2859</v>
      </c>
      <c r="AH159" s="19" t="s">
        <v>2860</v>
      </c>
      <c r="AI159" s="19"/>
      <c r="AJ159" s="19" t="s">
        <v>2861</v>
      </c>
      <c r="AK159" s="19"/>
      <c r="AL159" s="19" t="s">
        <v>2862</v>
      </c>
      <c r="AM159" s="19" t="s">
        <v>2863</v>
      </c>
      <c r="AN159" s="19" t="s">
        <v>2864</v>
      </c>
      <c r="AO159" s="19" t="s">
        <v>154</v>
      </c>
      <c r="AP159" s="19" t="s">
        <v>155</v>
      </c>
      <c r="AQ159" s="19" t="s">
        <v>117</v>
      </c>
      <c r="AR159" s="19" t="s">
        <v>156</v>
      </c>
      <c r="AS159" s="19" t="s">
        <v>157</v>
      </c>
      <c r="AT159" s="19" t="s">
        <v>158</v>
      </c>
      <c r="AU159" s="19"/>
      <c r="AV159" s="19" t="s">
        <v>122</v>
      </c>
      <c r="AW159" s="19"/>
      <c r="AX159" s="19" t="s">
        <v>124</v>
      </c>
      <c r="AY159" s="19" t="s">
        <v>159</v>
      </c>
      <c r="AZ159" s="19" t="s">
        <v>160</v>
      </c>
      <c r="BA159" s="20">
        <v>44676</v>
      </c>
      <c r="BB159" s="19" t="s">
        <v>331</v>
      </c>
      <c r="BC159" s="19" t="s">
        <v>2865</v>
      </c>
      <c r="BD159" s="19" t="s">
        <v>2866</v>
      </c>
      <c r="BE159" s="19" t="s">
        <v>130</v>
      </c>
      <c r="BF159" s="19" t="s">
        <v>2867</v>
      </c>
      <c r="BG159" s="19"/>
      <c r="BH159" s="19" t="s">
        <v>2868</v>
      </c>
      <c r="BI159" s="19" t="s">
        <v>2868</v>
      </c>
      <c r="BJ159" s="19" t="s">
        <v>166</v>
      </c>
      <c r="BK159" s="19" t="s">
        <v>167</v>
      </c>
      <c r="BL159" s="19" t="s">
        <v>168</v>
      </c>
      <c r="BM159" s="19" t="s">
        <v>169</v>
      </c>
      <c r="BN159" s="21">
        <v>7.22</v>
      </c>
      <c r="BO159" s="21">
        <v>255.76272399999999</v>
      </c>
      <c r="BQ159" s="2"/>
      <c r="BR159" s="2"/>
      <c r="BS159" s="2"/>
      <c r="BT159" s="2"/>
      <c r="BU159" s="22"/>
      <c r="BV159" s="2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</row>
    <row r="160" spans="1:95" x14ac:dyDescent="0.25">
      <c r="A160" s="18">
        <v>157</v>
      </c>
      <c r="B160" s="19" t="s">
        <v>2869</v>
      </c>
      <c r="C160" s="19" t="s">
        <v>2870</v>
      </c>
      <c r="D160" s="20">
        <v>45996</v>
      </c>
      <c r="E160" s="20">
        <v>35208</v>
      </c>
      <c r="F160" s="19"/>
      <c r="G160" s="19"/>
      <c r="H160" s="19" t="s">
        <v>94</v>
      </c>
      <c r="I160" s="19"/>
      <c r="J160" s="19"/>
      <c r="K160" s="19"/>
      <c r="L160" s="19" t="s">
        <v>97</v>
      </c>
      <c r="M160" s="19" t="s">
        <v>98</v>
      </c>
      <c r="N160" s="19" t="s">
        <v>2871</v>
      </c>
      <c r="O160" s="19" t="s">
        <v>100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 t="s">
        <v>101</v>
      </c>
      <c r="Z160" s="19" t="s">
        <v>102</v>
      </c>
      <c r="AA160" s="19" t="s">
        <v>103</v>
      </c>
      <c r="AB160" s="19" t="s">
        <v>143</v>
      </c>
      <c r="AC160" s="19" t="s">
        <v>144</v>
      </c>
      <c r="AD160" s="19" t="s">
        <v>2872</v>
      </c>
      <c r="AE160" s="19" t="s">
        <v>2873</v>
      </c>
      <c r="AF160" s="19" t="s">
        <v>2874</v>
      </c>
      <c r="AG160" s="19" t="s">
        <v>2758</v>
      </c>
      <c r="AH160" s="19" t="s">
        <v>327</v>
      </c>
      <c r="AI160" s="19" t="s">
        <v>111</v>
      </c>
      <c r="AJ160" s="19" t="s">
        <v>2759</v>
      </c>
      <c r="AK160" s="19"/>
      <c r="AL160" s="19"/>
      <c r="AM160" s="19" t="s">
        <v>2875</v>
      </c>
      <c r="AN160" s="19" t="s">
        <v>2876</v>
      </c>
      <c r="AO160" s="19" t="s">
        <v>835</v>
      </c>
      <c r="AP160" s="19" t="s">
        <v>836</v>
      </c>
      <c r="AQ160" s="19" t="s">
        <v>117</v>
      </c>
      <c r="AR160" s="19" t="s">
        <v>837</v>
      </c>
      <c r="AS160" s="19" t="s">
        <v>838</v>
      </c>
      <c r="AT160" s="19" t="s">
        <v>839</v>
      </c>
      <c r="AU160" s="19" t="s">
        <v>840</v>
      </c>
      <c r="AV160" s="19" t="s">
        <v>841</v>
      </c>
      <c r="AW160" s="19"/>
      <c r="AX160" s="19" t="s">
        <v>707</v>
      </c>
      <c r="AY160" s="19" t="s">
        <v>842</v>
      </c>
      <c r="AZ160" s="19" t="s">
        <v>843</v>
      </c>
      <c r="BA160" s="20">
        <v>45453</v>
      </c>
      <c r="BB160" s="19" t="s">
        <v>2877</v>
      </c>
      <c r="BC160" s="19" t="s">
        <v>2878</v>
      </c>
      <c r="BD160" s="19" t="s">
        <v>1140</v>
      </c>
      <c r="BE160" s="19" t="s">
        <v>130</v>
      </c>
      <c r="BF160" s="19" t="s">
        <v>2879</v>
      </c>
      <c r="BG160" s="19"/>
      <c r="BH160" s="19" t="s">
        <v>2880</v>
      </c>
      <c r="BI160" s="19" t="s">
        <v>2880</v>
      </c>
      <c r="BJ160" s="19" t="s">
        <v>194</v>
      </c>
      <c r="BK160" s="19" t="s">
        <v>195</v>
      </c>
      <c r="BL160" s="19" t="s">
        <v>122</v>
      </c>
      <c r="BM160" s="19" t="s">
        <v>196</v>
      </c>
      <c r="BN160" s="21">
        <v>26.808</v>
      </c>
      <c r="BO160" s="21">
        <v>1021.11672</v>
      </c>
      <c r="BQ160" s="2"/>
      <c r="BR160" s="2"/>
      <c r="BS160" s="2"/>
      <c r="BT160" s="2"/>
      <c r="BU160" s="22"/>
      <c r="BV160" s="2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</row>
    <row r="161" spans="1:95" x14ac:dyDescent="0.25">
      <c r="A161" s="18">
        <v>158</v>
      </c>
      <c r="B161" s="19" t="s">
        <v>2881</v>
      </c>
      <c r="C161" s="19" t="s">
        <v>2882</v>
      </c>
      <c r="D161" s="20">
        <v>45995</v>
      </c>
      <c r="E161" s="20">
        <v>21817</v>
      </c>
      <c r="F161" s="19"/>
      <c r="G161" s="19"/>
      <c r="H161" s="19" t="s">
        <v>94</v>
      </c>
      <c r="I161" s="19"/>
      <c r="J161" s="19" t="s">
        <v>287</v>
      </c>
      <c r="K161" s="19" t="s">
        <v>288</v>
      </c>
      <c r="L161" s="19" t="s">
        <v>1825</v>
      </c>
      <c r="M161" s="19" t="s">
        <v>610</v>
      </c>
      <c r="N161" s="19" t="s">
        <v>2883</v>
      </c>
      <c r="O161" s="19" t="s">
        <v>100</v>
      </c>
      <c r="P161" s="19"/>
      <c r="Q161" s="19"/>
      <c r="R161" s="19"/>
      <c r="S161" s="19" t="s">
        <v>2884</v>
      </c>
      <c r="T161" s="19" t="s">
        <v>2885</v>
      </c>
      <c r="U161" s="19" t="s">
        <v>100</v>
      </c>
      <c r="V161" s="19"/>
      <c r="W161" s="19"/>
      <c r="X161" s="19"/>
      <c r="Y161" s="19" t="s">
        <v>101</v>
      </c>
      <c r="Z161" s="19" t="s">
        <v>102</v>
      </c>
      <c r="AA161" s="19" t="s">
        <v>103</v>
      </c>
      <c r="AB161" s="19" t="s">
        <v>850</v>
      </c>
      <c r="AC161" s="19" t="s">
        <v>851</v>
      </c>
      <c r="AD161" s="19" t="s">
        <v>2886</v>
      </c>
      <c r="AE161" s="19" t="s">
        <v>2887</v>
      </c>
      <c r="AF161" s="19" t="s">
        <v>2888</v>
      </c>
      <c r="AG161" s="19" t="s">
        <v>219</v>
      </c>
      <c r="AH161" s="19" t="s">
        <v>124</v>
      </c>
      <c r="AI161" s="19" t="s">
        <v>111</v>
      </c>
      <c r="AJ161" s="19" t="s">
        <v>123</v>
      </c>
      <c r="AK161" s="19"/>
      <c r="AL161" s="19"/>
      <c r="AM161" s="19" t="s">
        <v>2889</v>
      </c>
      <c r="AN161" s="19" t="s">
        <v>2890</v>
      </c>
      <c r="AO161" s="19" t="s">
        <v>2891</v>
      </c>
      <c r="AP161" s="19" t="s">
        <v>2892</v>
      </c>
      <c r="AQ161" s="19" t="s">
        <v>117</v>
      </c>
      <c r="AR161" s="19" t="s">
        <v>2893</v>
      </c>
      <c r="AS161" s="19" t="s">
        <v>2894</v>
      </c>
      <c r="AT161" s="19" t="s">
        <v>2895</v>
      </c>
      <c r="AU161" s="19" t="s">
        <v>2896</v>
      </c>
      <c r="AV161" s="19" t="s">
        <v>122</v>
      </c>
      <c r="AW161" s="19" t="s">
        <v>2897</v>
      </c>
      <c r="AX161" s="19" t="s">
        <v>901</v>
      </c>
      <c r="AY161" s="19" t="s">
        <v>2898</v>
      </c>
      <c r="AZ161" s="19" t="s">
        <v>2899</v>
      </c>
      <c r="BA161" s="20">
        <v>45728</v>
      </c>
      <c r="BB161" s="19" t="s">
        <v>363</v>
      </c>
      <c r="BC161" s="19" t="s">
        <v>2900</v>
      </c>
      <c r="BD161" s="19" t="s">
        <v>219</v>
      </c>
      <c r="BE161" s="19" t="s">
        <v>130</v>
      </c>
      <c r="BF161" s="19" t="s">
        <v>2901</v>
      </c>
      <c r="BG161" s="19" t="s">
        <v>2902</v>
      </c>
      <c r="BH161" s="19" t="s">
        <v>2903</v>
      </c>
      <c r="BI161" s="19" t="s">
        <v>2903</v>
      </c>
      <c r="BJ161" s="19" t="s">
        <v>166</v>
      </c>
      <c r="BK161" s="19" t="s">
        <v>785</v>
      </c>
      <c r="BL161" s="19" t="s">
        <v>122</v>
      </c>
      <c r="BM161" s="19" t="s">
        <v>196</v>
      </c>
      <c r="BN161" s="21">
        <v>9141.1460000000006</v>
      </c>
      <c r="BO161" s="21">
        <v>1005434.64854</v>
      </c>
      <c r="BQ161" s="2"/>
      <c r="BR161" s="2"/>
      <c r="BS161" s="2"/>
      <c r="BT161" s="2"/>
      <c r="BU161" s="22"/>
      <c r="BV161" s="2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</row>
    <row r="162" spans="1:95" x14ac:dyDescent="0.25">
      <c r="A162" s="18">
        <v>159</v>
      </c>
      <c r="B162" s="19" t="s">
        <v>2904</v>
      </c>
      <c r="C162" s="19" t="s">
        <v>2905</v>
      </c>
      <c r="D162" s="20">
        <v>45996</v>
      </c>
      <c r="E162" s="20">
        <v>18172</v>
      </c>
      <c r="F162" s="19" t="s">
        <v>2906</v>
      </c>
      <c r="G162" s="19" t="s">
        <v>1248</v>
      </c>
      <c r="H162" s="19" t="s">
        <v>94</v>
      </c>
      <c r="I162" s="19"/>
      <c r="J162" s="19"/>
      <c r="K162" s="19"/>
      <c r="L162" s="19" t="s">
        <v>1825</v>
      </c>
      <c r="M162" s="19" t="s">
        <v>610</v>
      </c>
      <c r="N162" s="19" t="s">
        <v>2907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 t="s">
        <v>101</v>
      </c>
      <c r="Z162" s="19" t="s">
        <v>102</v>
      </c>
      <c r="AA162" s="19" t="s">
        <v>103</v>
      </c>
      <c r="AB162" s="19" t="s">
        <v>850</v>
      </c>
      <c r="AC162" s="19" t="s">
        <v>851</v>
      </c>
      <c r="AD162" s="19" t="s">
        <v>2908</v>
      </c>
      <c r="AE162" s="19" t="s">
        <v>2909</v>
      </c>
      <c r="AF162" s="19" t="s">
        <v>2910</v>
      </c>
      <c r="AG162" s="19" t="s">
        <v>2911</v>
      </c>
      <c r="AH162" s="19" t="s">
        <v>1808</v>
      </c>
      <c r="AI162" s="19"/>
      <c r="AJ162" s="19" t="s">
        <v>2912</v>
      </c>
      <c r="AK162" s="19"/>
      <c r="AL162" s="19"/>
      <c r="AM162" s="19" t="s">
        <v>2913</v>
      </c>
      <c r="AN162" s="19" t="s">
        <v>2914</v>
      </c>
      <c r="AO162" s="19" t="s">
        <v>208</v>
      </c>
      <c r="AP162" s="19" t="s">
        <v>209</v>
      </c>
      <c r="AQ162" s="19" t="s">
        <v>117</v>
      </c>
      <c r="AR162" s="19" t="s">
        <v>210</v>
      </c>
      <c r="AS162" s="19" t="s">
        <v>211</v>
      </c>
      <c r="AT162" s="19" t="s">
        <v>212</v>
      </c>
      <c r="AU162" s="19" t="s">
        <v>213</v>
      </c>
      <c r="AV162" s="19" t="s">
        <v>214</v>
      </c>
      <c r="AW162" s="19" t="s">
        <v>215</v>
      </c>
      <c r="AX162" s="19" t="s">
        <v>149</v>
      </c>
      <c r="AY162" s="19" t="s">
        <v>216</v>
      </c>
      <c r="AZ162" s="19" t="s">
        <v>217</v>
      </c>
      <c r="BA162" s="20">
        <v>35521</v>
      </c>
      <c r="BB162" s="19" t="s">
        <v>331</v>
      </c>
      <c r="BC162" s="19" t="s">
        <v>2915</v>
      </c>
      <c r="BD162" s="19" t="s">
        <v>2916</v>
      </c>
      <c r="BE162" s="19" t="s">
        <v>130</v>
      </c>
      <c r="BF162" s="19" t="s">
        <v>2917</v>
      </c>
      <c r="BG162" s="19"/>
      <c r="BH162" s="19" t="s">
        <v>2918</v>
      </c>
      <c r="BI162" s="19" t="s">
        <v>2918</v>
      </c>
      <c r="BJ162" s="19" t="s">
        <v>1259</v>
      </c>
      <c r="BK162" s="19" t="s">
        <v>591</v>
      </c>
      <c r="BL162" s="19" t="s">
        <v>122</v>
      </c>
      <c r="BM162" s="19" t="s">
        <v>592</v>
      </c>
      <c r="BN162" s="21">
        <v>11.840999999999999</v>
      </c>
      <c r="BO162" s="21">
        <v>1302.39159</v>
      </c>
      <c r="BQ162" s="2"/>
      <c r="BR162" s="2"/>
      <c r="BS162" s="2"/>
      <c r="BT162" s="2"/>
      <c r="BU162" s="22"/>
      <c r="BV162" s="2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</row>
    <row r="163" spans="1:95" x14ac:dyDescent="0.25">
      <c r="A163" s="18">
        <v>160</v>
      </c>
      <c r="B163" s="19" t="s">
        <v>2919</v>
      </c>
      <c r="C163" s="19" t="s">
        <v>2920</v>
      </c>
      <c r="D163" s="20">
        <v>46020</v>
      </c>
      <c r="E163" s="20">
        <v>26279</v>
      </c>
      <c r="F163" s="19"/>
      <c r="G163" s="19"/>
      <c r="H163" s="19" t="s">
        <v>94</v>
      </c>
      <c r="I163" s="19"/>
      <c r="J163" s="19"/>
      <c r="K163" s="19"/>
      <c r="L163" s="19" t="s">
        <v>101</v>
      </c>
      <c r="M163" s="19" t="s">
        <v>290</v>
      </c>
      <c r="N163" s="19" t="s">
        <v>2921</v>
      </c>
      <c r="O163" s="19" t="s">
        <v>100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 t="s">
        <v>101</v>
      </c>
      <c r="Z163" s="19" t="s">
        <v>102</v>
      </c>
      <c r="AA163" s="19" t="s">
        <v>103</v>
      </c>
      <c r="AB163" s="19" t="s">
        <v>720</v>
      </c>
      <c r="AC163" s="19" t="s">
        <v>721</v>
      </c>
      <c r="AD163" s="19" t="s">
        <v>2922</v>
      </c>
      <c r="AE163" s="19" t="s">
        <v>2923</v>
      </c>
      <c r="AF163" s="19" t="s">
        <v>2924</v>
      </c>
      <c r="AG163" s="19" t="s">
        <v>2924</v>
      </c>
      <c r="AH163" s="19" t="s">
        <v>124</v>
      </c>
      <c r="AI163" s="19" t="s">
        <v>111</v>
      </c>
      <c r="AJ163" s="19" t="s">
        <v>2925</v>
      </c>
      <c r="AK163" s="19"/>
      <c r="AL163" s="19"/>
      <c r="AM163" s="19" t="s">
        <v>2926</v>
      </c>
      <c r="AN163" s="19" t="s">
        <v>2927</v>
      </c>
      <c r="AO163" s="19" t="s">
        <v>2928</v>
      </c>
      <c r="AP163" s="19" t="s">
        <v>2929</v>
      </c>
      <c r="AQ163" s="19" t="s">
        <v>117</v>
      </c>
      <c r="AR163" s="19" t="s">
        <v>2930</v>
      </c>
      <c r="AS163" s="19" t="s">
        <v>2931</v>
      </c>
      <c r="AT163" s="19" t="s">
        <v>2932</v>
      </c>
      <c r="AU163" s="19" t="s">
        <v>2933</v>
      </c>
      <c r="AV163" s="19" t="s">
        <v>2924</v>
      </c>
      <c r="AW163" s="19" t="s">
        <v>2934</v>
      </c>
      <c r="AX163" s="19" t="s">
        <v>124</v>
      </c>
      <c r="AY163" s="19" t="s">
        <v>2935</v>
      </c>
      <c r="AZ163" s="19" t="s">
        <v>2936</v>
      </c>
      <c r="BA163" s="20">
        <v>38744</v>
      </c>
      <c r="BB163" s="19" t="s">
        <v>2937</v>
      </c>
      <c r="BC163" s="19" t="s">
        <v>2938</v>
      </c>
      <c r="BD163" s="19" t="s">
        <v>2939</v>
      </c>
      <c r="BE163" s="19" t="s">
        <v>130</v>
      </c>
      <c r="BF163" s="19" t="s">
        <v>2940</v>
      </c>
      <c r="BG163" s="19" t="s">
        <v>2941</v>
      </c>
      <c r="BH163" s="19" t="s">
        <v>2942</v>
      </c>
      <c r="BI163" s="19" t="s">
        <v>2942</v>
      </c>
      <c r="BJ163" s="19" t="s">
        <v>1394</v>
      </c>
      <c r="BK163" s="19" t="s">
        <v>221</v>
      </c>
      <c r="BL163" s="19" t="s">
        <v>222</v>
      </c>
      <c r="BM163" s="19" t="s">
        <v>169</v>
      </c>
      <c r="BN163" s="21">
        <v>0</v>
      </c>
      <c r="BO163" s="21">
        <v>0</v>
      </c>
      <c r="BQ163" s="2"/>
      <c r="BR163" s="2"/>
      <c r="BS163" s="2"/>
      <c r="BT163" s="2"/>
      <c r="BU163" s="22"/>
      <c r="BV163" s="2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</row>
    <row r="164" spans="1:95" x14ac:dyDescent="0.25">
      <c r="A164" s="18">
        <v>161</v>
      </c>
      <c r="B164" s="19" t="s">
        <v>2943</v>
      </c>
      <c r="C164" s="19" t="s">
        <v>2944</v>
      </c>
      <c r="D164" s="20">
        <v>46002</v>
      </c>
      <c r="E164" s="20">
        <v>15999</v>
      </c>
      <c r="F164" s="19"/>
      <c r="G164" s="19"/>
      <c r="H164" s="19" t="s">
        <v>94</v>
      </c>
      <c r="I164" s="19"/>
      <c r="J164" s="19"/>
      <c r="K164" s="19"/>
      <c r="L164" s="19" t="s">
        <v>1825</v>
      </c>
      <c r="M164" s="19" t="s">
        <v>610</v>
      </c>
      <c r="N164" s="19" t="s">
        <v>2945</v>
      </c>
      <c r="O164" s="19" t="s">
        <v>100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 t="s">
        <v>101</v>
      </c>
      <c r="Z164" s="19" t="s">
        <v>102</v>
      </c>
      <c r="AA164" s="19" t="s">
        <v>103</v>
      </c>
      <c r="AB164" s="19" t="s">
        <v>201</v>
      </c>
      <c r="AC164" s="19" t="s">
        <v>202</v>
      </c>
      <c r="AD164" s="19" t="s">
        <v>2946</v>
      </c>
      <c r="AE164" s="19" t="s">
        <v>2947</v>
      </c>
      <c r="AF164" s="19" t="s">
        <v>2948</v>
      </c>
      <c r="AG164" s="19" t="s">
        <v>2949</v>
      </c>
      <c r="AH164" s="19" t="s">
        <v>1015</v>
      </c>
      <c r="AI164" s="19" t="s">
        <v>111</v>
      </c>
      <c r="AJ164" s="19" t="s">
        <v>2950</v>
      </c>
      <c r="AK164" s="19"/>
      <c r="AL164" s="19"/>
      <c r="AM164" s="19" t="s">
        <v>2951</v>
      </c>
      <c r="AN164" s="19" t="s">
        <v>2952</v>
      </c>
      <c r="AO164" s="19" t="s">
        <v>2953</v>
      </c>
      <c r="AP164" s="19" t="s">
        <v>2954</v>
      </c>
      <c r="AQ164" s="19" t="s">
        <v>117</v>
      </c>
      <c r="AR164" s="19" t="s">
        <v>2955</v>
      </c>
      <c r="AS164" s="19" t="s">
        <v>2956</v>
      </c>
      <c r="AT164" s="19" t="s">
        <v>2957</v>
      </c>
      <c r="AU164" s="19" t="s">
        <v>2958</v>
      </c>
      <c r="AV164" s="19" t="s">
        <v>2949</v>
      </c>
      <c r="AW164" s="19" t="s">
        <v>2950</v>
      </c>
      <c r="AX164" s="19" t="s">
        <v>1015</v>
      </c>
      <c r="AY164" s="19" t="s">
        <v>2959</v>
      </c>
      <c r="AZ164" s="19" t="s">
        <v>2960</v>
      </c>
      <c r="BA164" s="20">
        <v>42978</v>
      </c>
      <c r="BB164" s="19" t="s">
        <v>363</v>
      </c>
      <c r="BC164" s="19" t="s">
        <v>2961</v>
      </c>
      <c r="BD164" s="19" t="s">
        <v>2949</v>
      </c>
      <c r="BE164" s="19" t="s">
        <v>130</v>
      </c>
      <c r="BF164" s="19" t="s">
        <v>2962</v>
      </c>
      <c r="BG164" s="19" t="s">
        <v>2963</v>
      </c>
      <c r="BH164" s="19" t="s">
        <v>2964</v>
      </c>
      <c r="BI164" s="19" t="s">
        <v>2964</v>
      </c>
      <c r="BJ164" s="19" t="s">
        <v>166</v>
      </c>
      <c r="BK164" s="19" t="s">
        <v>2965</v>
      </c>
      <c r="BL164" s="19" t="s">
        <v>2949</v>
      </c>
      <c r="BM164" s="19" t="s">
        <v>169</v>
      </c>
      <c r="BN164" s="21">
        <v>0</v>
      </c>
      <c r="BO164" s="21">
        <v>0</v>
      </c>
      <c r="BQ164" s="2"/>
      <c r="BR164" s="2"/>
      <c r="BS164" s="2"/>
      <c r="BT164" s="2"/>
      <c r="BU164" s="22"/>
      <c r="BV164" s="2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</row>
    <row r="165" spans="1:95" x14ac:dyDescent="0.25">
      <c r="A165" s="18">
        <v>162</v>
      </c>
      <c r="B165" s="19" t="s">
        <v>2966</v>
      </c>
      <c r="C165" s="19" t="s">
        <v>2967</v>
      </c>
      <c r="D165" s="20">
        <v>46003</v>
      </c>
      <c r="E165" s="20">
        <v>30713</v>
      </c>
      <c r="F165" s="19" t="s">
        <v>2968</v>
      </c>
      <c r="G165" s="19" t="s">
        <v>139</v>
      </c>
      <c r="H165" s="19" t="s">
        <v>94</v>
      </c>
      <c r="I165" s="19"/>
      <c r="J165" s="19"/>
      <c r="K165" s="19"/>
      <c r="L165" s="19" t="s">
        <v>140</v>
      </c>
      <c r="M165" s="19" t="s">
        <v>141</v>
      </c>
      <c r="N165" s="19" t="s">
        <v>2969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 t="s">
        <v>101</v>
      </c>
      <c r="Z165" s="19" t="s">
        <v>102</v>
      </c>
      <c r="AA165" s="19" t="s">
        <v>103</v>
      </c>
      <c r="AB165" s="19" t="s">
        <v>173</v>
      </c>
      <c r="AC165" s="19" t="s">
        <v>174</v>
      </c>
      <c r="AD165" s="19" t="s">
        <v>2970</v>
      </c>
      <c r="AE165" s="19" t="s">
        <v>2971</v>
      </c>
      <c r="AF165" s="19"/>
      <c r="AG165" s="19" t="s">
        <v>1549</v>
      </c>
      <c r="AH165" s="19" t="s">
        <v>188</v>
      </c>
      <c r="AI165" s="19" t="s">
        <v>111</v>
      </c>
      <c r="AJ165" s="19" t="s">
        <v>2972</v>
      </c>
      <c r="AK165" s="19"/>
      <c r="AL165" s="19" t="s">
        <v>2973</v>
      </c>
      <c r="AM165" s="19" t="s">
        <v>2974</v>
      </c>
      <c r="AN165" s="19" t="s">
        <v>2975</v>
      </c>
      <c r="AO165" s="19" t="s">
        <v>154</v>
      </c>
      <c r="AP165" s="19" t="s">
        <v>155</v>
      </c>
      <c r="AQ165" s="19" t="s">
        <v>117</v>
      </c>
      <c r="AR165" s="19" t="s">
        <v>156</v>
      </c>
      <c r="AS165" s="19" t="s">
        <v>157</v>
      </c>
      <c r="AT165" s="19" t="s">
        <v>158</v>
      </c>
      <c r="AU165" s="19"/>
      <c r="AV165" s="19" t="s">
        <v>122</v>
      </c>
      <c r="AW165" s="19"/>
      <c r="AX165" s="19" t="s">
        <v>124</v>
      </c>
      <c r="AY165" s="19" t="s">
        <v>159</v>
      </c>
      <c r="AZ165" s="19" t="s">
        <v>160</v>
      </c>
      <c r="BA165" s="20">
        <v>44676</v>
      </c>
      <c r="BB165" s="19" t="s">
        <v>331</v>
      </c>
      <c r="BC165" s="19" t="s">
        <v>2976</v>
      </c>
      <c r="BD165" s="19" t="s">
        <v>365</v>
      </c>
      <c r="BE165" s="19" t="s">
        <v>130</v>
      </c>
      <c r="BF165" s="19" t="s">
        <v>2977</v>
      </c>
      <c r="BG165" s="19"/>
      <c r="BH165" s="19" t="s">
        <v>2978</v>
      </c>
      <c r="BI165" s="19" t="s">
        <v>2978</v>
      </c>
      <c r="BJ165" s="19" t="s">
        <v>166</v>
      </c>
      <c r="BK165" s="19" t="s">
        <v>167</v>
      </c>
      <c r="BL165" s="19" t="s">
        <v>168</v>
      </c>
      <c r="BM165" s="19" t="s">
        <v>169</v>
      </c>
      <c r="BN165" s="21">
        <v>66.546000000000006</v>
      </c>
      <c r="BO165" s="21">
        <v>2357.3388132</v>
      </c>
      <c r="BQ165" s="2"/>
      <c r="BR165" s="2"/>
      <c r="BS165" s="2"/>
      <c r="BT165" s="2"/>
      <c r="BU165" s="22"/>
      <c r="BV165" s="2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</row>
    <row r="166" spans="1:95" x14ac:dyDescent="0.25">
      <c r="A166" s="18">
        <v>163</v>
      </c>
      <c r="B166" s="19" t="s">
        <v>2979</v>
      </c>
      <c r="C166" s="19" t="s">
        <v>2980</v>
      </c>
      <c r="D166" s="20">
        <v>46003</v>
      </c>
      <c r="E166" s="20">
        <v>31994</v>
      </c>
      <c r="F166" s="19" t="s">
        <v>2981</v>
      </c>
      <c r="G166" s="19" t="s">
        <v>139</v>
      </c>
      <c r="H166" s="19" t="s">
        <v>94</v>
      </c>
      <c r="I166" s="19"/>
      <c r="J166" s="19"/>
      <c r="K166" s="19"/>
      <c r="L166" s="19" t="s">
        <v>244</v>
      </c>
      <c r="M166" s="19" t="s">
        <v>245</v>
      </c>
      <c r="N166" s="19" t="s">
        <v>2982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 t="s">
        <v>101</v>
      </c>
      <c r="Z166" s="19" t="s">
        <v>102</v>
      </c>
      <c r="AA166" s="19" t="s">
        <v>103</v>
      </c>
      <c r="AB166" s="19" t="s">
        <v>173</v>
      </c>
      <c r="AC166" s="19" t="s">
        <v>174</v>
      </c>
      <c r="AD166" s="19" t="s">
        <v>2983</v>
      </c>
      <c r="AE166" s="19" t="s">
        <v>229</v>
      </c>
      <c r="AF166" s="19"/>
      <c r="AG166" s="19" t="s">
        <v>2984</v>
      </c>
      <c r="AH166" s="19" t="s">
        <v>231</v>
      </c>
      <c r="AI166" s="19" t="s">
        <v>111</v>
      </c>
      <c r="AJ166" s="19" t="s">
        <v>2985</v>
      </c>
      <c r="AK166" s="19"/>
      <c r="AL166" s="19" t="s">
        <v>2986</v>
      </c>
      <c r="AM166" s="19" t="s">
        <v>2987</v>
      </c>
      <c r="AN166" s="19" t="s">
        <v>2988</v>
      </c>
      <c r="AO166" s="19" t="s">
        <v>154</v>
      </c>
      <c r="AP166" s="19" t="s">
        <v>155</v>
      </c>
      <c r="AQ166" s="19" t="s">
        <v>117</v>
      </c>
      <c r="AR166" s="19" t="s">
        <v>156</v>
      </c>
      <c r="AS166" s="19" t="s">
        <v>157</v>
      </c>
      <c r="AT166" s="19" t="s">
        <v>158</v>
      </c>
      <c r="AU166" s="19"/>
      <c r="AV166" s="19" t="s">
        <v>122</v>
      </c>
      <c r="AW166" s="19"/>
      <c r="AX166" s="19" t="s">
        <v>124</v>
      </c>
      <c r="AY166" s="19" t="s">
        <v>159</v>
      </c>
      <c r="AZ166" s="19" t="s">
        <v>160</v>
      </c>
      <c r="BA166" s="20">
        <v>44676</v>
      </c>
      <c r="BB166" s="19" t="s">
        <v>312</v>
      </c>
      <c r="BC166" s="19" t="s">
        <v>2989</v>
      </c>
      <c r="BD166" s="19" t="s">
        <v>2984</v>
      </c>
      <c r="BE166" s="19" t="s">
        <v>130</v>
      </c>
      <c r="BF166" s="19" t="s">
        <v>2990</v>
      </c>
      <c r="BG166" s="19"/>
      <c r="BH166" s="19" t="s">
        <v>2991</v>
      </c>
      <c r="BI166" s="19" t="s">
        <v>2991</v>
      </c>
      <c r="BJ166" s="19" t="s">
        <v>166</v>
      </c>
      <c r="BK166" s="19" t="s">
        <v>167</v>
      </c>
      <c r="BL166" s="19" t="s">
        <v>168</v>
      </c>
      <c r="BM166" s="19" t="s">
        <v>169</v>
      </c>
      <c r="BN166" s="21">
        <v>3.327</v>
      </c>
      <c r="BO166" s="21">
        <v>117.8563134</v>
      </c>
      <c r="BQ166" s="2"/>
      <c r="BR166" s="2"/>
      <c r="BS166" s="2"/>
      <c r="BT166" s="2"/>
      <c r="BU166" s="22"/>
      <c r="BV166" s="2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</row>
    <row r="167" spans="1:95" x14ac:dyDescent="0.25">
      <c r="A167" s="18">
        <v>164</v>
      </c>
      <c r="B167" s="19" t="s">
        <v>2992</v>
      </c>
      <c r="C167" s="19" t="s">
        <v>2993</v>
      </c>
      <c r="D167" s="20">
        <v>46003</v>
      </c>
      <c r="E167" s="20">
        <v>41081</v>
      </c>
      <c r="F167" s="19"/>
      <c r="G167" s="19"/>
      <c r="H167" s="19" t="s">
        <v>94</v>
      </c>
      <c r="I167" s="19"/>
      <c r="J167" s="19"/>
      <c r="K167" s="19"/>
      <c r="L167" s="19" t="s">
        <v>140</v>
      </c>
      <c r="M167" s="19" t="s">
        <v>141</v>
      </c>
      <c r="N167" s="19"/>
      <c r="O167" s="19"/>
      <c r="P167" s="19" t="s">
        <v>2994</v>
      </c>
      <c r="Q167" s="19" t="s">
        <v>2995</v>
      </c>
      <c r="R167" s="19" t="s">
        <v>100</v>
      </c>
      <c r="S167" s="19"/>
      <c r="T167" s="19"/>
      <c r="U167" s="19"/>
      <c r="V167" s="19"/>
      <c r="W167" s="19"/>
      <c r="X167" s="19"/>
      <c r="Y167" s="19" t="s">
        <v>244</v>
      </c>
      <c r="Z167" s="19" t="s">
        <v>1371</v>
      </c>
      <c r="AA167" s="19" t="s">
        <v>103</v>
      </c>
      <c r="AB167" s="19" t="s">
        <v>292</v>
      </c>
      <c r="AC167" s="19" t="s">
        <v>293</v>
      </c>
      <c r="AD167" s="19" t="s">
        <v>2996</v>
      </c>
      <c r="AE167" s="19" t="s">
        <v>2997</v>
      </c>
      <c r="AF167" s="19"/>
      <c r="AG167" s="19" t="s">
        <v>941</v>
      </c>
      <c r="AH167" s="19" t="s">
        <v>942</v>
      </c>
      <c r="AI167" s="19" t="s">
        <v>111</v>
      </c>
      <c r="AJ167" s="19" t="s">
        <v>2998</v>
      </c>
      <c r="AK167" s="19"/>
      <c r="AL167" s="19"/>
      <c r="AM167" s="19" t="s">
        <v>2999</v>
      </c>
      <c r="AN167" s="19" t="s">
        <v>3000</v>
      </c>
      <c r="AO167" s="19" t="s">
        <v>3001</v>
      </c>
      <c r="AP167" s="19" t="s">
        <v>3002</v>
      </c>
      <c r="AQ167" s="19" t="s">
        <v>117</v>
      </c>
      <c r="AR167" s="19" t="s">
        <v>3003</v>
      </c>
      <c r="AS167" s="19" t="s">
        <v>3004</v>
      </c>
      <c r="AT167" s="19" t="s">
        <v>3005</v>
      </c>
      <c r="AU167" s="19" t="s">
        <v>3006</v>
      </c>
      <c r="AV167" s="19" t="s">
        <v>3007</v>
      </c>
      <c r="AW167" s="19" t="s">
        <v>2998</v>
      </c>
      <c r="AX167" s="19" t="s">
        <v>942</v>
      </c>
      <c r="AY167" s="19" t="s">
        <v>3008</v>
      </c>
      <c r="AZ167" s="19" t="s">
        <v>3009</v>
      </c>
      <c r="BA167" s="20">
        <v>45656</v>
      </c>
      <c r="BB167" s="19" t="s">
        <v>349</v>
      </c>
      <c r="BC167" s="19" t="s">
        <v>3010</v>
      </c>
      <c r="BD167" s="19" t="s">
        <v>941</v>
      </c>
      <c r="BE167" s="19" t="s">
        <v>130</v>
      </c>
      <c r="BF167" s="19" t="s">
        <v>3011</v>
      </c>
      <c r="BG167" s="19"/>
      <c r="BH167" s="19" t="s">
        <v>3012</v>
      </c>
      <c r="BI167" s="19" t="s">
        <v>3012</v>
      </c>
      <c r="BJ167" s="19" t="s">
        <v>166</v>
      </c>
      <c r="BK167" s="19" t="s">
        <v>221</v>
      </c>
      <c r="BL167" s="19" t="s">
        <v>222</v>
      </c>
      <c r="BM167" s="19" t="s">
        <v>169</v>
      </c>
      <c r="BN167" s="21">
        <v>1235.009</v>
      </c>
      <c r="BO167" s="21">
        <v>20332.570671500001</v>
      </c>
      <c r="BQ167" s="2"/>
      <c r="BR167" s="2"/>
      <c r="BS167" s="2"/>
      <c r="BT167" s="2"/>
      <c r="BU167" s="22"/>
      <c r="BV167" s="2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</row>
    <row r="168" spans="1:95" x14ac:dyDescent="0.25">
      <c r="A168" s="18">
        <v>165</v>
      </c>
      <c r="B168" s="19" t="s">
        <v>3013</v>
      </c>
      <c r="C168" s="19" t="s">
        <v>3014</v>
      </c>
      <c r="D168" s="20">
        <v>46000</v>
      </c>
      <c r="E168" s="20">
        <v>38130</v>
      </c>
      <c r="F168" s="19" t="s">
        <v>3015</v>
      </c>
      <c r="G168" s="19" t="s">
        <v>139</v>
      </c>
      <c r="H168" s="19" t="s">
        <v>94</v>
      </c>
      <c r="I168" s="19"/>
      <c r="J168" s="19"/>
      <c r="K168" s="19"/>
      <c r="L168" s="19" t="s">
        <v>244</v>
      </c>
      <c r="M168" s="19" t="s">
        <v>245</v>
      </c>
      <c r="N168" s="19" t="s">
        <v>3016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 t="s">
        <v>101</v>
      </c>
      <c r="Z168" s="19" t="s">
        <v>102</v>
      </c>
      <c r="AA168" s="19" t="s">
        <v>103</v>
      </c>
      <c r="AB168" s="19" t="s">
        <v>173</v>
      </c>
      <c r="AC168" s="19" t="s">
        <v>174</v>
      </c>
      <c r="AD168" s="19" t="s">
        <v>3017</v>
      </c>
      <c r="AE168" s="19" t="s">
        <v>3018</v>
      </c>
      <c r="AF168" s="19" t="s">
        <v>3019</v>
      </c>
      <c r="AG168" s="19" t="s">
        <v>3020</v>
      </c>
      <c r="AH168" s="19" t="s">
        <v>110</v>
      </c>
      <c r="AI168" s="19" t="s">
        <v>111</v>
      </c>
      <c r="AJ168" s="19" t="s">
        <v>3021</v>
      </c>
      <c r="AK168" s="19"/>
      <c r="AL168" s="19"/>
      <c r="AM168" s="19" t="s">
        <v>3022</v>
      </c>
      <c r="AN168" s="19" t="s">
        <v>3023</v>
      </c>
      <c r="AO168" s="19" t="s">
        <v>255</v>
      </c>
      <c r="AP168" s="19" t="s">
        <v>256</v>
      </c>
      <c r="AQ168" s="19" t="s">
        <v>117</v>
      </c>
      <c r="AR168" s="19" t="s">
        <v>257</v>
      </c>
      <c r="AS168" s="19" t="s">
        <v>258</v>
      </c>
      <c r="AT168" s="19" t="s">
        <v>259</v>
      </c>
      <c r="AU168" s="19" t="s">
        <v>260</v>
      </c>
      <c r="AV168" s="19" t="s">
        <v>260</v>
      </c>
      <c r="AW168" s="19" t="s">
        <v>261</v>
      </c>
      <c r="AX168" s="19" t="s">
        <v>262</v>
      </c>
      <c r="AY168" s="19" t="s">
        <v>263</v>
      </c>
      <c r="AZ168" s="19" t="s">
        <v>264</v>
      </c>
      <c r="BA168" s="20">
        <v>43627</v>
      </c>
      <c r="BB168" s="19" t="s">
        <v>3024</v>
      </c>
      <c r="BC168" s="19" t="s">
        <v>3025</v>
      </c>
      <c r="BD168" s="19" t="s">
        <v>490</v>
      </c>
      <c r="BE168" s="19" t="s">
        <v>130</v>
      </c>
      <c r="BF168" s="19" t="s">
        <v>3026</v>
      </c>
      <c r="BG168" s="19"/>
      <c r="BH168" s="19" t="s">
        <v>3027</v>
      </c>
      <c r="BI168" s="19" t="s">
        <v>3027</v>
      </c>
      <c r="BJ168" s="19" t="s">
        <v>166</v>
      </c>
      <c r="BK168" s="19" t="s">
        <v>167</v>
      </c>
      <c r="BL168" s="19" t="s">
        <v>168</v>
      </c>
      <c r="BM168" s="19" t="s">
        <v>169</v>
      </c>
      <c r="BN168" s="21">
        <v>1818.0060000000001</v>
      </c>
      <c r="BO168" s="21">
        <v>64401.408145200003</v>
      </c>
      <c r="BQ168" s="2"/>
      <c r="BR168" s="2"/>
      <c r="BS168" s="2"/>
      <c r="BT168" s="2"/>
      <c r="BU168" s="22"/>
      <c r="BV168" s="2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</row>
    <row r="169" spans="1:95" x14ac:dyDescent="0.25">
      <c r="A169" s="18">
        <v>166</v>
      </c>
      <c r="B169" s="19" t="s">
        <v>3028</v>
      </c>
      <c r="C169" s="19" t="s">
        <v>3029</v>
      </c>
      <c r="D169" s="20">
        <v>46006</v>
      </c>
      <c r="E169" s="20">
        <v>30250</v>
      </c>
      <c r="F169" s="19"/>
      <c r="G169" s="19"/>
      <c r="H169" s="19" t="s">
        <v>94</v>
      </c>
      <c r="I169" s="19"/>
      <c r="J169" s="19"/>
      <c r="K169" s="19"/>
      <c r="L169" s="19" t="s">
        <v>244</v>
      </c>
      <c r="M169" s="19" t="s">
        <v>245</v>
      </c>
      <c r="N169" s="19" t="s">
        <v>3030</v>
      </c>
      <c r="O169" s="19" t="s">
        <v>100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 t="s">
        <v>101</v>
      </c>
      <c r="Z169" s="19" t="s">
        <v>102</v>
      </c>
      <c r="AA169" s="19" t="s">
        <v>103</v>
      </c>
      <c r="AB169" s="19" t="s">
        <v>612</v>
      </c>
      <c r="AC169" s="19" t="s">
        <v>613</v>
      </c>
      <c r="AD169" s="19" t="s">
        <v>3031</v>
      </c>
      <c r="AE169" s="19" t="s">
        <v>3032</v>
      </c>
      <c r="AF169" s="19"/>
      <c r="AG169" s="19" t="s">
        <v>3033</v>
      </c>
      <c r="AH169" s="19" t="s">
        <v>515</v>
      </c>
      <c r="AI169" s="19" t="s">
        <v>111</v>
      </c>
      <c r="AJ169" s="19" t="s">
        <v>3034</v>
      </c>
      <c r="AK169" s="19"/>
      <c r="AL169" s="19" t="s">
        <v>3035</v>
      </c>
      <c r="AM169" s="19" t="s">
        <v>3036</v>
      </c>
      <c r="AN169" s="19" t="s">
        <v>3037</v>
      </c>
      <c r="AO169" s="19" t="s">
        <v>2088</v>
      </c>
      <c r="AP169" s="19" t="s">
        <v>2089</v>
      </c>
      <c r="AQ169" s="19" t="s">
        <v>94</v>
      </c>
      <c r="AR169" s="19" t="s">
        <v>2090</v>
      </c>
      <c r="AS169" s="19" t="s">
        <v>2091</v>
      </c>
      <c r="AT169" s="19" t="s">
        <v>2092</v>
      </c>
      <c r="AU169" s="19" t="s">
        <v>2093</v>
      </c>
      <c r="AV169" s="19" t="s">
        <v>122</v>
      </c>
      <c r="AW169" s="19" t="s">
        <v>2094</v>
      </c>
      <c r="AX169" s="19" t="s">
        <v>901</v>
      </c>
      <c r="AY169" s="19" t="s">
        <v>2095</v>
      </c>
      <c r="AZ169" s="19" t="s">
        <v>2096</v>
      </c>
      <c r="BA169" s="20">
        <v>39974</v>
      </c>
      <c r="BB169" s="19" t="s">
        <v>2097</v>
      </c>
      <c r="BC169" s="19" t="s">
        <v>3038</v>
      </c>
      <c r="BD169" s="19" t="s">
        <v>3033</v>
      </c>
      <c r="BE169" s="19" t="s">
        <v>130</v>
      </c>
      <c r="BF169" s="19" t="s">
        <v>3039</v>
      </c>
      <c r="BG169" s="19" t="s">
        <v>3040</v>
      </c>
      <c r="BH169" s="19" t="s">
        <v>3041</v>
      </c>
      <c r="BI169" s="19" t="s">
        <v>3041</v>
      </c>
      <c r="BJ169" s="19" t="s">
        <v>1259</v>
      </c>
      <c r="BK169" s="19" t="s">
        <v>195</v>
      </c>
      <c r="BL169" s="19" t="s">
        <v>122</v>
      </c>
      <c r="BM169" s="19" t="s">
        <v>196</v>
      </c>
      <c r="BN169" s="21">
        <v>9.141</v>
      </c>
      <c r="BO169" s="21">
        <v>5008.99377</v>
      </c>
      <c r="BQ169" s="2"/>
      <c r="BR169" s="2"/>
      <c r="BS169" s="2"/>
      <c r="BT169" s="2"/>
      <c r="BU169" s="22"/>
      <c r="BV169" s="2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</row>
    <row r="170" spans="1:95" x14ac:dyDescent="0.25">
      <c r="A170" s="18">
        <v>167</v>
      </c>
      <c r="B170" s="19" t="s">
        <v>3042</v>
      </c>
      <c r="C170" s="19" t="s">
        <v>3043</v>
      </c>
      <c r="D170" s="20">
        <v>46006</v>
      </c>
      <c r="E170" s="20">
        <v>33786</v>
      </c>
      <c r="F170" s="19" t="s">
        <v>3044</v>
      </c>
      <c r="G170" s="19" t="s">
        <v>139</v>
      </c>
      <c r="H170" s="19" t="s">
        <v>94</v>
      </c>
      <c r="I170" s="19"/>
      <c r="J170" s="19"/>
      <c r="K170" s="19"/>
      <c r="L170" s="19" t="s">
        <v>244</v>
      </c>
      <c r="M170" s="19" t="s">
        <v>245</v>
      </c>
      <c r="N170" s="19" t="s">
        <v>3045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 t="s">
        <v>101</v>
      </c>
      <c r="Z170" s="19" t="s">
        <v>102</v>
      </c>
      <c r="AA170" s="19" t="s">
        <v>103</v>
      </c>
      <c r="AB170" s="19" t="s">
        <v>3046</v>
      </c>
      <c r="AC170" s="19" t="s">
        <v>3047</v>
      </c>
      <c r="AD170" s="19" t="s">
        <v>3048</v>
      </c>
      <c r="AE170" s="19" t="s">
        <v>2041</v>
      </c>
      <c r="AF170" s="19"/>
      <c r="AG170" s="19" t="s">
        <v>3049</v>
      </c>
      <c r="AH170" s="19" t="s">
        <v>149</v>
      </c>
      <c r="AI170" s="19" t="s">
        <v>111</v>
      </c>
      <c r="AJ170" s="19" t="s">
        <v>2017</v>
      </c>
      <c r="AK170" s="19"/>
      <c r="AL170" s="19"/>
      <c r="AM170" s="19" t="s">
        <v>3050</v>
      </c>
      <c r="AN170" s="19" t="s">
        <v>3051</v>
      </c>
      <c r="AO170" s="19" t="s">
        <v>255</v>
      </c>
      <c r="AP170" s="19" t="s">
        <v>256</v>
      </c>
      <c r="AQ170" s="19" t="s">
        <v>117</v>
      </c>
      <c r="AR170" s="19" t="s">
        <v>257</v>
      </c>
      <c r="AS170" s="19" t="s">
        <v>258</v>
      </c>
      <c r="AT170" s="19" t="s">
        <v>259</v>
      </c>
      <c r="AU170" s="19" t="s">
        <v>260</v>
      </c>
      <c r="AV170" s="19" t="s">
        <v>260</v>
      </c>
      <c r="AW170" s="19" t="s">
        <v>261</v>
      </c>
      <c r="AX170" s="19" t="s">
        <v>262</v>
      </c>
      <c r="AY170" s="19" t="s">
        <v>263</v>
      </c>
      <c r="AZ170" s="19" t="s">
        <v>264</v>
      </c>
      <c r="BA170" s="20">
        <v>43627</v>
      </c>
      <c r="BB170" s="19" t="s">
        <v>265</v>
      </c>
      <c r="BC170" s="19" t="s">
        <v>3049</v>
      </c>
      <c r="BD170" s="19" t="s">
        <v>3049</v>
      </c>
      <c r="BE170" s="19" t="s">
        <v>130</v>
      </c>
      <c r="BF170" s="19" t="s">
        <v>3052</v>
      </c>
      <c r="BG170" s="19"/>
      <c r="BH170" s="19" t="s">
        <v>3053</v>
      </c>
      <c r="BI170" s="19" t="s">
        <v>3053</v>
      </c>
      <c r="BJ170" s="19" t="s">
        <v>166</v>
      </c>
      <c r="BK170" s="19" t="s">
        <v>167</v>
      </c>
      <c r="BL170" s="19" t="s">
        <v>168</v>
      </c>
      <c r="BM170" s="19" t="s">
        <v>169</v>
      </c>
      <c r="BN170" s="21">
        <v>0</v>
      </c>
      <c r="BO170" s="21">
        <v>0</v>
      </c>
      <c r="BQ170" s="2"/>
      <c r="BR170" s="2"/>
      <c r="BS170" s="2"/>
      <c r="BT170" s="2"/>
      <c r="BU170" s="22"/>
      <c r="BV170" s="2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</row>
    <row r="171" spans="1:95" x14ac:dyDescent="0.25">
      <c r="A171" s="18">
        <v>168</v>
      </c>
      <c r="B171" s="19" t="s">
        <v>3054</v>
      </c>
      <c r="C171" s="19" t="s">
        <v>3055</v>
      </c>
      <c r="D171" s="20">
        <v>46006</v>
      </c>
      <c r="E171" s="20">
        <v>38165</v>
      </c>
      <c r="F171" s="19" t="s">
        <v>3056</v>
      </c>
      <c r="G171" s="19" t="s">
        <v>139</v>
      </c>
      <c r="H171" s="19" t="s">
        <v>94</v>
      </c>
      <c r="I171" s="19"/>
      <c r="J171" s="19"/>
      <c r="K171" s="19"/>
      <c r="L171" s="19" t="s">
        <v>140</v>
      </c>
      <c r="M171" s="19" t="s">
        <v>141</v>
      </c>
      <c r="N171" s="19" t="s">
        <v>3057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 t="s">
        <v>101</v>
      </c>
      <c r="Z171" s="19" t="s">
        <v>102</v>
      </c>
      <c r="AA171" s="19" t="s">
        <v>103</v>
      </c>
      <c r="AB171" s="19" t="s">
        <v>173</v>
      </c>
      <c r="AC171" s="19" t="s">
        <v>174</v>
      </c>
      <c r="AD171" s="19" t="s">
        <v>3058</v>
      </c>
      <c r="AE171" s="19" t="s">
        <v>3059</v>
      </c>
      <c r="AF171" s="19"/>
      <c r="AG171" s="19" t="s">
        <v>3060</v>
      </c>
      <c r="AH171" s="19" t="s">
        <v>149</v>
      </c>
      <c r="AI171" s="19" t="s">
        <v>111</v>
      </c>
      <c r="AJ171" s="19" t="s">
        <v>3061</v>
      </c>
      <c r="AK171" s="19"/>
      <c r="AL171" s="19" t="s">
        <v>3062</v>
      </c>
      <c r="AM171" s="19" t="s">
        <v>3063</v>
      </c>
      <c r="AN171" s="19" t="s">
        <v>3064</v>
      </c>
      <c r="AO171" s="19" t="s">
        <v>154</v>
      </c>
      <c r="AP171" s="19" t="s">
        <v>155</v>
      </c>
      <c r="AQ171" s="19" t="s">
        <v>117</v>
      </c>
      <c r="AR171" s="19" t="s">
        <v>156</v>
      </c>
      <c r="AS171" s="19" t="s">
        <v>157</v>
      </c>
      <c r="AT171" s="19" t="s">
        <v>158</v>
      </c>
      <c r="AU171" s="19"/>
      <c r="AV171" s="19" t="s">
        <v>122</v>
      </c>
      <c r="AW171" s="19"/>
      <c r="AX171" s="19" t="s">
        <v>124</v>
      </c>
      <c r="AY171" s="19" t="s">
        <v>159</v>
      </c>
      <c r="AZ171" s="19" t="s">
        <v>160</v>
      </c>
      <c r="BA171" s="20">
        <v>44676</v>
      </c>
      <c r="BB171" s="19" t="s">
        <v>444</v>
      </c>
      <c r="BC171" s="19" t="s">
        <v>3065</v>
      </c>
      <c r="BD171" s="19" t="s">
        <v>3060</v>
      </c>
      <c r="BE171" s="19" t="s">
        <v>130</v>
      </c>
      <c r="BF171" s="19" t="s">
        <v>3066</v>
      </c>
      <c r="BG171" s="19"/>
      <c r="BH171" s="19" t="s">
        <v>3067</v>
      </c>
      <c r="BI171" s="19" t="s">
        <v>3067</v>
      </c>
      <c r="BJ171" s="19" t="s">
        <v>166</v>
      </c>
      <c r="BK171" s="19" t="s">
        <v>167</v>
      </c>
      <c r="BL171" s="19" t="s">
        <v>168</v>
      </c>
      <c r="BM171" s="19" t="s">
        <v>169</v>
      </c>
      <c r="BN171" s="21">
        <v>1323.442</v>
      </c>
      <c r="BO171" s="21">
        <v>46881.874096400003</v>
      </c>
      <c r="BQ171" s="2"/>
      <c r="BR171" s="2"/>
      <c r="BS171" s="2"/>
      <c r="BT171" s="2"/>
      <c r="BU171" s="22"/>
      <c r="BV171" s="2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</row>
    <row r="172" spans="1:95" x14ac:dyDescent="0.25">
      <c r="A172" s="18">
        <v>169</v>
      </c>
      <c r="B172" s="19" t="s">
        <v>3068</v>
      </c>
      <c r="C172" s="19" t="s">
        <v>3069</v>
      </c>
      <c r="D172" s="20">
        <v>46006</v>
      </c>
      <c r="E172" s="20">
        <v>38816</v>
      </c>
      <c r="F172" s="19"/>
      <c r="G172" s="19"/>
      <c r="H172" s="19" t="s">
        <v>94</v>
      </c>
      <c r="I172" s="19"/>
      <c r="J172" s="19"/>
      <c r="K172" s="19"/>
      <c r="L172" s="19" t="s">
        <v>140</v>
      </c>
      <c r="M172" s="19" t="s">
        <v>141</v>
      </c>
      <c r="N172" s="19" t="s">
        <v>3070</v>
      </c>
      <c r="O172" s="19" t="s">
        <v>100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 t="s">
        <v>101</v>
      </c>
      <c r="Z172" s="19" t="s">
        <v>102</v>
      </c>
      <c r="AA172" s="19" t="s">
        <v>103</v>
      </c>
      <c r="AB172" s="19" t="s">
        <v>173</v>
      </c>
      <c r="AC172" s="19" t="s">
        <v>174</v>
      </c>
      <c r="AD172" s="19" t="s">
        <v>3071</v>
      </c>
      <c r="AE172" s="19" t="s">
        <v>3072</v>
      </c>
      <c r="AF172" s="19" t="s">
        <v>3073</v>
      </c>
      <c r="AG172" s="19" t="s">
        <v>3074</v>
      </c>
      <c r="AH172" s="19" t="s">
        <v>298</v>
      </c>
      <c r="AI172" s="19" t="s">
        <v>111</v>
      </c>
      <c r="AJ172" s="19" t="s">
        <v>3073</v>
      </c>
      <c r="AK172" s="19"/>
      <c r="AL172" s="19"/>
      <c r="AM172" s="19" t="s">
        <v>3075</v>
      </c>
      <c r="AN172" s="19" t="s">
        <v>3076</v>
      </c>
      <c r="AO172" s="19" t="s">
        <v>181</v>
      </c>
      <c r="AP172" s="19" t="s">
        <v>182</v>
      </c>
      <c r="AQ172" s="19" t="s">
        <v>117</v>
      </c>
      <c r="AR172" s="19" t="s">
        <v>183</v>
      </c>
      <c r="AS172" s="19" t="s">
        <v>184</v>
      </c>
      <c r="AT172" s="19" t="s">
        <v>185</v>
      </c>
      <c r="AU172" s="19"/>
      <c r="AV172" s="19" t="s">
        <v>186</v>
      </c>
      <c r="AW172" s="19" t="s">
        <v>187</v>
      </c>
      <c r="AX172" s="19" t="s">
        <v>188</v>
      </c>
      <c r="AY172" s="19"/>
      <c r="AZ172" s="19" t="s">
        <v>189</v>
      </c>
      <c r="BA172" s="20">
        <v>44673</v>
      </c>
      <c r="BB172" s="19" t="s">
        <v>1002</v>
      </c>
      <c r="BC172" s="19" t="s">
        <v>1896</v>
      </c>
      <c r="BD172" s="19" t="s">
        <v>260</v>
      </c>
      <c r="BE172" s="19" t="s">
        <v>130</v>
      </c>
      <c r="BF172" s="19" t="s">
        <v>3077</v>
      </c>
      <c r="BG172" s="19"/>
      <c r="BH172" s="19" t="s">
        <v>1898</v>
      </c>
      <c r="BI172" s="19" t="s">
        <v>1898</v>
      </c>
      <c r="BJ172" s="19" t="s">
        <v>194</v>
      </c>
      <c r="BK172" s="19" t="s">
        <v>195</v>
      </c>
      <c r="BL172" s="19" t="s">
        <v>122</v>
      </c>
      <c r="BM172" s="19" t="s">
        <v>196</v>
      </c>
      <c r="BN172" s="21">
        <v>147.82300000000001</v>
      </c>
      <c r="BO172" s="21">
        <v>5236.5115165999996</v>
      </c>
      <c r="BQ172" s="2"/>
      <c r="BR172" s="2"/>
      <c r="BS172" s="2"/>
      <c r="BT172" s="2"/>
      <c r="BU172" s="22"/>
      <c r="BV172" s="2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</row>
    <row r="173" spans="1:95" x14ac:dyDescent="0.25">
      <c r="A173" s="18">
        <v>170</v>
      </c>
      <c r="B173" s="19" t="s">
        <v>3078</v>
      </c>
      <c r="C173" s="19" t="s">
        <v>3079</v>
      </c>
      <c r="D173" s="20">
        <v>46007</v>
      </c>
      <c r="E173" s="20">
        <v>28574</v>
      </c>
      <c r="F173" s="19"/>
      <c r="G173" s="19"/>
      <c r="H173" s="19" t="s">
        <v>94</v>
      </c>
      <c r="I173" s="19"/>
      <c r="J173" s="19" t="s">
        <v>3080</v>
      </c>
      <c r="K173" s="19" t="s">
        <v>3081</v>
      </c>
      <c r="L173" s="19" t="s">
        <v>244</v>
      </c>
      <c r="M173" s="19" t="s">
        <v>245</v>
      </c>
      <c r="N173" s="19" t="s">
        <v>3082</v>
      </c>
      <c r="O173" s="19" t="s">
        <v>100</v>
      </c>
      <c r="P173" s="19"/>
      <c r="Q173" s="19"/>
      <c r="R173" s="19"/>
      <c r="S173" s="19" t="s">
        <v>3083</v>
      </c>
      <c r="T173" s="19" t="s">
        <v>3084</v>
      </c>
      <c r="U173" s="19" t="s">
        <v>100</v>
      </c>
      <c r="V173" s="19"/>
      <c r="W173" s="19"/>
      <c r="X173" s="19"/>
      <c r="Y173" s="19" t="s">
        <v>101</v>
      </c>
      <c r="Z173" s="19" t="s">
        <v>102</v>
      </c>
      <c r="AA173" s="19" t="s">
        <v>103</v>
      </c>
      <c r="AB173" s="19" t="s">
        <v>1372</v>
      </c>
      <c r="AC173" s="19" t="s">
        <v>1373</v>
      </c>
      <c r="AD173" s="19" t="s">
        <v>3085</v>
      </c>
      <c r="AE173" s="19" t="s">
        <v>3086</v>
      </c>
      <c r="AF173" s="19" t="s">
        <v>3087</v>
      </c>
      <c r="AG173" s="19" t="s">
        <v>219</v>
      </c>
      <c r="AH173" s="19" t="s">
        <v>124</v>
      </c>
      <c r="AI173" s="19" t="s">
        <v>111</v>
      </c>
      <c r="AJ173" s="19" t="s">
        <v>3088</v>
      </c>
      <c r="AK173" s="19"/>
      <c r="AL173" s="19"/>
      <c r="AM173" s="19" t="s">
        <v>3089</v>
      </c>
      <c r="AN173" s="19" t="s">
        <v>3090</v>
      </c>
      <c r="AO173" s="19" t="s">
        <v>3091</v>
      </c>
      <c r="AP173" s="19" t="s">
        <v>3092</v>
      </c>
      <c r="AQ173" s="19" t="s">
        <v>117</v>
      </c>
      <c r="AR173" s="19" t="s">
        <v>3093</v>
      </c>
      <c r="AS173" s="19" t="s">
        <v>3094</v>
      </c>
      <c r="AT173" s="19" t="s">
        <v>3095</v>
      </c>
      <c r="AU173" s="19" t="s">
        <v>3096</v>
      </c>
      <c r="AV173" s="19" t="s">
        <v>3097</v>
      </c>
      <c r="AW173" s="19" t="s">
        <v>3098</v>
      </c>
      <c r="AX173" s="19" t="s">
        <v>124</v>
      </c>
      <c r="AY173" s="19" t="s">
        <v>3099</v>
      </c>
      <c r="AZ173" s="19" t="s">
        <v>3100</v>
      </c>
      <c r="BA173" s="20">
        <v>43224</v>
      </c>
      <c r="BB173" s="19" t="s">
        <v>2253</v>
      </c>
      <c r="BC173" s="19" t="s">
        <v>3101</v>
      </c>
      <c r="BD173" s="19" t="s">
        <v>219</v>
      </c>
      <c r="BE173" s="19" t="s">
        <v>130</v>
      </c>
      <c r="BF173" s="19" t="s">
        <v>3102</v>
      </c>
      <c r="BG173" s="19"/>
      <c r="BH173" s="19" t="s">
        <v>3103</v>
      </c>
      <c r="BI173" s="19" t="s">
        <v>3103</v>
      </c>
      <c r="BJ173" s="19" t="s">
        <v>166</v>
      </c>
      <c r="BK173" s="19" t="s">
        <v>221</v>
      </c>
      <c r="BL173" s="19" t="s">
        <v>222</v>
      </c>
      <c r="BM173" s="19" t="s">
        <v>169</v>
      </c>
      <c r="BN173" s="21">
        <v>0</v>
      </c>
      <c r="BO173" s="21">
        <v>0</v>
      </c>
      <c r="BQ173" s="2"/>
      <c r="BR173" s="2"/>
      <c r="BS173" s="2"/>
      <c r="BT173" s="2"/>
      <c r="BU173" s="22"/>
      <c r="BV173" s="2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</row>
    <row r="174" spans="1:95" x14ac:dyDescent="0.25">
      <c r="A174" s="18">
        <v>171</v>
      </c>
      <c r="B174" s="19" t="s">
        <v>3104</v>
      </c>
      <c r="C174" s="19" t="s">
        <v>3105</v>
      </c>
      <c r="D174" s="20">
        <v>46008</v>
      </c>
      <c r="E174" s="20">
        <v>31178</v>
      </c>
      <c r="F174" s="19"/>
      <c r="G174" s="19"/>
      <c r="H174" s="19" t="s">
        <v>94</v>
      </c>
      <c r="I174" s="19"/>
      <c r="J174" s="19" t="s">
        <v>287</v>
      </c>
      <c r="K174" s="19" t="s">
        <v>288</v>
      </c>
      <c r="L174" s="19" t="s">
        <v>97</v>
      </c>
      <c r="M174" s="19" t="s">
        <v>98</v>
      </c>
      <c r="N174" s="19" t="s">
        <v>3106</v>
      </c>
      <c r="O174" s="19" t="s">
        <v>100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 t="s">
        <v>101</v>
      </c>
      <c r="Z174" s="19" t="s">
        <v>102</v>
      </c>
      <c r="AA174" s="19" t="s">
        <v>103</v>
      </c>
      <c r="AB174" s="19" t="s">
        <v>402</v>
      </c>
      <c r="AC174" s="19" t="s">
        <v>403</v>
      </c>
      <c r="AD174" s="19" t="s">
        <v>3107</v>
      </c>
      <c r="AE174" s="19" t="s">
        <v>3108</v>
      </c>
      <c r="AF174" s="19"/>
      <c r="AG174" s="19" t="s">
        <v>3109</v>
      </c>
      <c r="AH174" s="19" t="s">
        <v>124</v>
      </c>
      <c r="AI174" s="19" t="s">
        <v>111</v>
      </c>
      <c r="AJ174" s="19" t="s">
        <v>3110</v>
      </c>
      <c r="AK174" s="19"/>
      <c r="AL174" s="19"/>
      <c r="AM174" s="19" t="s">
        <v>3111</v>
      </c>
      <c r="AN174" s="19" t="s">
        <v>3112</v>
      </c>
      <c r="AO174" s="19" t="s">
        <v>1206</v>
      </c>
      <c r="AP174" s="19" t="s">
        <v>1207</v>
      </c>
      <c r="AQ174" s="19" t="s">
        <v>117</v>
      </c>
      <c r="AR174" s="19" t="s">
        <v>1208</v>
      </c>
      <c r="AS174" s="19" t="s">
        <v>1209</v>
      </c>
      <c r="AT174" s="19" t="s">
        <v>1210</v>
      </c>
      <c r="AU174" s="19" t="s">
        <v>1211</v>
      </c>
      <c r="AV174" s="19" t="s">
        <v>219</v>
      </c>
      <c r="AW174" s="19" t="s">
        <v>1212</v>
      </c>
      <c r="AX174" s="19" t="s">
        <v>124</v>
      </c>
      <c r="AY174" s="19" t="s">
        <v>1213</v>
      </c>
      <c r="AZ174" s="19" t="s">
        <v>1214</v>
      </c>
      <c r="BA174" s="20">
        <v>37560</v>
      </c>
      <c r="BB174" s="19" t="s">
        <v>2253</v>
      </c>
      <c r="BC174" s="19" t="s">
        <v>3113</v>
      </c>
      <c r="BD174" s="19" t="s">
        <v>1955</v>
      </c>
      <c r="BE174" s="19" t="s">
        <v>130</v>
      </c>
      <c r="BF174" s="19" t="s">
        <v>3114</v>
      </c>
      <c r="BG174" s="19" t="s">
        <v>3115</v>
      </c>
      <c r="BH174" s="19" t="s">
        <v>3116</v>
      </c>
      <c r="BI174" s="19" t="s">
        <v>3116</v>
      </c>
      <c r="BJ174" s="19" t="s">
        <v>2259</v>
      </c>
      <c r="BK174" s="19" t="s">
        <v>3117</v>
      </c>
      <c r="BL174" s="19" t="s">
        <v>3118</v>
      </c>
      <c r="BM174" s="19" t="s">
        <v>196</v>
      </c>
      <c r="BN174" s="21">
        <v>1.337</v>
      </c>
      <c r="BO174" s="21">
        <v>2531.3822100000002</v>
      </c>
      <c r="BQ174" s="2"/>
      <c r="BR174" s="2"/>
      <c r="BS174" s="2"/>
      <c r="BT174" s="2"/>
      <c r="BU174" s="22"/>
      <c r="BV174" s="2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</row>
    <row r="175" spans="1:95" x14ac:dyDescent="0.25">
      <c r="A175" s="18">
        <v>172</v>
      </c>
      <c r="B175" s="19" t="s">
        <v>3119</v>
      </c>
      <c r="C175" s="19" t="s">
        <v>3120</v>
      </c>
      <c r="D175" s="20">
        <v>46020</v>
      </c>
      <c r="E175" s="20">
        <v>30680</v>
      </c>
      <c r="F175" s="19" t="s">
        <v>3121</v>
      </c>
      <c r="G175" s="19" t="s">
        <v>139</v>
      </c>
      <c r="H175" s="19" t="s">
        <v>94</v>
      </c>
      <c r="I175" s="19"/>
      <c r="J175" s="19"/>
      <c r="K175" s="19"/>
      <c r="L175" s="19" t="s">
        <v>467</v>
      </c>
      <c r="M175" s="19" t="s">
        <v>468</v>
      </c>
      <c r="N175" s="19" t="s">
        <v>3122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 t="s">
        <v>101</v>
      </c>
      <c r="Z175" s="19" t="s">
        <v>102</v>
      </c>
      <c r="AA175" s="19" t="s">
        <v>103</v>
      </c>
      <c r="AB175" s="19" t="s">
        <v>702</v>
      </c>
      <c r="AC175" s="19" t="s">
        <v>703</v>
      </c>
      <c r="AD175" s="19" t="s">
        <v>3123</v>
      </c>
      <c r="AE175" s="19" t="s">
        <v>3124</v>
      </c>
      <c r="AF175" s="19"/>
      <c r="AG175" s="19" t="s">
        <v>2071</v>
      </c>
      <c r="AH175" s="19" t="s">
        <v>188</v>
      </c>
      <c r="AI175" s="19" t="s">
        <v>111</v>
      </c>
      <c r="AJ175" s="19" t="s">
        <v>3125</v>
      </c>
      <c r="AK175" s="19"/>
      <c r="AL175" s="19"/>
      <c r="AM175" s="19" t="s">
        <v>3126</v>
      </c>
      <c r="AN175" s="19" t="s">
        <v>3127</v>
      </c>
      <c r="AO175" s="19" t="s">
        <v>476</v>
      </c>
      <c r="AP175" s="19" t="s">
        <v>477</v>
      </c>
      <c r="AQ175" s="19" t="s">
        <v>117</v>
      </c>
      <c r="AR175" s="19" t="s">
        <v>478</v>
      </c>
      <c r="AS175" s="19"/>
      <c r="AT175" s="19"/>
      <c r="AU175" s="19"/>
      <c r="AV175" s="19"/>
      <c r="AW175" s="19"/>
      <c r="AX175" s="19"/>
      <c r="AY175" s="19"/>
      <c r="AZ175" s="19"/>
      <c r="BA175" s="20">
        <v>44452</v>
      </c>
      <c r="BB175" s="19" t="s">
        <v>444</v>
      </c>
      <c r="BC175" s="19" t="s">
        <v>3128</v>
      </c>
      <c r="BD175" s="19" t="s">
        <v>365</v>
      </c>
      <c r="BE175" s="19" t="s">
        <v>130</v>
      </c>
      <c r="BF175" s="19" t="s">
        <v>3129</v>
      </c>
      <c r="BG175" s="19"/>
      <c r="BH175" s="19" t="s">
        <v>3130</v>
      </c>
      <c r="BI175" s="19" t="s">
        <v>3130</v>
      </c>
      <c r="BJ175" s="19" t="s">
        <v>166</v>
      </c>
      <c r="BK175" s="19" t="s">
        <v>167</v>
      </c>
      <c r="BL175" s="19" t="s">
        <v>168</v>
      </c>
      <c r="BM175" s="19" t="s">
        <v>169</v>
      </c>
      <c r="BN175" s="21">
        <v>25385.539000000001</v>
      </c>
      <c r="BO175" s="21">
        <v>750376.22440880002</v>
      </c>
      <c r="BQ175" s="2"/>
      <c r="BR175" s="2"/>
      <c r="BS175" s="2"/>
      <c r="BT175" s="2"/>
      <c r="BU175" s="22"/>
      <c r="BV175" s="2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</row>
    <row r="176" spans="1:95" x14ac:dyDescent="0.25">
      <c r="A176" s="18">
        <v>173</v>
      </c>
      <c r="B176" s="19" t="s">
        <v>3131</v>
      </c>
      <c r="C176" s="19" t="s">
        <v>3132</v>
      </c>
      <c r="D176" s="20">
        <v>46010</v>
      </c>
      <c r="E176" s="20">
        <v>37054</v>
      </c>
      <c r="F176" s="19" t="s">
        <v>3133</v>
      </c>
      <c r="G176" s="19" t="s">
        <v>139</v>
      </c>
      <c r="H176" s="19" t="s">
        <v>94</v>
      </c>
      <c r="I176" s="19"/>
      <c r="J176" s="19"/>
      <c r="K176" s="19"/>
      <c r="L176" s="19" t="s">
        <v>244</v>
      </c>
      <c r="M176" s="19" t="s">
        <v>245</v>
      </c>
      <c r="N176" s="19" t="s">
        <v>3134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 t="s">
        <v>101</v>
      </c>
      <c r="Z176" s="19" t="s">
        <v>102</v>
      </c>
      <c r="AA176" s="19" t="s">
        <v>103</v>
      </c>
      <c r="AB176" s="19" t="s">
        <v>143</v>
      </c>
      <c r="AC176" s="19" t="s">
        <v>144</v>
      </c>
      <c r="AD176" s="19" t="s">
        <v>3135</v>
      </c>
      <c r="AE176" s="19" t="s">
        <v>3136</v>
      </c>
      <c r="AF176" s="19" t="s">
        <v>3137</v>
      </c>
      <c r="AG176" s="19" t="s">
        <v>219</v>
      </c>
      <c r="AH176" s="19" t="s">
        <v>124</v>
      </c>
      <c r="AI176" s="19" t="s">
        <v>111</v>
      </c>
      <c r="AJ176" s="19" t="s">
        <v>3138</v>
      </c>
      <c r="AK176" s="19"/>
      <c r="AL176" s="19" t="s">
        <v>3139</v>
      </c>
      <c r="AM176" s="19" t="s">
        <v>3140</v>
      </c>
      <c r="AN176" s="19" t="s">
        <v>3141</v>
      </c>
      <c r="AO176" s="19" t="s">
        <v>154</v>
      </c>
      <c r="AP176" s="19" t="s">
        <v>155</v>
      </c>
      <c r="AQ176" s="19" t="s">
        <v>117</v>
      </c>
      <c r="AR176" s="19" t="s">
        <v>156</v>
      </c>
      <c r="AS176" s="19" t="s">
        <v>157</v>
      </c>
      <c r="AT176" s="19" t="s">
        <v>158</v>
      </c>
      <c r="AU176" s="19"/>
      <c r="AV176" s="19" t="s">
        <v>122</v>
      </c>
      <c r="AW176" s="19"/>
      <c r="AX176" s="19" t="s">
        <v>124</v>
      </c>
      <c r="AY176" s="19" t="s">
        <v>159</v>
      </c>
      <c r="AZ176" s="19" t="s">
        <v>160</v>
      </c>
      <c r="BA176" s="20">
        <v>44676</v>
      </c>
      <c r="BB176" s="19" t="s">
        <v>363</v>
      </c>
      <c r="BC176" s="19" t="s">
        <v>3142</v>
      </c>
      <c r="BD176" s="19" t="s">
        <v>219</v>
      </c>
      <c r="BE176" s="19" t="s">
        <v>130</v>
      </c>
      <c r="BF176" s="19" t="s">
        <v>3143</v>
      </c>
      <c r="BG176" s="19"/>
      <c r="BH176" s="19" t="s">
        <v>3144</v>
      </c>
      <c r="BI176" s="19" t="s">
        <v>3144</v>
      </c>
      <c r="BJ176" s="19" t="s">
        <v>166</v>
      </c>
      <c r="BK176" s="19" t="s">
        <v>167</v>
      </c>
      <c r="BL176" s="19" t="s">
        <v>168</v>
      </c>
      <c r="BM176" s="19" t="s">
        <v>169</v>
      </c>
      <c r="BN176" s="21">
        <v>13.458</v>
      </c>
      <c r="BO176" s="21">
        <v>512.61522000000002</v>
      </c>
      <c r="BQ176" s="2"/>
      <c r="BR176" s="2"/>
      <c r="BS176" s="2"/>
      <c r="BT176" s="2"/>
      <c r="BU176" s="22"/>
      <c r="BV176" s="2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</row>
    <row r="177" spans="1:95" x14ac:dyDescent="0.25">
      <c r="A177" s="18">
        <v>174</v>
      </c>
      <c r="B177" s="19" t="s">
        <v>3145</v>
      </c>
      <c r="C177" s="19" t="s">
        <v>3146</v>
      </c>
      <c r="D177" s="20">
        <v>46013</v>
      </c>
      <c r="E177" s="20">
        <v>37622</v>
      </c>
      <c r="F177" s="19"/>
      <c r="G177" s="19"/>
      <c r="H177" s="19" t="s">
        <v>94</v>
      </c>
      <c r="I177" s="19"/>
      <c r="J177" s="19"/>
      <c r="K177" s="19"/>
      <c r="L177" s="19" t="s">
        <v>140</v>
      </c>
      <c r="M177" s="19" t="s">
        <v>141</v>
      </c>
      <c r="N177" s="19" t="s">
        <v>3147</v>
      </c>
      <c r="O177" s="19" t="s">
        <v>100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 t="s">
        <v>101</v>
      </c>
      <c r="Z177" s="19" t="s">
        <v>102</v>
      </c>
      <c r="AA177" s="19" t="s">
        <v>103</v>
      </c>
      <c r="AB177" s="19" t="s">
        <v>173</v>
      </c>
      <c r="AC177" s="19" t="s">
        <v>174</v>
      </c>
      <c r="AD177" s="19" t="s">
        <v>3148</v>
      </c>
      <c r="AE177" s="19" t="s">
        <v>3149</v>
      </c>
      <c r="AF177" s="19"/>
      <c r="AG177" s="19" t="s">
        <v>3150</v>
      </c>
      <c r="AH177" s="19" t="s">
        <v>707</v>
      </c>
      <c r="AI177" s="19" t="s">
        <v>111</v>
      </c>
      <c r="AJ177" s="19" t="s">
        <v>3151</v>
      </c>
      <c r="AK177" s="19"/>
      <c r="AL177" s="19"/>
      <c r="AM177" s="19" t="s">
        <v>3152</v>
      </c>
      <c r="AN177" s="19" t="s">
        <v>3153</v>
      </c>
      <c r="AO177" s="19" t="s">
        <v>181</v>
      </c>
      <c r="AP177" s="19" t="s">
        <v>182</v>
      </c>
      <c r="AQ177" s="19" t="s">
        <v>117</v>
      </c>
      <c r="AR177" s="19" t="s">
        <v>183</v>
      </c>
      <c r="AS177" s="19" t="s">
        <v>184</v>
      </c>
      <c r="AT177" s="19" t="s">
        <v>185</v>
      </c>
      <c r="AU177" s="19"/>
      <c r="AV177" s="19" t="s">
        <v>186</v>
      </c>
      <c r="AW177" s="19" t="s">
        <v>187</v>
      </c>
      <c r="AX177" s="19" t="s">
        <v>188</v>
      </c>
      <c r="AY177" s="19"/>
      <c r="AZ177" s="19" t="s">
        <v>189</v>
      </c>
      <c r="BA177" s="20">
        <v>44673</v>
      </c>
      <c r="BB177" s="19" t="s">
        <v>638</v>
      </c>
      <c r="BC177" s="19" t="s">
        <v>3154</v>
      </c>
      <c r="BD177" s="19" t="s">
        <v>2213</v>
      </c>
      <c r="BE177" s="19" t="s">
        <v>130</v>
      </c>
      <c r="BF177" s="19" t="s">
        <v>3155</v>
      </c>
      <c r="BG177" s="19"/>
      <c r="BH177" s="19" t="s">
        <v>3156</v>
      </c>
      <c r="BI177" s="19" t="s">
        <v>3156</v>
      </c>
      <c r="BJ177" s="19" t="s">
        <v>194</v>
      </c>
      <c r="BK177" s="19" t="s">
        <v>195</v>
      </c>
      <c r="BL177" s="19" t="s">
        <v>122</v>
      </c>
      <c r="BM177" s="19" t="s">
        <v>196</v>
      </c>
      <c r="BN177" s="21">
        <v>61.058</v>
      </c>
      <c r="BO177" s="21">
        <v>2162.9308036000002</v>
      </c>
      <c r="BQ177" s="2"/>
      <c r="BR177" s="2"/>
      <c r="BS177" s="2"/>
      <c r="BT177" s="2"/>
      <c r="BU177" s="22"/>
      <c r="BV177" s="2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</row>
    <row r="178" spans="1:95" x14ac:dyDescent="0.25">
      <c r="A178" s="18">
        <v>175</v>
      </c>
      <c r="B178" s="19" t="s">
        <v>3157</v>
      </c>
      <c r="C178" s="19" t="s">
        <v>3158</v>
      </c>
      <c r="D178" s="20">
        <v>46013</v>
      </c>
      <c r="E178" s="20">
        <v>31757</v>
      </c>
      <c r="F178" s="19"/>
      <c r="G178" s="19"/>
      <c r="H178" s="19" t="s">
        <v>94</v>
      </c>
      <c r="I178" s="19"/>
      <c r="J178" s="19"/>
      <c r="K178" s="19"/>
      <c r="L178" s="19" t="s">
        <v>2080</v>
      </c>
      <c r="M178" s="19" t="s">
        <v>141</v>
      </c>
      <c r="N178" s="19" t="s">
        <v>3159</v>
      </c>
      <c r="O178" s="19" t="s">
        <v>100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 t="s">
        <v>3160</v>
      </c>
      <c r="Z178" s="19" t="s">
        <v>3161</v>
      </c>
      <c r="AA178" s="19" t="s">
        <v>103</v>
      </c>
      <c r="AB178" s="19" t="s">
        <v>3162</v>
      </c>
      <c r="AC178" s="19" t="s">
        <v>3163</v>
      </c>
      <c r="AD178" s="19" t="s">
        <v>3164</v>
      </c>
      <c r="AE178" s="19" t="s">
        <v>3165</v>
      </c>
      <c r="AF178" s="19"/>
      <c r="AG178" s="19" t="s">
        <v>3166</v>
      </c>
      <c r="AH178" s="19"/>
      <c r="AI178" s="19" t="s">
        <v>3167</v>
      </c>
      <c r="AJ178" s="19" t="s">
        <v>3168</v>
      </c>
      <c r="AK178" s="19"/>
      <c r="AL178" s="19"/>
      <c r="AM178" s="19" t="s">
        <v>3169</v>
      </c>
      <c r="AN178" s="19" t="s">
        <v>3170</v>
      </c>
      <c r="AO178" s="19" t="s">
        <v>3171</v>
      </c>
      <c r="AP178" s="19" t="s">
        <v>3172</v>
      </c>
      <c r="AQ178" s="19" t="s">
        <v>94</v>
      </c>
      <c r="AR178" s="19" t="s">
        <v>3173</v>
      </c>
      <c r="AS178" s="19" t="s">
        <v>3174</v>
      </c>
      <c r="AT178" s="19" t="s">
        <v>3175</v>
      </c>
      <c r="AU178" s="19"/>
      <c r="AV178" s="19" t="s">
        <v>219</v>
      </c>
      <c r="AW178" s="19" t="s">
        <v>3176</v>
      </c>
      <c r="AX178" s="19" t="s">
        <v>124</v>
      </c>
      <c r="AY178" s="19" t="s">
        <v>3177</v>
      </c>
      <c r="AZ178" s="19" t="s">
        <v>3178</v>
      </c>
      <c r="BA178" s="20">
        <v>43529</v>
      </c>
      <c r="BB178" s="19" t="s">
        <v>3179</v>
      </c>
      <c r="BC178" s="19" t="s">
        <v>219</v>
      </c>
      <c r="BD178" s="19" t="s">
        <v>129</v>
      </c>
      <c r="BE178" s="19" t="s">
        <v>3180</v>
      </c>
      <c r="BF178" s="19" t="s">
        <v>3181</v>
      </c>
      <c r="BG178" s="19"/>
      <c r="BH178" s="19" t="s">
        <v>3182</v>
      </c>
      <c r="BI178" s="19" t="s">
        <v>3182</v>
      </c>
      <c r="BJ178" s="19" t="s">
        <v>194</v>
      </c>
      <c r="BK178" s="19" t="s">
        <v>3183</v>
      </c>
      <c r="BL178" s="19" t="s">
        <v>109</v>
      </c>
      <c r="BM178" s="19" t="s">
        <v>135</v>
      </c>
      <c r="BN178" s="21">
        <v>2191.8420000000001</v>
      </c>
      <c r="BO178" s="21">
        <v>90386.961211799993</v>
      </c>
      <c r="BQ178" s="2"/>
      <c r="BR178" s="2"/>
      <c r="BS178" s="2"/>
      <c r="BT178" s="2"/>
      <c r="BU178" s="22"/>
      <c r="BV178" s="2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</row>
    <row r="179" spans="1:95" x14ac:dyDescent="0.25">
      <c r="A179" s="18">
        <v>176</v>
      </c>
      <c r="B179" s="19" t="s">
        <v>3184</v>
      </c>
      <c r="C179" s="19" t="s">
        <v>3185</v>
      </c>
      <c r="D179" s="20">
        <v>46020</v>
      </c>
      <c r="E179" s="20">
        <v>36438</v>
      </c>
      <c r="F179" s="19"/>
      <c r="G179" s="19"/>
      <c r="H179" s="19" t="s">
        <v>94</v>
      </c>
      <c r="I179" s="19"/>
      <c r="J179" s="19"/>
      <c r="K179" s="19"/>
      <c r="L179" s="19" t="s">
        <v>140</v>
      </c>
      <c r="M179" s="19" t="s">
        <v>141</v>
      </c>
      <c r="N179" s="19" t="s">
        <v>3186</v>
      </c>
      <c r="O179" s="19" t="s">
        <v>100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 t="s">
        <v>101</v>
      </c>
      <c r="Z179" s="19" t="s">
        <v>102</v>
      </c>
      <c r="AA179" s="19" t="s">
        <v>103</v>
      </c>
      <c r="AB179" s="19" t="s">
        <v>1025</v>
      </c>
      <c r="AC179" s="19" t="s">
        <v>1026</v>
      </c>
      <c r="AD179" s="19" t="s">
        <v>3187</v>
      </c>
      <c r="AE179" s="19"/>
      <c r="AF179" s="19"/>
      <c r="AG179" s="19" t="s">
        <v>3188</v>
      </c>
      <c r="AH179" s="19" t="s">
        <v>327</v>
      </c>
      <c r="AI179" s="19" t="s">
        <v>111</v>
      </c>
      <c r="AJ179" s="19" t="s">
        <v>3189</v>
      </c>
      <c r="AK179" s="19"/>
      <c r="AL179" s="19"/>
      <c r="AM179" s="19" t="s">
        <v>3190</v>
      </c>
      <c r="AN179" s="19" t="s">
        <v>3191</v>
      </c>
      <c r="AO179" s="19" t="s">
        <v>579</v>
      </c>
      <c r="AP179" s="19" t="s">
        <v>580</v>
      </c>
      <c r="AQ179" s="19" t="s">
        <v>117</v>
      </c>
      <c r="AR179" s="19" t="s">
        <v>581</v>
      </c>
      <c r="AS179" s="19" t="s">
        <v>582</v>
      </c>
      <c r="AT179" s="19" t="s">
        <v>583</v>
      </c>
      <c r="AU179" s="19" t="s">
        <v>584</v>
      </c>
      <c r="AV179" s="19" t="s">
        <v>168</v>
      </c>
      <c r="AW179" s="19" t="s">
        <v>585</v>
      </c>
      <c r="AX179" s="19" t="s">
        <v>262</v>
      </c>
      <c r="AY179" s="19" t="s">
        <v>586</v>
      </c>
      <c r="AZ179" s="19" t="s">
        <v>587</v>
      </c>
      <c r="BA179" s="20">
        <v>44494</v>
      </c>
      <c r="BB179" s="19" t="s">
        <v>331</v>
      </c>
      <c r="BC179" s="19" t="s">
        <v>3192</v>
      </c>
      <c r="BD179" s="19" t="s">
        <v>3193</v>
      </c>
      <c r="BE179" s="19" t="s">
        <v>130</v>
      </c>
      <c r="BF179" s="19" t="s">
        <v>3194</v>
      </c>
      <c r="BG179" s="19"/>
      <c r="BH179" s="19" t="s">
        <v>3195</v>
      </c>
      <c r="BI179" s="19" t="s">
        <v>3195</v>
      </c>
      <c r="BJ179" s="19" t="s">
        <v>194</v>
      </c>
      <c r="BK179" s="19" t="s">
        <v>591</v>
      </c>
      <c r="BL179" s="19" t="s">
        <v>122</v>
      </c>
      <c r="BM179" s="19" t="s">
        <v>592</v>
      </c>
      <c r="BN179" s="21">
        <v>287.82600000000002</v>
      </c>
      <c r="BO179" s="21">
        <v>10011.9698448</v>
      </c>
      <c r="BQ179" s="2"/>
      <c r="BR179" s="2"/>
      <c r="BS179" s="2"/>
      <c r="BT179" s="2"/>
      <c r="BU179" s="22"/>
      <c r="BV179" s="2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</row>
    <row r="180" spans="1:95" x14ac:dyDescent="0.25">
      <c r="A180" s="18">
        <v>177</v>
      </c>
      <c r="B180" s="19" t="s">
        <v>3196</v>
      </c>
      <c r="C180" s="19" t="s">
        <v>3197</v>
      </c>
      <c r="D180" s="20">
        <v>46017</v>
      </c>
      <c r="E180" s="20">
        <v>33197</v>
      </c>
      <c r="F180" s="19" t="s">
        <v>3198</v>
      </c>
      <c r="G180" s="19" t="s">
        <v>139</v>
      </c>
      <c r="H180" s="19" t="s">
        <v>94</v>
      </c>
      <c r="I180" s="19"/>
      <c r="J180" s="19"/>
      <c r="K180" s="19"/>
      <c r="L180" s="19" t="s">
        <v>244</v>
      </c>
      <c r="M180" s="19" t="s">
        <v>245</v>
      </c>
      <c r="N180" s="19" t="s">
        <v>3199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 t="s">
        <v>101</v>
      </c>
      <c r="Z180" s="19" t="s">
        <v>102</v>
      </c>
      <c r="AA180" s="19" t="s">
        <v>103</v>
      </c>
      <c r="AB180" s="19" t="s">
        <v>173</v>
      </c>
      <c r="AC180" s="19" t="s">
        <v>174</v>
      </c>
      <c r="AD180" s="19" t="s">
        <v>3200</v>
      </c>
      <c r="AE180" s="19" t="s">
        <v>3201</v>
      </c>
      <c r="AF180" s="19" t="s">
        <v>3202</v>
      </c>
      <c r="AG180" s="19" t="s">
        <v>148</v>
      </c>
      <c r="AH180" s="19" t="s">
        <v>149</v>
      </c>
      <c r="AI180" s="19" t="s">
        <v>111</v>
      </c>
      <c r="AJ180" s="19" t="s">
        <v>3203</v>
      </c>
      <c r="AK180" s="19"/>
      <c r="AL180" s="19"/>
      <c r="AM180" s="19" t="s">
        <v>3204</v>
      </c>
      <c r="AN180" s="19" t="s">
        <v>3205</v>
      </c>
      <c r="AO180" s="19" t="s">
        <v>255</v>
      </c>
      <c r="AP180" s="19" t="s">
        <v>256</v>
      </c>
      <c r="AQ180" s="19" t="s">
        <v>117</v>
      </c>
      <c r="AR180" s="19" t="s">
        <v>257</v>
      </c>
      <c r="AS180" s="19" t="s">
        <v>258</v>
      </c>
      <c r="AT180" s="19" t="s">
        <v>259</v>
      </c>
      <c r="AU180" s="19" t="s">
        <v>260</v>
      </c>
      <c r="AV180" s="19" t="s">
        <v>260</v>
      </c>
      <c r="AW180" s="19" t="s">
        <v>261</v>
      </c>
      <c r="AX180" s="19" t="s">
        <v>262</v>
      </c>
      <c r="AY180" s="19" t="s">
        <v>263</v>
      </c>
      <c r="AZ180" s="19" t="s">
        <v>264</v>
      </c>
      <c r="BA180" s="20">
        <v>43627</v>
      </c>
      <c r="BB180" s="19" t="s">
        <v>479</v>
      </c>
      <c r="BC180" s="19" t="s">
        <v>3206</v>
      </c>
      <c r="BD180" s="19" t="s">
        <v>1004</v>
      </c>
      <c r="BE180" s="19" t="s">
        <v>130</v>
      </c>
      <c r="BF180" s="19" t="s">
        <v>3207</v>
      </c>
      <c r="BG180" s="19"/>
      <c r="BH180" s="19" t="s">
        <v>3208</v>
      </c>
      <c r="BI180" s="19" t="s">
        <v>3208</v>
      </c>
      <c r="BJ180" s="19" t="s">
        <v>166</v>
      </c>
      <c r="BK180" s="19" t="s">
        <v>167</v>
      </c>
      <c r="BL180" s="19" t="s">
        <v>168</v>
      </c>
      <c r="BM180" s="19" t="s">
        <v>169</v>
      </c>
      <c r="BN180" s="21">
        <v>5.5830000000000002</v>
      </c>
      <c r="BO180" s="21">
        <v>197.77330860000001</v>
      </c>
      <c r="BQ180" s="2"/>
      <c r="BR180" s="2"/>
      <c r="BS180" s="2"/>
      <c r="BT180" s="2"/>
      <c r="BU180" s="22"/>
      <c r="BV180" s="2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</row>
    <row r="181" spans="1:95" x14ac:dyDescent="0.25">
      <c r="A181" s="18">
        <v>178</v>
      </c>
      <c r="B181" s="19" t="s">
        <v>3209</v>
      </c>
      <c r="C181" s="19" t="s">
        <v>3210</v>
      </c>
      <c r="D181" s="20">
        <v>46017</v>
      </c>
      <c r="E181" s="20">
        <v>35782</v>
      </c>
      <c r="F181" s="19"/>
      <c r="G181" s="19"/>
      <c r="H181" s="19" t="s">
        <v>94</v>
      </c>
      <c r="I181" s="19"/>
      <c r="J181" s="19"/>
      <c r="K181" s="19"/>
      <c r="L181" s="19" t="s">
        <v>244</v>
      </c>
      <c r="M181" s="19" t="s">
        <v>245</v>
      </c>
      <c r="N181" s="19" t="s">
        <v>3211</v>
      </c>
      <c r="O181" s="19" t="s">
        <v>100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 t="s">
        <v>101</v>
      </c>
      <c r="Z181" s="19" t="s">
        <v>102</v>
      </c>
      <c r="AA181" s="19" t="s">
        <v>103</v>
      </c>
      <c r="AB181" s="19" t="s">
        <v>143</v>
      </c>
      <c r="AC181" s="19" t="s">
        <v>144</v>
      </c>
      <c r="AD181" s="19" t="s">
        <v>3212</v>
      </c>
      <c r="AE181" s="19" t="s">
        <v>3213</v>
      </c>
      <c r="AF181" s="19"/>
      <c r="AG181" s="19" t="s">
        <v>1140</v>
      </c>
      <c r="AH181" s="19" t="s">
        <v>327</v>
      </c>
      <c r="AI181" s="19" t="s">
        <v>111</v>
      </c>
      <c r="AJ181" s="19" t="s">
        <v>3214</v>
      </c>
      <c r="AK181" s="19"/>
      <c r="AL181" s="19"/>
      <c r="AM181" s="19" t="s">
        <v>3215</v>
      </c>
      <c r="AN181" s="19" t="s">
        <v>3216</v>
      </c>
      <c r="AO181" s="19" t="s">
        <v>255</v>
      </c>
      <c r="AP181" s="19" t="s">
        <v>256</v>
      </c>
      <c r="AQ181" s="19" t="s">
        <v>117</v>
      </c>
      <c r="AR181" s="19" t="s">
        <v>257</v>
      </c>
      <c r="AS181" s="19" t="s">
        <v>258</v>
      </c>
      <c r="AT181" s="19" t="s">
        <v>259</v>
      </c>
      <c r="AU181" s="19" t="s">
        <v>260</v>
      </c>
      <c r="AV181" s="19" t="s">
        <v>260</v>
      </c>
      <c r="AW181" s="19" t="s">
        <v>261</v>
      </c>
      <c r="AX181" s="19" t="s">
        <v>262</v>
      </c>
      <c r="AY181" s="19" t="s">
        <v>263</v>
      </c>
      <c r="AZ181" s="19" t="s">
        <v>264</v>
      </c>
      <c r="BA181" s="20">
        <v>43627</v>
      </c>
      <c r="BB181" s="19" t="s">
        <v>331</v>
      </c>
      <c r="BC181" s="19" t="s">
        <v>3217</v>
      </c>
      <c r="BD181" s="19" t="s">
        <v>1140</v>
      </c>
      <c r="BE181" s="19" t="s">
        <v>130</v>
      </c>
      <c r="BF181" s="19" t="s">
        <v>3218</v>
      </c>
      <c r="BG181" s="19"/>
      <c r="BH181" s="19" t="s">
        <v>3219</v>
      </c>
      <c r="BI181" s="19" t="s">
        <v>3219</v>
      </c>
      <c r="BJ181" s="19" t="s">
        <v>194</v>
      </c>
      <c r="BK181" s="19" t="s">
        <v>195</v>
      </c>
      <c r="BL181" s="19" t="s">
        <v>122</v>
      </c>
      <c r="BM181" s="19" t="s">
        <v>196</v>
      </c>
      <c r="BN181" s="21">
        <v>13.365</v>
      </c>
      <c r="BO181" s="21">
        <v>509.07285000000002</v>
      </c>
      <c r="BQ181" s="2"/>
      <c r="BR181" s="2"/>
      <c r="BS181" s="2"/>
      <c r="BT181" s="2"/>
      <c r="BU181" s="22"/>
      <c r="BV181" s="2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</row>
    <row r="182" spans="1:95" x14ac:dyDescent="0.25">
      <c r="A182" s="18">
        <v>179</v>
      </c>
      <c r="B182" s="19" t="s">
        <v>3220</v>
      </c>
      <c r="C182" s="19" t="s">
        <v>3221</v>
      </c>
      <c r="D182" s="20">
        <v>46017</v>
      </c>
      <c r="E182" s="20">
        <v>38745</v>
      </c>
      <c r="F182" s="19" t="s">
        <v>3222</v>
      </c>
      <c r="G182" s="19" t="s">
        <v>139</v>
      </c>
      <c r="H182" s="19" t="s">
        <v>94</v>
      </c>
      <c r="I182" s="19"/>
      <c r="J182" s="19"/>
      <c r="K182" s="19"/>
      <c r="L182" s="19" t="s">
        <v>140</v>
      </c>
      <c r="M182" s="19" t="s">
        <v>141</v>
      </c>
      <c r="N182" s="19" t="s">
        <v>3223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 t="s">
        <v>101</v>
      </c>
      <c r="Z182" s="19" t="s">
        <v>102</v>
      </c>
      <c r="AA182" s="19" t="s">
        <v>103</v>
      </c>
      <c r="AB182" s="19" t="s">
        <v>173</v>
      </c>
      <c r="AC182" s="19" t="s">
        <v>174</v>
      </c>
      <c r="AD182" s="19" t="s">
        <v>3224</v>
      </c>
      <c r="AE182" s="19" t="s">
        <v>3225</v>
      </c>
      <c r="AF182" s="19"/>
      <c r="AG182" s="19" t="s">
        <v>3226</v>
      </c>
      <c r="AH182" s="19" t="s">
        <v>149</v>
      </c>
      <c r="AI182" s="19"/>
      <c r="AJ182" s="19" t="s">
        <v>3227</v>
      </c>
      <c r="AK182" s="19"/>
      <c r="AL182" s="19" t="s">
        <v>3228</v>
      </c>
      <c r="AM182" s="19" t="s">
        <v>3229</v>
      </c>
      <c r="AN182" s="19" t="s">
        <v>3230</v>
      </c>
      <c r="AO182" s="19" t="s">
        <v>154</v>
      </c>
      <c r="AP182" s="19" t="s">
        <v>155</v>
      </c>
      <c r="AQ182" s="19" t="s">
        <v>117</v>
      </c>
      <c r="AR182" s="19" t="s">
        <v>156</v>
      </c>
      <c r="AS182" s="19" t="s">
        <v>157</v>
      </c>
      <c r="AT182" s="19" t="s">
        <v>158</v>
      </c>
      <c r="AU182" s="19"/>
      <c r="AV182" s="19" t="s">
        <v>122</v>
      </c>
      <c r="AW182" s="19"/>
      <c r="AX182" s="19" t="s">
        <v>124</v>
      </c>
      <c r="AY182" s="19" t="s">
        <v>159</v>
      </c>
      <c r="AZ182" s="19" t="s">
        <v>160</v>
      </c>
      <c r="BA182" s="20">
        <v>44676</v>
      </c>
      <c r="BB182" s="19" t="s">
        <v>236</v>
      </c>
      <c r="BC182" s="19" t="s">
        <v>3231</v>
      </c>
      <c r="BD182" s="19" t="s">
        <v>3231</v>
      </c>
      <c r="BE182" s="19" t="s">
        <v>130</v>
      </c>
      <c r="BF182" s="19" t="s">
        <v>3232</v>
      </c>
      <c r="BG182" s="19"/>
      <c r="BH182" s="19" t="s">
        <v>3233</v>
      </c>
      <c r="BI182" s="19" t="s">
        <v>3233</v>
      </c>
      <c r="BJ182" s="19" t="s">
        <v>166</v>
      </c>
      <c r="BK182" s="19" t="s">
        <v>167</v>
      </c>
      <c r="BL182" s="19" t="s">
        <v>168</v>
      </c>
      <c r="BM182" s="19" t="s">
        <v>169</v>
      </c>
      <c r="BN182" s="21">
        <v>3.0979999999999999</v>
      </c>
      <c r="BO182" s="21">
        <v>109.7441716</v>
      </c>
      <c r="BQ182" s="2"/>
      <c r="BR182" s="2"/>
      <c r="BS182" s="2"/>
      <c r="BT182" s="2"/>
      <c r="BU182" s="22"/>
      <c r="BV182" s="2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</row>
    <row r="183" spans="1:95" x14ac:dyDescent="0.25">
      <c r="A183" s="18">
        <v>180</v>
      </c>
      <c r="B183" s="19" t="s">
        <v>3234</v>
      </c>
      <c r="C183" s="19" t="s">
        <v>3235</v>
      </c>
      <c r="D183" s="20">
        <v>45999</v>
      </c>
      <c r="E183" s="20">
        <v>26077</v>
      </c>
      <c r="F183" s="19"/>
      <c r="G183" s="19"/>
      <c r="H183" s="19" t="s">
        <v>94</v>
      </c>
      <c r="I183" s="19"/>
      <c r="J183" s="19" t="s">
        <v>95</v>
      </c>
      <c r="K183" s="19" t="s">
        <v>96</v>
      </c>
      <c r="L183" s="19" t="s">
        <v>1825</v>
      </c>
      <c r="M183" s="19" t="s">
        <v>610</v>
      </c>
      <c r="N183" s="19" t="s">
        <v>3236</v>
      </c>
      <c r="O183" s="19" t="s">
        <v>100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 t="s">
        <v>101</v>
      </c>
      <c r="Z183" s="19" t="s">
        <v>102</v>
      </c>
      <c r="AA183" s="19" t="s">
        <v>103</v>
      </c>
      <c r="AB183" s="19" t="s">
        <v>1222</v>
      </c>
      <c r="AC183" s="19" t="s">
        <v>1223</v>
      </c>
      <c r="AD183" s="19" t="s">
        <v>3237</v>
      </c>
      <c r="AE183" s="19" t="s">
        <v>3238</v>
      </c>
      <c r="AF183" s="19"/>
      <c r="AG183" s="19" t="s">
        <v>1376</v>
      </c>
      <c r="AH183" s="19" t="s">
        <v>231</v>
      </c>
      <c r="AI183" s="19" t="s">
        <v>111</v>
      </c>
      <c r="AJ183" s="19" t="s">
        <v>1377</v>
      </c>
      <c r="AK183" s="19"/>
      <c r="AL183" s="19"/>
      <c r="AM183" s="19" t="s">
        <v>3239</v>
      </c>
      <c r="AN183" s="19" t="s">
        <v>3240</v>
      </c>
      <c r="AO183" s="19" t="s">
        <v>3241</v>
      </c>
      <c r="AP183" s="19" t="s">
        <v>3242</v>
      </c>
      <c r="AQ183" s="19" t="s">
        <v>117</v>
      </c>
      <c r="AR183" s="19" t="s">
        <v>3243</v>
      </c>
      <c r="AS183" s="19" t="s">
        <v>3244</v>
      </c>
      <c r="AT183" s="19" t="s">
        <v>3245</v>
      </c>
      <c r="AU183" s="19" t="s">
        <v>3246</v>
      </c>
      <c r="AV183" s="19" t="s">
        <v>1390</v>
      </c>
      <c r="AW183" s="19" t="s">
        <v>3247</v>
      </c>
      <c r="AX183" s="19" t="s">
        <v>231</v>
      </c>
      <c r="AY183" s="19" t="s">
        <v>3248</v>
      </c>
      <c r="AZ183" s="19" t="s">
        <v>3249</v>
      </c>
      <c r="BA183" s="20">
        <v>42732</v>
      </c>
      <c r="BB183" s="19" t="s">
        <v>331</v>
      </c>
      <c r="BC183" s="19" t="s">
        <v>1376</v>
      </c>
      <c r="BD183" s="19" t="s">
        <v>1376</v>
      </c>
      <c r="BE183" s="19" t="s">
        <v>130</v>
      </c>
      <c r="BF183" s="19" t="s">
        <v>3250</v>
      </c>
      <c r="BG183" s="19" t="s">
        <v>3251</v>
      </c>
      <c r="BH183" s="19" t="s">
        <v>3252</v>
      </c>
      <c r="BI183" s="19" t="s">
        <v>3252</v>
      </c>
      <c r="BJ183" s="19" t="s">
        <v>166</v>
      </c>
      <c r="BK183" s="19" t="s">
        <v>1395</v>
      </c>
      <c r="BL183" s="19" t="s">
        <v>1390</v>
      </c>
      <c r="BM183" s="19" t="s">
        <v>135</v>
      </c>
      <c r="BN183" s="21">
        <v>6.92</v>
      </c>
      <c r="BO183" s="21">
        <v>1518.0404000000001</v>
      </c>
      <c r="BQ183" s="2"/>
      <c r="BR183" s="2"/>
      <c r="BS183" s="2"/>
      <c r="BT183" s="2"/>
      <c r="BU183" s="22"/>
      <c r="BV183" s="2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</row>
    <row r="184" spans="1:95" x14ac:dyDescent="0.25">
      <c r="A184" s="18">
        <v>181</v>
      </c>
      <c r="B184" s="19" t="s">
        <v>3253</v>
      </c>
      <c r="C184" s="19" t="s">
        <v>3254</v>
      </c>
      <c r="D184" s="20">
        <v>46022</v>
      </c>
      <c r="E184" s="20">
        <v>35174</v>
      </c>
      <c r="F184" s="19" t="s">
        <v>3255</v>
      </c>
      <c r="G184" s="19" t="s">
        <v>139</v>
      </c>
      <c r="H184" s="19" t="s">
        <v>94</v>
      </c>
      <c r="I184" s="19"/>
      <c r="J184" s="19"/>
      <c r="K184" s="19"/>
      <c r="L184" s="19" t="s">
        <v>101</v>
      </c>
      <c r="M184" s="19" t="s">
        <v>290</v>
      </c>
      <c r="N184" s="19" t="s">
        <v>3256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 t="s">
        <v>101</v>
      </c>
      <c r="Z184" s="19" t="s">
        <v>102</v>
      </c>
      <c r="AA184" s="19" t="s">
        <v>103</v>
      </c>
      <c r="AB184" s="19" t="s">
        <v>247</v>
      </c>
      <c r="AC184" s="19" t="s">
        <v>248</v>
      </c>
      <c r="AD184" s="19" t="s">
        <v>3257</v>
      </c>
      <c r="AE184" s="19" t="s">
        <v>3258</v>
      </c>
      <c r="AF184" s="19" t="s">
        <v>3259</v>
      </c>
      <c r="AG184" s="19" t="s">
        <v>3260</v>
      </c>
      <c r="AH184" s="19" t="s">
        <v>124</v>
      </c>
      <c r="AI184" s="19" t="s">
        <v>111</v>
      </c>
      <c r="AJ184" s="19" t="s">
        <v>3261</v>
      </c>
      <c r="AK184" s="19"/>
      <c r="AL184" s="19"/>
      <c r="AM184" s="19" t="s">
        <v>3262</v>
      </c>
      <c r="AN184" s="19" t="s">
        <v>3263</v>
      </c>
      <c r="AO184" s="19" t="s">
        <v>255</v>
      </c>
      <c r="AP184" s="19" t="s">
        <v>256</v>
      </c>
      <c r="AQ184" s="19" t="s">
        <v>117</v>
      </c>
      <c r="AR184" s="19" t="s">
        <v>257</v>
      </c>
      <c r="AS184" s="19" t="s">
        <v>258</v>
      </c>
      <c r="AT184" s="19" t="s">
        <v>259</v>
      </c>
      <c r="AU184" s="19" t="s">
        <v>260</v>
      </c>
      <c r="AV184" s="19" t="s">
        <v>260</v>
      </c>
      <c r="AW184" s="19" t="s">
        <v>261</v>
      </c>
      <c r="AX184" s="19" t="s">
        <v>262</v>
      </c>
      <c r="AY184" s="19" t="s">
        <v>263</v>
      </c>
      <c r="AZ184" s="19" t="s">
        <v>264</v>
      </c>
      <c r="BA184" s="20">
        <v>43627</v>
      </c>
      <c r="BB184" s="19" t="s">
        <v>479</v>
      </c>
      <c r="BC184" s="19" t="s">
        <v>3264</v>
      </c>
      <c r="BD184" s="19" t="s">
        <v>623</v>
      </c>
      <c r="BE184" s="19" t="s">
        <v>130</v>
      </c>
      <c r="BF184" s="19" t="s">
        <v>3265</v>
      </c>
      <c r="BG184" s="19"/>
      <c r="BH184" s="19" t="s">
        <v>3266</v>
      </c>
      <c r="BI184" s="19" t="s">
        <v>3266</v>
      </c>
      <c r="BJ184" s="19" t="s">
        <v>166</v>
      </c>
      <c r="BK184" s="19" t="s">
        <v>167</v>
      </c>
      <c r="BL184" s="19" t="s">
        <v>168</v>
      </c>
      <c r="BM184" s="19" t="s">
        <v>169</v>
      </c>
      <c r="BN184" s="21">
        <v>11.401999999999999</v>
      </c>
      <c r="BO184" s="21">
        <v>4999.9183848000002</v>
      </c>
      <c r="BQ184" s="2"/>
      <c r="BR184" s="2"/>
      <c r="BS184" s="2"/>
      <c r="BT184" s="2"/>
      <c r="BU184" s="22"/>
      <c r="BV184" s="2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</row>
    <row r="185" spans="1:95" x14ac:dyDescent="0.25">
      <c r="A185" s="18">
        <v>182</v>
      </c>
      <c r="B185" s="19" t="s">
        <v>3267</v>
      </c>
      <c r="C185" s="19" t="s">
        <v>3268</v>
      </c>
      <c r="D185" s="20">
        <v>45998</v>
      </c>
      <c r="E185" s="20">
        <v>35029</v>
      </c>
      <c r="F185" s="19"/>
      <c r="G185" s="19"/>
      <c r="H185" s="19" t="s">
        <v>94</v>
      </c>
      <c r="I185" s="19"/>
      <c r="J185" s="19"/>
      <c r="K185" s="19"/>
      <c r="L185" s="19" t="s">
        <v>289</v>
      </c>
      <c r="M185" s="19" t="s">
        <v>290</v>
      </c>
      <c r="N185" s="19" t="s">
        <v>3269</v>
      </c>
      <c r="O185" s="19" t="s">
        <v>100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 t="s">
        <v>101</v>
      </c>
      <c r="Z185" s="19" t="s">
        <v>102</v>
      </c>
      <c r="AA185" s="19" t="s">
        <v>103</v>
      </c>
      <c r="AB185" s="19" t="s">
        <v>487</v>
      </c>
      <c r="AC185" s="19" t="s">
        <v>488</v>
      </c>
      <c r="AD185" s="19" t="s">
        <v>3270</v>
      </c>
      <c r="AE185" s="19"/>
      <c r="AF185" s="19"/>
      <c r="AG185" s="19" t="s">
        <v>3271</v>
      </c>
      <c r="AH185" s="19" t="s">
        <v>262</v>
      </c>
      <c r="AI185" s="19" t="s">
        <v>111</v>
      </c>
      <c r="AJ185" s="19" t="s">
        <v>3272</v>
      </c>
      <c r="AK185" s="19"/>
      <c r="AL185" s="19"/>
      <c r="AM185" s="19" t="s">
        <v>3273</v>
      </c>
      <c r="AN185" s="19" t="s">
        <v>3274</v>
      </c>
      <c r="AO185" s="19" t="s">
        <v>494</v>
      </c>
      <c r="AP185" s="19" t="s">
        <v>495</v>
      </c>
      <c r="AQ185" s="19" t="s">
        <v>117</v>
      </c>
      <c r="AR185" s="19" t="s">
        <v>496</v>
      </c>
      <c r="AS185" s="19" t="s">
        <v>497</v>
      </c>
      <c r="AT185" s="19" t="s">
        <v>498</v>
      </c>
      <c r="AU185" s="19" t="s">
        <v>499</v>
      </c>
      <c r="AV185" s="19" t="s">
        <v>168</v>
      </c>
      <c r="AW185" s="19" t="s">
        <v>500</v>
      </c>
      <c r="AX185" s="19" t="s">
        <v>262</v>
      </c>
      <c r="AY185" s="19" t="s">
        <v>501</v>
      </c>
      <c r="AZ185" s="19" t="s">
        <v>502</v>
      </c>
      <c r="BA185" s="20">
        <v>45832</v>
      </c>
      <c r="BB185" s="19" t="s">
        <v>331</v>
      </c>
      <c r="BC185" s="19" t="s">
        <v>3275</v>
      </c>
      <c r="BD185" s="19" t="s">
        <v>260</v>
      </c>
      <c r="BE185" s="19" t="s">
        <v>130</v>
      </c>
      <c r="BF185" s="19" t="s">
        <v>3276</v>
      </c>
      <c r="BG185" s="19"/>
      <c r="BH185" s="19" t="s">
        <v>3277</v>
      </c>
      <c r="BI185" s="19" t="s">
        <v>3277</v>
      </c>
      <c r="BJ185" s="19" t="s">
        <v>166</v>
      </c>
      <c r="BK185" s="19" t="s">
        <v>167</v>
      </c>
      <c r="BL185" s="19" t="s">
        <v>168</v>
      </c>
      <c r="BM185" s="19" t="s">
        <v>169</v>
      </c>
      <c r="BN185" s="21">
        <v>0.46400000000000002</v>
      </c>
      <c r="BO185" s="21">
        <v>200.91515519999999</v>
      </c>
      <c r="BQ185" s="2"/>
      <c r="BR185" s="2"/>
      <c r="BS185" s="2"/>
      <c r="BT185" s="2"/>
      <c r="BU185" s="22"/>
      <c r="BV185" s="2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</row>
    <row r="186" spans="1:95" x14ac:dyDescent="0.25">
      <c r="A186" s="18">
        <v>183</v>
      </c>
      <c r="B186" s="19" t="s">
        <v>3278</v>
      </c>
      <c r="C186" s="19" t="s">
        <v>3279</v>
      </c>
      <c r="D186" s="20">
        <v>45999</v>
      </c>
      <c r="E186" s="20">
        <v>35344</v>
      </c>
      <c r="F186" s="19"/>
      <c r="G186" s="19"/>
      <c r="H186" s="19" t="s">
        <v>94</v>
      </c>
      <c r="I186" s="19"/>
      <c r="J186" s="19"/>
      <c r="K186" s="19"/>
      <c r="L186" s="19" t="s">
        <v>2080</v>
      </c>
      <c r="M186" s="19" t="s">
        <v>141</v>
      </c>
      <c r="N186" s="19" t="s">
        <v>3280</v>
      </c>
      <c r="O186" s="19" t="s">
        <v>100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 t="s">
        <v>101</v>
      </c>
      <c r="Z186" s="19" t="s">
        <v>102</v>
      </c>
      <c r="AA186" s="19" t="s">
        <v>103</v>
      </c>
      <c r="AB186" s="19" t="s">
        <v>402</v>
      </c>
      <c r="AC186" s="19" t="s">
        <v>403</v>
      </c>
      <c r="AD186" s="19" t="s">
        <v>3281</v>
      </c>
      <c r="AE186" s="19"/>
      <c r="AF186" s="19" t="s">
        <v>3282</v>
      </c>
      <c r="AG186" s="19" t="s">
        <v>3283</v>
      </c>
      <c r="AH186" s="19" t="s">
        <v>1015</v>
      </c>
      <c r="AI186" s="19" t="s">
        <v>111</v>
      </c>
      <c r="AJ186" s="19" t="s">
        <v>3284</v>
      </c>
      <c r="AK186" s="19"/>
      <c r="AL186" s="19" t="s">
        <v>3285</v>
      </c>
      <c r="AM186" s="19" t="s">
        <v>3286</v>
      </c>
      <c r="AN186" s="19" t="s">
        <v>3287</v>
      </c>
      <c r="AO186" s="19" t="s">
        <v>2088</v>
      </c>
      <c r="AP186" s="19" t="s">
        <v>2089</v>
      </c>
      <c r="AQ186" s="19" t="s">
        <v>94</v>
      </c>
      <c r="AR186" s="19" t="s">
        <v>2090</v>
      </c>
      <c r="AS186" s="19" t="s">
        <v>2091</v>
      </c>
      <c r="AT186" s="19" t="s">
        <v>2092</v>
      </c>
      <c r="AU186" s="19" t="s">
        <v>2093</v>
      </c>
      <c r="AV186" s="19" t="s">
        <v>122</v>
      </c>
      <c r="AW186" s="19" t="s">
        <v>2094</v>
      </c>
      <c r="AX186" s="19" t="s">
        <v>901</v>
      </c>
      <c r="AY186" s="19" t="s">
        <v>2095</v>
      </c>
      <c r="AZ186" s="19" t="s">
        <v>2096</v>
      </c>
      <c r="BA186" s="20">
        <v>39974</v>
      </c>
      <c r="BB186" s="19" t="s">
        <v>2097</v>
      </c>
      <c r="BC186" s="19" t="s">
        <v>3288</v>
      </c>
      <c r="BD186" s="19" t="s">
        <v>1300</v>
      </c>
      <c r="BE186" s="19" t="s">
        <v>130</v>
      </c>
      <c r="BF186" s="19" t="s">
        <v>3289</v>
      </c>
      <c r="BG186" s="19" t="s">
        <v>3290</v>
      </c>
      <c r="BH186" s="19" t="s">
        <v>3291</v>
      </c>
      <c r="BI186" s="19" t="s">
        <v>3291</v>
      </c>
      <c r="BJ186" s="19" t="s">
        <v>1259</v>
      </c>
      <c r="BK186" s="19" t="s">
        <v>195</v>
      </c>
      <c r="BL186" s="19" t="s">
        <v>122</v>
      </c>
      <c r="BM186" s="19" t="s">
        <v>196</v>
      </c>
      <c r="BN186" s="21">
        <v>1.877</v>
      </c>
      <c r="BO186" s="21">
        <v>3553.7804099999998</v>
      </c>
      <c r="BQ186" s="2"/>
      <c r="BR186" s="2"/>
      <c r="BS186" s="2"/>
      <c r="BT186" s="2"/>
      <c r="BU186" s="22"/>
      <c r="BV186" s="2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</row>
    <row r="187" spans="1:95" x14ac:dyDescent="0.25">
      <c r="A187" s="18">
        <v>184</v>
      </c>
      <c r="B187" s="19" t="s">
        <v>3292</v>
      </c>
      <c r="C187" s="19" t="s">
        <v>3293</v>
      </c>
      <c r="D187" s="20">
        <v>45992</v>
      </c>
      <c r="E187" s="20">
        <v>31975</v>
      </c>
      <c r="F187" s="19" t="s">
        <v>3294</v>
      </c>
      <c r="G187" s="19" t="s">
        <v>139</v>
      </c>
      <c r="H187" s="19" t="s">
        <v>94</v>
      </c>
      <c r="I187" s="19"/>
      <c r="J187" s="19"/>
      <c r="K187" s="19"/>
      <c r="L187" s="19" t="s">
        <v>244</v>
      </c>
      <c r="M187" s="19" t="s">
        <v>245</v>
      </c>
      <c r="N187" s="19" t="s">
        <v>3295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 t="s">
        <v>101</v>
      </c>
      <c r="Z187" s="19" t="s">
        <v>102</v>
      </c>
      <c r="AA187" s="19" t="s">
        <v>103</v>
      </c>
      <c r="AB187" s="19" t="s">
        <v>143</v>
      </c>
      <c r="AC187" s="19" t="s">
        <v>144</v>
      </c>
      <c r="AD187" s="19" t="s">
        <v>3296</v>
      </c>
      <c r="AE187" s="19"/>
      <c r="AF187" s="19"/>
      <c r="AG187" s="19" t="s">
        <v>3297</v>
      </c>
      <c r="AH187" s="19" t="s">
        <v>327</v>
      </c>
      <c r="AI187" s="19"/>
      <c r="AJ187" s="19" t="s">
        <v>3298</v>
      </c>
      <c r="AK187" s="19"/>
      <c r="AL187" s="19"/>
      <c r="AM187" s="19" t="s">
        <v>3299</v>
      </c>
      <c r="AN187" s="19" t="s">
        <v>3300</v>
      </c>
      <c r="AO187" s="19" t="s">
        <v>255</v>
      </c>
      <c r="AP187" s="19" t="s">
        <v>256</v>
      </c>
      <c r="AQ187" s="19" t="s">
        <v>117</v>
      </c>
      <c r="AR187" s="19" t="s">
        <v>257</v>
      </c>
      <c r="AS187" s="19" t="s">
        <v>258</v>
      </c>
      <c r="AT187" s="19" t="s">
        <v>259</v>
      </c>
      <c r="AU187" s="19" t="s">
        <v>260</v>
      </c>
      <c r="AV187" s="19" t="s">
        <v>260</v>
      </c>
      <c r="AW187" s="19" t="s">
        <v>261</v>
      </c>
      <c r="AX187" s="19" t="s">
        <v>262</v>
      </c>
      <c r="AY187" s="19" t="s">
        <v>263</v>
      </c>
      <c r="AZ187" s="19" t="s">
        <v>264</v>
      </c>
      <c r="BA187" s="20">
        <v>43627</v>
      </c>
      <c r="BB187" s="19" t="s">
        <v>3301</v>
      </c>
      <c r="BC187" s="19" t="s">
        <v>1770</v>
      </c>
      <c r="BD187" s="19" t="s">
        <v>1549</v>
      </c>
      <c r="BE187" s="19" t="s">
        <v>130</v>
      </c>
      <c r="BF187" s="19" t="s">
        <v>3302</v>
      </c>
      <c r="BG187" s="19"/>
      <c r="BH187" s="19" t="s">
        <v>3303</v>
      </c>
      <c r="BI187" s="19" t="s">
        <v>3303</v>
      </c>
      <c r="BJ187" s="19" t="s">
        <v>166</v>
      </c>
      <c r="BK187" s="19" t="s">
        <v>167</v>
      </c>
      <c r="BL187" s="19" t="s">
        <v>168</v>
      </c>
      <c r="BM187" s="19" t="s">
        <v>169</v>
      </c>
      <c r="BN187" s="21">
        <v>132.655</v>
      </c>
      <c r="BO187" s="21">
        <v>5052.8289500000001</v>
      </c>
      <c r="BQ187" s="2"/>
      <c r="BR187" s="2"/>
      <c r="BS187" s="2"/>
      <c r="BT187" s="2"/>
      <c r="BU187" s="22"/>
      <c r="BV187" s="2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</row>
    <row r="188" spans="1:95" x14ac:dyDescent="0.25">
      <c r="A188" s="18">
        <v>185</v>
      </c>
      <c r="B188" s="19" t="s">
        <v>3304</v>
      </c>
      <c r="C188" s="19" t="s">
        <v>3305</v>
      </c>
      <c r="D188" s="20">
        <v>46000</v>
      </c>
      <c r="E188" s="20">
        <v>24473</v>
      </c>
      <c r="F188" s="19"/>
      <c r="G188" s="19"/>
      <c r="H188" s="19" t="s">
        <v>94</v>
      </c>
      <c r="I188" s="19"/>
      <c r="J188" s="19"/>
      <c r="K188" s="19"/>
      <c r="L188" s="19" t="s">
        <v>687</v>
      </c>
      <c r="M188" s="19" t="s">
        <v>688</v>
      </c>
      <c r="N188" s="19" t="s">
        <v>3306</v>
      </c>
      <c r="O188" s="19" t="s">
        <v>100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 t="s">
        <v>101</v>
      </c>
      <c r="Z188" s="19" t="s">
        <v>102</v>
      </c>
      <c r="AA188" s="19" t="s">
        <v>103</v>
      </c>
      <c r="AB188" s="19" t="s">
        <v>3307</v>
      </c>
      <c r="AC188" s="19" t="s">
        <v>3308</v>
      </c>
      <c r="AD188" s="19" t="s">
        <v>3309</v>
      </c>
      <c r="AE188" s="19" t="s">
        <v>3310</v>
      </c>
      <c r="AF188" s="19"/>
      <c r="AG188" s="19" t="s">
        <v>3311</v>
      </c>
      <c r="AH188" s="19" t="s">
        <v>231</v>
      </c>
      <c r="AI188" s="19" t="s">
        <v>111</v>
      </c>
      <c r="AJ188" s="19" t="s">
        <v>3312</v>
      </c>
      <c r="AK188" s="19"/>
      <c r="AL188" s="19"/>
      <c r="AM188" s="19" t="s">
        <v>3313</v>
      </c>
      <c r="AN188" s="19" t="s">
        <v>3314</v>
      </c>
      <c r="AO188" s="19" t="s">
        <v>835</v>
      </c>
      <c r="AP188" s="19" t="s">
        <v>836</v>
      </c>
      <c r="AQ188" s="19" t="s">
        <v>117</v>
      </c>
      <c r="AR188" s="19" t="s">
        <v>837</v>
      </c>
      <c r="AS188" s="19" t="s">
        <v>838</v>
      </c>
      <c r="AT188" s="19" t="s">
        <v>839</v>
      </c>
      <c r="AU188" s="19" t="s">
        <v>840</v>
      </c>
      <c r="AV188" s="19" t="s">
        <v>841</v>
      </c>
      <c r="AW188" s="19"/>
      <c r="AX188" s="19" t="s">
        <v>707</v>
      </c>
      <c r="AY188" s="19" t="s">
        <v>842</v>
      </c>
      <c r="AZ188" s="19" t="s">
        <v>843</v>
      </c>
      <c r="BA188" s="20">
        <v>45453</v>
      </c>
      <c r="BB188" s="19" t="s">
        <v>3301</v>
      </c>
      <c r="BC188" s="19" t="s">
        <v>3311</v>
      </c>
      <c r="BD188" s="19" t="s">
        <v>3311</v>
      </c>
      <c r="BE188" s="19" t="s">
        <v>130</v>
      </c>
      <c r="BF188" s="19" t="s">
        <v>3315</v>
      </c>
      <c r="BG188" s="19"/>
      <c r="BH188" s="19" t="s">
        <v>3316</v>
      </c>
      <c r="BI188" s="19" t="s">
        <v>3316</v>
      </c>
      <c r="BJ188" s="19" t="s">
        <v>194</v>
      </c>
      <c r="BK188" s="19" t="s">
        <v>195</v>
      </c>
      <c r="BL188" s="19" t="s">
        <v>122</v>
      </c>
      <c r="BM188" s="19" t="s">
        <v>196</v>
      </c>
      <c r="BN188" s="21">
        <v>10.955</v>
      </c>
      <c r="BO188" s="21">
        <v>1058.7689805</v>
      </c>
      <c r="BQ188" s="2"/>
      <c r="BR188" s="2"/>
      <c r="BS188" s="2"/>
      <c r="BT188" s="2"/>
      <c r="BU188" s="22"/>
      <c r="BV188" s="2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</row>
    <row r="189" spans="1:95" x14ac:dyDescent="0.25">
      <c r="A189" s="18">
        <v>186</v>
      </c>
      <c r="B189" s="19" t="s">
        <v>3317</v>
      </c>
      <c r="C189" s="19" t="s">
        <v>3318</v>
      </c>
      <c r="D189" s="20">
        <v>45994</v>
      </c>
      <c r="E189" s="20">
        <v>35331</v>
      </c>
      <c r="F189" s="19"/>
      <c r="G189" s="19"/>
      <c r="H189" s="19" t="s">
        <v>94</v>
      </c>
      <c r="I189" s="19"/>
      <c r="J189" s="19"/>
      <c r="K189" s="19"/>
      <c r="L189" s="19" t="s">
        <v>2120</v>
      </c>
      <c r="M189" s="19" t="s">
        <v>245</v>
      </c>
      <c r="N189" s="19" t="s">
        <v>3319</v>
      </c>
      <c r="O189" s="19" t="s">
        <v>100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 t="s">
        <v>101</v>
      </c>
      <c r="Z189" s="19" t="s">
        <v>102</v>
      </c>
      <c r="AA189" s="19" t="s">
        <v>103</v>
      </c>
      <c r="AB189" s="19" t="s">
        <v>789</v>
      </c>
      <c r="AC189" s="19" t="s">
        <v>790</v>
      </c>
      <c r="AD189" s="19" t="s">
        <v>3320</v>
      </c>
      <c r="AE189" s="19" t="s">
        <v>3321</v>
      </c>
      <c r="AF189" s="19" t="s">
        <v>3322</v>
      </c>
      <c r="AG189" s="19" t="s">
        <v>277</v>
      </c>
      <c r="AH189" s="19" t="s">
        <v>124</v>
      </c>
      <c r="AI189" s="19" t="s">
        <v>111</v>
      </c>
      <c r="AJ189" s="19" t="s">
        <v>3323</v>
      </c>
      <c r="AK189" s="19"/>
      <c r="AL189" s="19"/>
      <c r="AM189" s="19" t="s">
        <v>3324</v>
      </c>
      <c r="AN189" s="19" t="s">
        <v>3325</v>
      </c>
      <c r="AO189" s="19" t="s">
        <v>620</v>
      </c>
      <c r="AP189" s="19" t="s">
        <v>436</v>
      </c>
      <c r="AQ189" s="19" t="s">
        <v>94</v>
      </c>
      <c r="AR189" s="19" t="s">
        <v>437</v>
      </c>
      <c r="AS189" s="19" t="s">
        <v>438</v>
      </c>
      <c r="AT189" s="19" t="s">
        <v>439</v>
      </c>
      <c r="AU189" s="19" t="s">
        <v>440</v>
      </c>
      <c r="AV189" s="19" t="s">
        <v>148</v>
      </c>
      <c r="AW189" s="19" t="s">
        <v>441</v>
      </c>
      <c r="AX189" s="19" t="s">
        <v>149</v>
      </c>
      <c r="AY189" s="19" t="s">
        <v>442</v>
      </c>
      <c r="AZ189" s="19" t="s">
        <v>443</v>
      </c>
      <c r="BA189" s="20">
        <v>41415</v>
      </c>
      <c r="BB189" s="19" t="s">
        <v>3326</v>
      </c>
      <c r="BC189" s="19" t="s">
        <v>3327</v>
      </c>
      <c r="BD189" s="19" t="s">
        <v>3328</v>
      </c>
      <c r="BE189" s="19" t="s">
        <v>130</v>
      </c>
      <c r="BF189" s="19" t="s">
        <v>3329</v>
      </c>
      <c r="BG189" s="19" t="s">
        <v>3330</v>
      </c>
      <c r="BH189" s="19" t="s">
        <v>3331</v>
      </c>
      <c r="BI189" s="19" t="s">
        <v>3331</v>
      </c>
      <c r="BJ189" s="19" t="s">
        <v>194</v>
      </c>
      <c r="BK189" s="19" t="s">
        <v>3332</v>
      </c>
      <c r="BL189" s="19" t="s">
        <v>1955</v>
      </c>
      <c r="BM189" s="19" t="s">
        <v>196</v>
      </c>
      <c r="BN189" s="21">
        <v>100.29600000000001</v>
      </c>
      <c r="BO189" s="21">
        <v>1991.8785600000001</v>
      </c>
      <c r="BQ189" s="2"/>
      <c r="BR189" s="2"/>
      <c r="BS189" s="2"/>
      <c r="BT189" s="2"/>
      <c r="BU189" s="22"/>
      <c r="BV189" s="2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</row>
    <row r="190" spans="1:95" x14ac:dyDescent="0.25">
      <c r="A190" s="18">
        <v>187</v>
      </c>
      <c r="B190" s="19" t="s">
        <v>3333</v>
      </c>
      <c r="C190" s="19" t="s">
        <v>3334</v>
      </c>
      <c r="D190" s="20">
        <v>46000</v>
      </c>
      <c r="E190" s="20">
        <v>37206</v>
      </c>
      <c r="F190" s="19"/>
      <c r="G190" s="19"/>
      <c r="H190" s="19" t="s">
        <v>94</v>
      </c>
      <c r="I190" s="19"/>
      <c r="J190" s="19"/>
      <c r="K190" s="19"/>
      <c r="L190" s="19" t="s">
        <v>140</v>
      </c>
      <c r="M190" s="19" t="s">
        <v>141</v>
      </c>
      <c r="N190" s="19" t="s">
        <v>3335</v>
      </c>
      <c r="O190" s="19" t="s">
        <v>100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 t="s">
        <v>101</v>
      </c>
      <c r="Z190" s="19" t="s">
        <v>102</v>
      </c>
      <c r="AA190" s="19" t="s">
        <v>103</v>
      </c>
      <c r="AB190" s="19" t="s">
        <v>1372</v>
      </c>
      <c r="AC190" s="19" t="s">
        <v>1373</v>
      </c>
      <c r="AD190" s="19" t="s">
        <v>3336</v>
      </c>
      <c r="AE190" s="19" t="s">
        <v>3337</v>
      </c>
      <c r="AF190" s="19" t="s">
        <v>3338</v>
      </c>
      <c r="AG190" s="19" t="s">
        <v>2758</v>
      </c>
      <c r="AH190" s="19" t="s">
        <v>327</v>
      </c>
      <c r="AI190" s="19" t="s">
        <v>111</v>
      </c>
      <c r="AJ190" s="19" t="s">
        <v>2759</v>
      </c>
      <c r="AK190" s="19"/>
      <c r="AL190" s="19"/>
      <c r="AM190" s="19" t="s">
        <v>3339</v>
      </c>
      <c r="AN190" s="19" t="s">
        <v>3340</v>
      </c>
      <c r="AO190" s="19" t="s">
        <v>579</v>
      </c>
      <c r="AP190" s="19" t="s">
        <v>580</v>
      </c>
      <c r="AQ190" s="19" t="s">
        <v>117</v>
      </c>
      <c r="AR190" s="19" t="s">
        <v>581</v>
      </c>
      <c r="AS190" s="19" t="s">
        <v>582</v>
      </c>
      <c r="AT190" s="19" t="s">
        <v>583</v>
      </c>
      <c r="AU190" s="19" t="s">
        <v>584</v>
      </c>
      <c r="AV190" s="19" t="s">
        <v>168</v>
      </c>
      <c r="AW190" s="19" t="s">
        <v>585</v>
      </c>
      <c r="AX190" s="19" t="s">
        <v>262</v>
      </c>
      <c r="AY190" s="19" t="s">
        <v>586</v>
      </c>
      <c r="AZ190" s="19" t="s">
        <v>587</v>
      </c>
      <c r="BA190" s="20">
        <v>44494</v>
      </c>
      <c r="BB190" s="19" t="s">
        <v>312</v>
      </c>
      <c r="BC190" s="19" t="s">
        <v>3341</v>
      </c>
      <c r="BD190" s="19" t="s">
        <v>1770</v>
      </c>
      <c r="BE190" s="19" t="s">
        <v>130</v>
      </c>
      <c r="BF190" s="19" t="s">
        <v>3342</v>
      </c>
      <c r="BG190" s="19"/>
      <c r="BH190" s="19" t="s">
        <v>3343</v>
      </c>
      <c r="BI190" s="19" t="s">
        <v>3343</v>
      </c>
      <c r="BJ190" s="19" t="s">
        <v>194</v>
      </c>
      <c r="BK190" s="19" t="s">
        <v>591</v>
      </c>
      <c r="BL190" s="19" t="s">
        <v>122</v>
      </c>
      <c r="BM190" s="19" t="s">
        <v>592</v>
      </c>
      <c r="BN190" s="21">
        <v>0</v>
      </c>
      <c r="BO190" s="21">
        <v>0</v>
      </c>
      <c r="BQ190" s="2"/>
      <c r="BR190" s="2"/>
      <c r="BS190" s="2"/>
      <c r="BT190" s="2"/>
      <c r="BU190" s="22"/>
      <c r="BV190" s="2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</row>
    <row r="191" spans="1:95" x14ac:dyDescent="0.25">
      <c r="A191" s="18">
        <v>188</v>
      </c>
      <c r="B191" s="19" t="s">
        <v>3344</v>
      </c>
      <c r="C191" s="19" t="s">
        <v>3345</v>
      </c>
      <c r="D191" s="20">
        <v>45994</v>
      </c>
      <c r="E191" s="20">
        <v>32613</v>
      </c>
      <c r="F191" s="19" t="s">
        <v>3346</v>
      </c>
      <c r="G191" s="19" t="s">
        <v>139</v>
      </c>
      <c r="H191" s="19" t="s">
        <v>94</v>
      </c>
      <c r="I191" s="19"/>
      <c r="J191" s="19"/>
      <c r="K191" s="19"/>
      <c r="L191" s="19" t="s">
        <v>244</v>
      </c>
      <c r="M191" s="19" t="s">
        <v>245</v>
      </c>
      <c r="N191" s="19" t="s">
        <v>3347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 t="s">
        <v>101</v>
      </c>
      <c r="Z191" s="19" t="s">
        <v>102</v>
      </c>
      <c r="AA191" s="19" t="s">
        <v>103</v>
      </c>
      <c r="AB191" s="19" t="s">
        <v>143</v>
      </c>
      <c r="AC191" s="19" t="s">
        <v>144</v>
      </c>
      <c r="AD191" s="19" t="s">
        <v>3348</v>
      </c>
      <c r="AE191" s="19" t="s">
        <v>3349</v>
      </c>
      <c r="AF191" s="19" t="s">
        <v>3350</v>
      </c>
      <c r="AG191" s="19" t="s">
        <v>3351</v>
      </c>
      <c r="AH191" s="19" t="s">
        <v>3352</v>
      </c>
      <c r="AI191" s="19" t="s">
        <v>111</v>
      </c>
      <c r="AJ191" s="19" t="s">
        <v>3353</v>
      </c>
      <c r="AK191" s="19"/>
      <c r="AL191" s="19"/>
      <c r="AM191" s="19" t="s">
        <v>3354</v>
      </c>
      <c r="AN191" s="19" t="s">
        <v>3355</v>
      </c>
      <c r="AO191" s="19" t="s">
        <v>255</v>
      </c>
      <c r="AP191" s="19" t="s">
        <v>256</v>
      </c>
      <c r="AQ191" s="19" t="s">
        <v>117</v>
      </c>
      <c r="AR191" s="19" t="s">
        <v>257</v>
      </c>
      <c r="AS191" s="19" t="s">
        <v>258</v>
      </c>
      <c r="AT191" s="19" t="s">
        <v>259</v>
      </c>
      <c r="AU191" s="19" t="s">
        <v>260</v>
      </c>
      <c r="AV191" s="19" t="s">
        <v>260</v>
      </c>
      <c r="AW191" s="19" t="s">
        <v>261</v>
      </c>
      <c r="AX191" s="19" t="s">
        <v>262</v>
      </c>
      <c r="AY191" s="19" t="s">
        <v>263</v>
      </c>
      <c r="AZ191" s="19" t="s">
        <v>264</v>
      </c>
      <c r="BA191" s="20">
        <v>43627</v>
      </c>
      <c r="BB191" s="19" t="s">
        <v>331</v>
      </c>
      <c r="BC191" s="19" t="s">
        <v>3356</v>
      </c>
      <c r="BD191" s="19" t="s">
        <v>3357</v>
      </c>
      <c r="BE191" s="19" t="s">
        <v>130</v>
      </c>
      <c r="BF191" s="19" t="s">
        <v>3358</v>
      </c>
      <c r="BG191" s="19"/>
      <c r="BH191" s="19" t="s">
        <v>3359</v>
      </c>
      <c r="BI191" s="19" t="s">
        <v>3359</v>
      </c>
      <c r="BJ191" s="19" t="s">
        <v>166</v>
      </c>
      <c r="BK191" s="19" t="s">
        <v>167</v>
      </c>
      <c r="BL191" s="19" t="s">
        <v>168</v>
      </c>
      <c r="BM191" s="19" t="s">
        <v>169</v>
      </c>
      <c r="BN191" s="21">
        <v>54.051000000000002</v>
      </c>
      <c r="BO191" s="21">
        <v>2058.8025899999998</v>
      </c>
      <c r="BQ191" s="2"/>
      <c r="BR191" s="2"/>
      <c r="BS191" s="2"/>
      <c r="BT191" s="2"/>
      <c r="BU191" s="22"/>
      <c r="BV191" s="2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</row>
    <row r="192" spans="1:95" x14ac:dyDescent="0.25">
      <c r="A192" s="18">
        <v>189</v>
      </c>
      <c r="B192" s="19" t="s">
        <v>3360</v>
      </c>
      <c r="C192" s="19" t="s">
        <v>3361</v>
      </c>
      <c r="D192" s="20">
        <v>45995</v>
      </c>
      <c r="E192" s="20">
        <v>34671</v>
      </c>
      <c r="F192" s="19" t="s">
        <v>3362</v>
      </c>
      <c r="G192" s="19" t="s">
        <v>139</v>
      </c>
      <c r="H192" s="19" t="s">
        <v>94</v>
      </c>
      <c r="I192" s="19"/>
      <c r="J192" s="19"/>
      <c r="K192" s="19"/>
      <c r="L192" s="19" t="s">
        <v>244</v>
      </c>
      <c r="M192" s="19" t="s">
        <v>245</v>
      </c>
      <c r="N192" s="19" t="s">
        <v>3363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 t="s">
        <v>101</v>
      </c>
      <c r="Z192" s="19" t="s">
        <v>102</v>
      </c>
      <c r="AA192" s="19" t="s">
        <v>103</v>
      </c>
      <c r="AB192" s="19" t="s">
        <v>812</v>
      </c>
      <c r="AC192" s="19" t="s">
        <v>813</v>
      </c>
      <c r="AD192" s="19" t="s">
        <v>3364</v>
      </c>
      <c r="AE192" s="19" t="s">
        <v>3365</v>
      </c>
      <c r="AF192" s="19" t="s">
        <v>3366</v>
      </c>
      <c r="AG192" s="19" t="s">
        <v>623</v>
      </c>
      <c r="AH192" s="19" t="s">
        <v>124</v>
      </c>
      <c r="AI192" s="19" t="s">
        <v>111</v>
      </c>
      <c r="AJ192" s="19" t="s">
        <v>3367</v>
      </c>
      <c r="AK192" s="19"/>
      <c r="AL192" s="19" t="s">
        <v>3368</v>
      </c>
      <c r="AM192" s="19" t="s">
        <v>3369</v>
      </c>
      <c r="AN192" s="19" t="s">
        <v>3370</v>
      </c>
      <c r="AO192" s="19" t="s">
        <v>1407</v>
      </c>
      <c r="AP192" s="19" t="s">
        <v>1408</v>
      </c>
      <c r="AQ192" s="19" t="s">
        <v>117</v>
      </c>
      <c r="AR192" s="19" t="s">
        <v>156</v>
      </c>
      <c r="AS192" s="19" t="s">
        <v>1409</v>
      </c>
      <c r="AT192" s="19" t="s">
        <v>1410</v>
      </c>
      <c r="AU192" s="19" t="s">
        <v>1411</v>
      </c>
      <c r="AV192" s="19" t="s">
        <v>219</v>
      </c>
      <c r="AW192" s="19" t="s">
        <v>1412</v>
      </c>
      <c r="AX192" s="19" t="s">
        <v>124</v>
      </c>
      <c r="AY192" s="19" t="s">
        <v>1413</v>
      </c>
      <c r="AZ192" s="19" t="s">
        <v>1414</v>
      </c>
      <c r="BA192" s="20">
        <v>40180</v>
      </c>
      <c r="BB192" s="19" t="s">
        <v>444</v>
      </c>
      <c r="BC192" s="19" t="s">
        <v>3371</v>
      </c>
      <c r="BD192" s="19" t="s">
        <v>219</v>
      </c>
      <c r="BE192" s="19" t="s">
        <v>130</v>
      </c>
      <c r="BF192" s="19" t="s">
        <v>3372</v>
      </c>
      <c r="BG192" s="19"/>
      <c r="BH192" s="19" t="s">
        <v>3373</v>
      </c>
      <c r="BI192" s="19" t="s">
        <v>3373</v>
      </c>
      <c r="BJ192" s="19" t="s">
        <v>166</v>
      </c>
      <c r="BK192" s="19" t="s">
        <v>907</v>
      </c>
      <c r="BL192" s="19" t="s">
        <v>122</v>
      </c>
      <c r="BM192" s="19" t="s">
        <v>592</v>
      </c>
      <c r="BN192" s="21">
        <v>14.814</v>
      </c>
      <c r="BO192" s="21">
        <v>513.60137999999995</v>
      </c>
      <c r="BQ192" s="2"/>
      <c r="BR192" s="2"/>
      <c r="BS192" s="2"/>
      <c r="BT192" s="2"/>
      <c r="BU192" s="22"/>
      <c r="BV192" s="2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</row>
    <row r="193" spans="1:95" x14ac:dyDescent="0.25">
      <c r="A193" s="18">
        <v>190</v>
      </c>
      <c r="B193" s="19" t="s">
        <v>3374</v>
      </c>
      <c r="C193" s="19" t="s">
        <v>3375</v>
      </c>
      <c r="D193" s="20">
        <v>45994</v>
      </c>
      <c r="E193" s="20">
        <v>22482</v>
      </c>
      <c r="F193" s="19"/>
      <c r="G193" s="19"/>
      <c r="H193" s="19" t="s">
        <v>94</v>
      </c>
      <c r="I193" s="19"/>
      <c r="J193" s="19" t="s">
        <v>95</v>
      </c>
      <c r="K193" s="19" t="s">
        <v>96</v>
      </c>
      <c r="L193" s="19" t="s">
        <v>1825</v>
      </c>
      <c r="M193" s="19" t="s">
        <v>610</v>
      </c>
      <c r="N193" s="19" t="s">
        <v>3376</v>
      </c>
      <c r="O193" s="19" t="s">
        <v>100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 t="s">
        <v>101</v>
      </c>
      <c r="Z193" s="19" t="s">
        <v>102</v>
      </c>
      <c r="AA193" s="19" t="s">
        <v>103</v>
      </c>
      <c r="AB193" s="19" t="s">
        <v>292</v>
      </c>
      <c r="AC193" s="19" t="s">
        <v>293</v>
      </c>
      <c r="AD193" s="19" t="s">
        <v>3377</v>
      </c>
      <c r="AE193" s="19" t="s">
        <v>3378</v>
      </c>
      <c r="AF193" s="19"/>
      <c r="AG193" s="19" t="s">
        <v>2109</v>
      </c>
      <c r="AH193" s="19" t="s">
        <v>1029</v>
      </c>
      <c r="AI193" s="19" t="s">
        <v>111</v>
      </c>
      <c r="AJ193" s="19" t="s">
        <v>3379</v>
      </c>
      <c r="AK193" s="19"/>
      <c r="AL193" s="19"/>
      <c r="AM193" s="19" t="s">
        <v>3380</v>
      </c>
      <c r="AN193" s="19" t="s">
        <v>3381</v>
      </c>
      <c r="AO193" s="19" t="s">
        <v>3382</v>
      </c>
      <c r="AP193" s="19" t="s">
        <v>3383</v>
      </c>
      <c r="AQ193" s="19" t="s">
        <v>117</v>
      </c>
      <c r="AR193" s="19" t="s">
        <v>3384</v>
      </c>
      <c r="AS193" s="19" t="s">
        <v>3385</v>
      </c>
      <c r="AT193" s="19" t="s">
        <v>3386</v>
      </c>
      <c r="AU193" s="19"/>
      <c r="AV193" s="19" t="s">
        <v>3387</v>
      </c>
      <c r="AW193" s="19" t="s">
        <v>3379</v>
      </c>
      <c r="AX193" s="19" t="s">
        <v>1029</v>
      </c>
      <c r="AY193" s="19" t="s">
        <v>3388</v>
      </c>
      <c r="AZ193" s="19" t="s">
        <v>3389</v>
      </c>
      <c r="BA193" s="20">
        <v>45880</v>
      </c>
      <c r="BB193" s="19" t="s">
        <v>1002</v>
      </c>
      <c r="BC193" s="19" t="s">
        <v>3390</v>
      </c>
      <c r="BD193" s="19" t="s">
        <v>2109</v>
      </c>
      <c r="BE193" s="19" t="s">
        <v>130</v>
      </c>
      <c r="BF193" s="19" t="s">
        <v>3391</v>
      </c>
      <c r="BG193" s="19"/>
      <c r="BH193" s="19" t="s">
        <v>3392</v>
      </c>
      <c r="BI193" s="19" t="s">
        <v>3392</v>
      </c>
      <c r="BJ193" s="19" t="s">
        <v>166</v>
      </c>
      <c r="BK193" s="19" t="s">
        <v>221</v>
      </c>
      <c r="BL193" s="19" t="s">
        <v>222</v>
      </c>
      <c r="BM193" s="19" t="s">
        <v>169</v>
      </c>
      <c r="BN193" s="21">
        <v>312.33800000000002</v>
      </c>
      <c r="BO193" s="21">
        <v>5142.1766630000002</v>
      </c>
      <c r="BQ193" s="2"/>
      <c r="BR193" s="2"/>
      <c r="BS193" s="2"/>
      <c r="BT193" s="2"/>
      <c r="BU193" s="22"/>
      <c r="BV193" s="2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</row>
    <row r="194" spans="1:95" x14ac:dyDescent="0.25">
      <c r="A194" s="18">
        <v>191</v>
      </c>
      <c r="B194" s="19" t="s">
        <v>3393</v>
      </c>
      <c r="C194" s="19" t="s">
        <v>3394</v>
      </c>
      <c r="D194" s="20">
        <v>46000</v>
      </c>
      <c r="E194" s="20">
        <v>33892</v>
      </c>
      <c r="F194" s="19"/>
      <c r="G194" s="19"/>
      <c r="H194" s="19" t="s">
        <v>94</v>
      </c>
      <c r="I194" s="19"/>
      <c r="J194" s="19"/>
      <c r="K194" s="19"/>
      <c r="L194" s="19" t="s">
        <v>140</v>
      </c>
      <c r="M194" s="19" t="s">
        <v>141</v>
      </c>
      <c r="N194" s="19" t="s">
        <v>3395</v>
      </c>
      <c r="O194" s="19" t="s">
        <v>100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 t="s">
        <v>101</v>
      </c>
      <c r="Z194" s="19" t="s">
        <v>102</v>
      </c>
      <c r="AA194" s="19" t="s">
        <v>103</v>
      </c>
      <c r="AB194" s="19" t="s">
        <v>1025</v>
      </c>
      <c r="AC194" s="19" t="s">
        <v>1026</v>
      </c>
      <c r="AD194" s="19" t="s">
        <v>3396</v>
      </c>
      <c r="AE194" s="19" t="s">
        <v>3397</v>
      </c>
      <c r="AF194" s="19" t="s">
        <v>3398</v>
      </c>
      <c r="AG194" s="19" t="s">
        <v>3399</v>
      </c>
      <c r="AH194" s="19" t="s">
        <v>1015</v>
      </c>
      <c r="AI194" s="19" t="s">
        <v>111</v>
      </c>
      <c r="AJ194" s="19" t="s">
        <v>3400</v>
      </c>
      <c r="AK194" s="19"/>
      <c r="AL194" s="19"/>
      <c r="AM194" s="19" t="s">
        <v>3401</v>
      </c>
      <c r="AN194" s="19" t="s">
        <v>3402</v>
      </c>
      <c r="AO194" s="19" t="s">
        <v>579</v>
      </c>
      <c r="AP194" s="19" t="s">
        <v>580</v>
      </c>
      <c r="AQ194" s="19" t="s">
        <v>117</v>
      </c>
      <c r="AR194" s="19" t="s">
        <v>581</v>
      </c>
      <c r="AS194" s="19" t="s">
        <v>582</v>
      </c>
      <c r="AT194" s="19" t="s">
        <v>583</v>
      </c>
      <c r="AU194" s="19" t="s">
        <v>584</v>
      </c>
      <c r="AV194" s="19" t="s">
        <v>168</v>
      </c>
      <c r="AW194" s="19" t="s">
        <v>585</v>
      </c>
      <c r="AX194" s="19" t="s">
        <v>262</v>
      </c>
      <c r="AY194" s="19" t="s">
        <v>586</v>
      </c>
      <c r="AZ194" s="19" t="s">
        <v>587</v>
      </c>
      <c r="BA194" s="20">
        <v>44494</v>
      </c>
      <c r="BB194" s="19" t="s">
        <v>331</v>
      </c>
      <c r="BC194" s="19" t="s">
        <v>3403</v>
      </c>
      <c r="BD194" s="19" t="s">
        <v>3404</v>
      </c>
      <c r="BE194" s="19" t="s">
        <v>130</v>
      </c>
      <c r="BF194" s="19" t="s">
        <v>3405</v>
      </c>
      <c r="BG194" s="19"/>
      <c r="BH194" s="19" t="s">
        <v>3406</v>
      </c>
      <c r="BI194" s="19" t="s">
        <v>3406</v>
      </c>
      <c r="BJ194" s="19" t="s">
        <v>194</v>
      </c>
      <c r="BK194" s="19" t="s">
        <v>591</v>
      </c>
      <c r="BL194" s="19" t="s">
        <v>122</v>
      </c>
      <c r="BM194" s="19" t="s">
        <v>592</v>
      </c>
      <c r="BN194" s="21">
        <v>36.366999999999997</v>
      </c>
      <c r="BO194" s="21">
        <v>1265.0188215999999</v>
      </c>
      <c r="BQ194" s="2"/>
      <c r="BR194" s="2"/>
      <c r="BS194" s="2"/>
      <c r="BT194" s="2"/>
      <c r="BU194" s="22"/>
      <c r="BV194" s="2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</row>
    <row r="195" spans="1:95" x14ac:dyDescent="0.25">
      <c r="A195" s="18">
        <v>192</v>
      </c>
      <c r="B195" s="19" t="s">
        <v>3407</v>
      </c>
      <c r="C195" s="19" t="s">
        <v>3408</v>
      </c>
      <c r="D195" s="20">
        <v>46001</v>
      </c>
      <c r="E195" s="20">
        <v>32514</v>
      </c>
      <c r="F195" s="19" t="s">
        <v>3409</v>
      </c>
      <c r="G195" s="19" t="s">
        <v>139</v>
      </c>
      <c r="H195" s="19" t="s">
        <v>94</v>
      </c>
      <c r="I195" s="19"/>
      <c r="J195" s="19"/>
      <c r="K195" s="19"/>
      <c r="L195" s="19" t="s">
        <v>244</v>
      </c>
      <c r="M195" s="19" t="s">
        <v>245</v>
      </c>
      <c r="N195" s="19" t="s">
        <v>3410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 t="s">
        <v>101</v>
      </c>
      <c r="Z195" s="19" t="s">
        <v>102</v>
      </c>
      <c r="AA195" s="19" t="s">
        <v>103</v>
      </c>
      <c r="AB195" s="19" t="s">
        <v>173</v>
      </c>
      <c r="AC195" s="19" t="s">
        <v>174</v>
      </c>
      <c r="AD195" s="19" t="s">
        <v>3411</v>
      </c>
      <c r="AE195" s="19" t="s">
        <v>3412</v>
      </c>
      <c r="AF195" s="19"/>
      <c r="AG195" s="19" t="s">
        <v>230</v>
      </c>
      <c r="AH195" s="19" t="s">
        <v>231</v>
      </c>
      <c r="AI195" s="19" t="s">
        <v>111</v>
      </c>
      <c r="AJ195" s="19" t="s">
        <v>3413</v>
      </c>
      <c r="AK195" s="19"/>
      <c r="AL195" s="19" t="s">
        <v>3414</v>
      </c>
      <c r="AM195" s="19" t="s">
        <v>3415</v>
      </c>
      <c r="AN195" s="19" t="s">
        <v>3416</v>
      </c>
      <c r="AO195" s="19" t="s">
        <v>154</v>
      </c>
      <c r="AP195" s="19" t="s">
        <v>155</v>
      </c>
      <c r="AQ195" s="19" t="s">
        <v>117</v>
      </c>
      <c r="AR195" s="19" t="s">
        <v>156</v>
      </c>
      <c r="AS195" s="19" t="s">
        <v>157</v>
      </c>
      <c r="AT195" s="19" t="s">
        <v>158</v>
      </c>
      <c r="AU195" s="19"/>
      <c r="AV195" s="19" t="s">
        <v>122</v>
      </c>
      <c r="AW195" s="19"/>
      <c r="AX195" s="19" t="s">
        <v>124</v>
      </c>
      <c r="AY195" s="19" t="s">
        <v>159</v>
      </c>
      <c r="AZ195" s="19" t="s">
        <v>160</v>
      </c>
      <c r="BA195" s="20">
        <v>44676</v>
      </c>
      <c r="BB195" s="19" t="s">
        <v>331</v>
      </c>
      <c r="BC195" s="19" t="s">
        <v>3417</v>
      </c>
      <c r="BD195" s="19" t="s">
        <v>3418</v>
      </c>
      <c r="BE195" s="19" t="s">
        <v>130</v>
      </c>
      <c r="BF195" s="19" t="s">
        <v>3419</v>
      </c>
      <c r="BG195" s="19"/>
      <c r="BH195" s="19" t="s">
        <v>3420</v>
      </c>
      <c r="BI195" s="19" t="s">
        <v>3420</v>
      </c>
      <c r="BJ195" s="19" t="s">
        <v>166</v>
      </c>
      <c r="BK195" s="19" t="s">
        <v>167</v>
      </c>
      <c r="BL195" s="19" t="s">
        <v>168</v>
      </c>
      <c r="BM195" s="19" t="s">
        <v>169</v>
      </c>
      <c r="BN195" s="21">
        <v>34.902000000000001</v>
      </c>
      <c r="BO195" s="21">
        <v>1236.3754283999999</v>
      </c>
      <c r="BQ195" s="2"/>
      <c r="BR195" s="2"/>
      <c r="BS195" s="2"/>
      <c r="BT195" s="2"/>
      <c r="BU195" s="22"/>
      <c r="BV195" s="2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</row>
    <row r="196" spans="1:95" x14ac:dyDescent="0.25">
      <c r="A196" s="18">
        <v>193</v>
      </c>
      <c r="B196" s="19" t="s">
        <v>3421</v>
      </c>
      <c r="C196" s="19" t="s">
        <v>3422</v>
      </c>
      <c r="D196" s="20">
        <v>46001</v>
      </c>
      <c r="E196" s="20">
        <v>34026</v>
      </c>
      <c r="F196" s="19" t="s">
        <v>3423</v>
      </c>
      <c r="G196" s="19" t="s">
        <v>139</v>
      </c>
      <c r="H196" s="19" t="s">
        <v>94</v>
      </c>
      <c r="I196" s="19"/>
      <c r="J196" s="19"/>
      <c r="K196" s="19"/>
      <c r="L196" s="19" t="s">
        <v>140</v>
      </c>
      <c r="M196" s="19" t="s">
        <v>141</v>
      </c>
      <c r="N196" s="19" t="s">
        <v>3424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 t="s">
        <v>101</v>
      </c>
      <c r="Z196" s="19" t="s">
        <v>102</v>
      </c>
      <c r="AA196" s="19" t="s">
        <v>103</v>
      </c>
      <c r="AB196" s="19" t="s">
        <v>1690</v>
      </c>
      <c r="AC196" s="19" t="s">
        <v>1691</v>
      </c>
      <c r="AD196" s="19" t="s">
        <v>3425</v>
      </c>
      <c r="AE196" s="19" t="s">
        <v>3426</v>
      </c>
      <c r="AF196" s="19" t="s">
        <v>3427</v>
      </c>
      <c r="AG196" s="19" t="s">
        <v>623</v>
      </c>
      <c r="AH196" s="19" t="s">
        <v>124</v>
      </c>
      <c r="AI196" s="19" t="s">
        <v>111</v>
      </c>
      <c r="AJ196" s="19" t="s">
        <v>3428</v>
      </c>
      <c r="AK196" s="19"/>
      <c r="AL196" s="19"/>
      <c r="AM196" s="19" t="s">
        <v>3429</v>
      </c>
      <c r="AN196" s="19" t="s">
        <v>3430</v>
      </c>
      <c r="AO196" s="19" t="s">
        <v>208</v>
      </c>
      <c r="AP196" s="19" t="s">
        <v>209</v>
      </c>
      <c r="AQ196" s="19" t="s">
        <v>117</v>
      </c>
      <c r="AR196" s="19" t="s">
        <v>210</v>
      </c>
      <c r="AS196" s="19" t="s">
        <v>211</v>
      </c>
      <c r="AT196" s="19" t="s">
        <v>212</v>
      </c>
      <c r="AU196" s="19" t="s">
        <v>213</v>
      </c>
      <c r="AV196" s="19" t="s">
        <v>214</v>
      </c>
      <c r="AW196" s="19" t="s">
        <v>215</v>
      </c>
      <c r="AX196" s="19" t="s">
        <v>149</v>
      </c>
      <c r="AY196" s="19" t="s">
        <v>216</v>
      </c>
      <c r="AZ196" s="19" t="s">
        <v>217</v>
      </c>
      <c r="BA196" s="20">
        <v>35521</v>
      </c>
      <c r="BB196" s="19" t="s">
        <v>444</v>
      </c>
      <c r="BC196" s="19" t="s">
        <v>3431</v>
      </c>
      <c r="BD196" s="19" t="s">
        <v>219</v>
      </c>
      <c r="BE196" s="19" t="s">
        <v>737</v>
      </c>
      <c r="BF196" s="19" t="s">
        <v>3432</v>
      </c>
      <c r="BG196" s="19"/>
      <c r="BH196" s="19" t="s">
        <v>3433</v>
      </c>
      <c r="BI196" s="19" t="s">
        <v>3433</v>
      </c>
      <c r="BJ196" s="19" t="s">
        <v>166</v>
      </c>
      <c r="BK196" s="19" t="s">
        <v>907</v>
      </c>
      <c r="BL196" s="19" t="s">
        <v>122</v>
      </c>
      <c r="BM196" s="19" t="s">
        <v>592</v>
      </c>
      <c r="BN196" s="21">
        <v>5.2519999999999998</v>
      </c>
      <c r="BO196" s="21">
        <v>2007.0050572</v>
      </c>
      <c r="BQ196" s="2"/>
      <c r="BR196" s="2"/>
      <c r="BS196" s="2"/>
      <c r="BT196" s="2"/>
      <c r="BU196" s="22"/>
      <c r="BV196" s="2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</row>
    <row r="197" spans="1:95" x14ac:dyDescent="0.25">
      <c r="A197" s="18">
        <v>194</v>
      </c>
      <c r="B197" s="19" t="s">
        <v>3434</v>
      </c>
      <c r="C197" s="19" t="s">
        <v>3435</v>
      </c>
      <c r="D197" s="20">
        <v>45994</v>
      </c>
      <c r="E197" s="20">
        <v>33954</v>
      </c>
      <c r="F197" s="19"/>
      <c r="G197" s="19"/>
      <c r="H197" s="19" t="s">
        <v>94</v>
      </c>
      <c r="I197" s="19"/>
      <c r="J197" s="19"/>
      <c r="K197" s="19"/>
      <c r="L197" s="19" t="s">
        <v>140</v>
      </c>
      <c r="M197" s="19" t="s">
        <v>141</v>
      </c>
      <c r="N197" s="19" t="s">
        <v>3436</v>
      </c>
      <c r="O197" s="19" t="s">
        <v>100</v>
      </c>
      <c r="P197" s="19"/>
      <c r="Q197" s="19"/>
      <c r="R197" s="19"/>
      <c r="S197" s="19"/>
      <c r="T197" s="19"/>
      <c r="U197" s="19"/>
      <c r="V197" s="19"/>
      <c r="W197" s="19"/>
      <c r="X197" s="19"/>
      <c r="Y197" s="19" t="s">
        <v>101</v>
      </c>
      <c r="Z197" s="19" t="s">
        <v>102</v>
      </c>
      <c r="AA197" s="19" t="s">
        <v>103</v>
      </c>
      <c r="AB197" s="19" t="s">
        <v>953</v>
      </c>
      <c r="AC197" s="19" t="s">
        <v>954</v>
      </c>
      <c r="AD197" s="19" t="s">
        <v>3437</v>
      </c>
      <c r="AE197" s="19" t="s">
        <v>3438</v>
      </c>
      <c r="AF197" s="19"/>
      <c r="AG197" s="19" t="s">
        <v>3439</v>
      </c>
      <c r="AH197" s="19" t="s">
        <v>262</v>
      </c>
      <c r="AI197" s="19" t="s">
        <v>111</v>
      </c>
      <c r="AJ197" s="19" t="s">
        <v>3440</v>
      </c>
      <c r="AK197" s="19"/>
      <c r="AL197" s="19"/>
      <c r="AM197" s="19" t="s">
        <v>3441</v>
      </c>
      <c r="AN197" s="19" t="s">
        <v>3442</v>
      </c>
      <c r="AO197" s="19" t="s">
        <v>181</v>
      </c>
      <c r="AP197" s="19" t="s">
        <v>182</v>
      </c>
      <c r="AQ197" s="19" t="s">
        <v>117</v>
      </c>
      <c r="AR197" s="19" t="s">
        <v>183</v>
      </c>
      <c r="AS197" s="19" t="s">
        <v>184</v>
      </c>
      <c r="AT197" s="19" t="s">
        <v>185</v>
      </c>
      <c r="AU197" s="19"/>
      <c r="AV197" s="19" t="s">
        <v>186</v>
      </c>
      <c r="AW197" s="19" t="s">
        <v>187</v>
      </c>
      <c r="AX197" s="19" t="s">
        <v>188</v>
      </c>
      <c r="AY197" s="19"/>
      <c r="AZ197" s="19" t="s">
        <v>189</v>
      </c>
      <c r="BA197" s="20">
        <v>44673</v>
      </c>
      <c r="BB197" s="19" t="s">
        <v>540</v>
      </c>
      <c r="BC197" s="19" t="s">
        <v>3443</v>
      </c>
      <c r="BD197" s="19" t="s">
        <v>260</v>
      </c>
      <c r="BE197" s="19" t="s">
        <v>130</v>
      </c>
      <c r="BF197" s="19" t="s">
        <v>3444</v>
      </c>
      <c r="BG197" s="19"/>
      <c r="BH197" s="19" t="s">
        <v>3445</v>
      </c>
      <c r="BI197" s="19" t="s">
        <v>3445</v>
      </c>
      <c r="BJ197" s="19" t="s">
        <v>194</v>
      </c>
      <c r="BK197" s="19" t="s">
        <v>195</v>
      </c>
      <c r="BL197" s="19" t="s">
        <v>122</v>
      </c>
      <c r="BM197" s="19" t="s">
        <v>196</v>
      </c>
      <c r="BN197" s="21">
        <v>10.316000000000001</v>
      </c>
      <c r="BO197" s="21">
        <v>415.54601719999999</v>
      </c>
      <c r="BQ197" s="2"/>
      <c r="BR197" s="2"/>
      <c r="BS197" s="2"/>
      <c r="BT197" s="2"/>
      <c r="BU197" s="22"/>
      <c r="BV197" s="2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</row>
    <row r="198" spans="1:95" x14ac:dyDescent="0.25">
      <c r="A198" s="18">
        <v>195</v>
      </c>
      <c r="B198" s="19" t="s">
        <v>3446</v>
      </c>
      <c r="C198" s="19" t="s">
        <v>3447</v>
      </c>
      <c r="D198" s="20">
        <v>46002</v>
      </c>
      <c r="E198" s="20">
        <v>28382</v>
      </c>
      <c r="F198" s="19"/>
      <c r="G198" s="19"/>
      <c r="H198" s="19" t="s">
        <v>94</v>
      </c>
      <c r="I198" s="19"/>
      <c r="J198" s="19"/>
      <c r="K198" s="19"/>
      <c r="L198" s="19" t="s">
        <v>101</v>
      </c>
      <c r="M198" s="19" t="s">
        <v>290</v>
      </c>
      <c r="N198" s="19" t="s">
        <v>3448</v>
      </c>
      <c r="O198" s="19" t="s">
        <v>100</v>
      </c>
      <c r="P198" s="19"/>
      <c r="Q198" s="19"/>
      <c r="R198" s="19"/>
      <c r="S198" s="19"/>
      <c r="T198" s="19"/>
      <c r="U198" s="19"/>
      <c r="V198" s="19"/>
      <c r="W198" s="19"/>
      <c r="X198" s="19"/>
      <c r="Y198" s="19" t="s">
        <v>101</v>
      </c>
      <c r="Z198" s="19" t="s">
        <v>102</v>
      </c>
      <c r="AA198" s="19" t="s">
        <v>103</v>
      </c>
      <c r="AB198" s="19" t="s">
        <v>173</v>
      </c>
      <c r="AC198" s="19" t="s">
        <v>174</v>
      </c>
      <c r="AD198" s="19" t="s">
        <v>3449</v>
      </c>
      <c r="AE198" s="19" t="s">
        <v>3450</v>
      </c>
      <c r="AF198" s="19"/>
      <c r="AG198" s="19" t="s">
        <v>3451</v>
      </c>
      <c r="AH198" s="19" t="s">
        <v>110</v>
      </c>
      <c r="AI198" s="19" t="s">
        <v>111</v>
      </c>
      <c r="AJ198" s="19" t="s">
        <v>3452</v>
      </c>
      <c r="AK198" s="19"/>
      <c r="AL198" s="19"/>
      <c r="AM198" s="19" t="s">
        <v>3453</v>
      </c>
      <c r="AN198" s="19" t="s">
        <v>3454</v>
      </c>
      <c r="AO198" s="19" t="s">
        <v>835</v>
      </c>
      <c r="AP198" s="19" t="s">
        <v>836</v>
      </c>
      <c r="AQ198" s="19" t="s">
        <v>117</v>
      </c>
      <c r="AR198" s="19" t="s">
        <v>837</v>
      </c>
      <c r="AS198" s="19" t="s">
        <v>838</v>
      </c>
      <c r="AT198" s="19" t="s">
        <v>839</v>
      </c>
      <c r="AU198" s="19" t="s">
        <v>840</v>
      </c>
      <c r="AV198" s="19" t="s">
        <v>841</v>
      </c>
      <c r="AW198" s="19"/>
      <c r="AX198" s="19" t="s">
        <v>707</v>
      </c>
      <c r="AY198" s="19" t="s">
        <v>842</v>
      </c>
      <c r="AZ198" s="19" t="s">
        <v>843</v>
      </c>
      <c r="BA198" s="20">
        <v>45453</v>
      </c>
      <c r="BB198" s="19" t="s">
        <v>161</v>
      </c>
      <c r="BC198" s="19" t="s">
        <v>3455</v>
      </c>
      <c r="BD198" s="19" t="s">
        <v>129</v>
      </c>
      <c r="BE198" s="19" t="s">
        <v>130</v>
      </c>
      <c r="BF198" s="19" t="s">
        <v>3456</v>
      </c>
      <c r="BG198" s="19"/>
      <c r="BH198" s="19" t="s">
        <v>3457</v>
      </c>
      <c r="BI198" s="19" t="s">
        <v>3457</v>
      </c>
      <c r="BJ198" s="19" t="s">
        <v>194</v>
      </c>
      <c r="BK198" s="19" t="s">
        <v>195</v>
      </c>
      <c r="BL198" s="19" t="s">
        <v>122</v>
      </c>
      <c r="BM198" s="19" t="s">
        <v>196</v>
      </c>
      <c r="BN198" s="21">
        <v>25.846</v>
      </c>
      <c r="BO198" s="21">
        <v>915.57387319999998</v>
      </c>
      <c r="BQ198" s="2"/>
      <c r="BR198" s="2"/>
      <c r="BS198" s="2"/>
      <c r="BT198" s="2"/>
      <c r="BU198" s="22"/>
      <c r="BV198" s="2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</row>
    <row r="199" spans="1:95" x14ac:dyDescent="0.25">
      <c r="A199" s="18">
        <v>196</v>
      </c>
      <c r="B199" s="19" t="s">
        <v>3458</v>
      </c>
      <c r="C199" s="19" t="s">
        <v>3459</v>
      </c>
      <c r="D199" s="20">
        <v>46003</v>
      </c>
      <c r="E199" s="20">
        <v>35800</v>
      </c>
      <c r="F199" s="19"/>
      <c r="G199" s="19"/>
      <c r="H199" s="19" t="s">
        <v>94</v>
      </c>
      <c r="I199" s="19"/>
      <c r="J199" s="19"/>
      <c r="K199" s="19"/>
      <c r="L199" s="19" t="s">
        <v>140</v>
      </c>
      <c r="M199" s="19" t="s">
        <v>141</v>
      </c>
      <c r="N199" s="19" t="s">
        <v>3460</v>
      </c>
      <c r="O199" s="19" t="s">
        <v>100</v>
      </c>
      <c r="P199" s="19"/>
      <c r="Q199" s="19"/>
      <c r="R199" s="19"/>
      <c r="S199" s="19"/>
      <c r="T199" s="19"/>
      <c r="U199" s="19"/>
      <c r="V199" s="19"/>
      <c r="W199" s="19"/>
      <c r="X199" s="19"/>
      <c r="Y199" s="19" t="s">
        <v>101</v>
      </c>
      <c r="Z199" s="19" t="s">
        <v>102</v>
      </c>
      <c r="AA199" s="19" t="s">
        <v>103</v>
      </c>
      <c r="AB199" s="19" t="s">
        <v>173</v>
      </c>
      <c r="AC199" s="19" t="s">
        <v>174</v>
      </c>
      <c r="AD199" s="19" t="s">
        <v>3461</v>
      </c>
      <c r="AE199" s="19" t="s">
        <v>3462</v>
      </c>
      <c r="AF199" s="19"/>
      <c r="AG199" s="19" t="s">
        <v>3463</v>
      </c>
      <c r="AH199" s="19" t="s">
        <v>942</v>
      </c>
      <c r="AI199" s="19" t="s">
        <v>111</v>
      </c>
      <c r="AJ199" s="19" t="s">
        <v>3464</v>
      </c>
      <c r="AK199" s="19"/>
      <c r="AL199" s="19"/>
      <c r="AM199" s="19" t="s">
        <v>3465</v>
      </c>
      <c r="AN199" s="19" t="s">
        <v>3466</v>
      </c>
      <c r="AO199" s="19" t="s">
        <v>181</v>
      </c>
      <c r="AP199" s="19" t="s">
        <v>182</v>
      </c>
      <c r="AQ199" s="19" t="s">
        <v>117</v>
      </c>
      <c r="AR199" s="19" t="s">
        <v>183</v>
      </c>
      <c r="AS199" s="19" t="s">
        <v>184</v>
      </c>
      <c r="AT199" s="19" t="s">
        <v>185</v>
      </c>
      <c r="AU199" s="19"/>
      <c r="AV199" s="19" t="s">
        <v>186</v>
      </c>
      <c r="AW199" s="19" t="s">
        <v>187</v>
      </c>
      <c r="AX199" s="19" t="s">
        <v>188</v>
      </c>
      <c r="AY199" s="19"/>
      <c r="AZ199" s="19" t="s">
        <v>189</v>
      </c>
      <c r="BA199" s="20">
        <v>44673</v>
      </c>
      <c r="BB199" s="19" t="s">
        <v>1388</v>
      </c>
      <c r="BC199" s="19" t="s">
        <v>3467</v>
      </c>
      <c r="BD199" s="19" t="s">
        <v>3463</v>
      </c>
      <c r="BE199" s="19" t="s">
        <v>130</v>
      </c>
      <c r="BF199" s="19" t="s">
        <v>3468</v>
      </c>
      <c r="BG199" s="19"/>
      <c r="BH199" s="19" t="s">
        <v>3469</v>
      </c>
      <c r="BI199" s="19" t="s">
        <v>3469</v>
      </c>
      <c r="BJ199" s="19" t="s">
        <v>194</v>
      </c>
      <c r="BK199" s="19" t="s">
        <v>195</v>
      </c>
      <c r="BL199" s="19" t="s">
        <v>122</v>
      </c>
      <c r="BM199" s="19" t="s">
        <v>196</v>
      </c>
      <c r="BN199" s="21">
        <v>83.183000000000007</v>
      </c>
      <c r="BO199" s="21">
        <v>2946.6912286000002</v>
      </c>
      <c r="BQ199" s="2"/>
      <c r="BR199" s="2"/>
      <c r="BS199" s="2"/>
      <c r="BT199" s="2"/>
      <c r="BU199" s="22"/>
      <c r="BV199" s="2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</row>
    <row r="200" spans="1:95" x14ac:dyDescent="0.25">
      <c r="A200" s="18">
        <v>197</v>
      </c>
      <c r="B200" s="19" t="s">
        <v>3470</v>
      </c>
      <c r="C200" s="19" t="s">
        <v>3471</v>
      </c>
      <c r="D200" s="20">
        <v>45999</v>
      </c>
      <c r="E200" s="20">
        <v>38618</v>
      </c>
      <c r="F200" s="19" t="s">
        <v>3472</v>
      </c>
      <c r="G200" s="19" t="s">
        <v>139</v>
      </c>
      <c r="H200" s="19" t="s">
        <v>94</v>
      </c>
      <c r="I200" s="19"/>
      <c r="J200" s="19"/>
      <c r="K200" s="19"/>
      <c r="L200" s="19" t="s">
        <v>467</v>
      </c>
      <c r="M200" s="19" t="s">
        <v>468</v>
      </c>
      <c r="N200" s="19" t="s">
        <v>3473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 t="s">
        <v>101</v>
      </c>
      <c r="Z200" s="19" t="s">
        <v>102</v>
      </c>
      <c r="AA200" s="19" t="s">
        <v>103</v>
      </c>
      <c r="AB200" s="19" t="s">
        <v>953</v>
      </c>
      <c r="AC200" s="19" t="s">
        <v>954</v>
      </c>
      <c r="AD200" s="19" t="s">
        <v>3474</v>
      </c>
      <c r="AE200" s="19" t="s">
        <v>3475</v>
      </c>
      <c r="AF200" s="19"/>
      <c r="AG200" s="19" t="s">
        <v>3476</v>
      </c>
      <c r="AH200" s="19" t="s">
        <v>124</v>
      </c>
      <c r="AI200" s="19"/>
      <c r="AJ200" s="19" t="s">
        <v>3477</v>
      </c>
      <c r="AK200" s="19"/>
      <c r="AL200" s="19" t="s">
        <v>3478</v>
      </c>
      <c r="AM200" s="19" t="s">
        <v>3479</v>
      </c>
      <c r="AN200" s="19" t="s">
        <v>3480</v>
      </c>
      <c r="AO200" s="19" t="s">
        <v>154</v>
      </c>
      <c r="AP200" s="19" t="s">
        <v>155</v>
      </c>
      <c r="AQ200" s="19" t="s">
        <v>117</v>
      </c>
      <c r="AR200" s="19" t="s">
        <v>156</v>
      </c>
      <c r="AS200" s="19" t="s">
        <v>157</v>
      </c>
      <c r="AT200" s="19" t="s">
        <v>158</v>
      </c>
      <c r="AU200" s="19"/>
      <c r="AV200" s="19" t="s">
        <v>122</v>
      </c>
      <c r="AW200" s="19"/>
      <c r="AX200" s="19" t="s">
        <v>124</v>
      </c>
      <c r="AY200" s="19" t="s">
        <v>159</v>
      </c>
      <c r="AZ200" s="19" t="s">
        <v>160</v>
      </c>
      <c r="BA200" s="20">
        <v>44676</v>
      </c>
      <c r="BB200" s="19" t="s">
        <v>3481</v>
      </c>
      <c r="BC200" s="19" t="s">
        <v>3482</v>
      </c>
      <c r="BD200" s="19" t="s">
        <v>365</v>
      </c>
      <c r="BE200" s="19" t="s">
        <v>130</v>
      </c>
      <c r="BF200" s="19" t="s">
        <v>3483</v>
      </c>
      <c r="BG200" s="19"/>
      <c r="BH200" s="19" t="s">
        <v>3484</v>
      </c>
      <c r="BI200" s="19" t="s">
        <v>3484</v>
      </c>
      <c r="BJ200" s="19" t="s">
        <v>166</v>
      </c>
      <c r="BK200" s="19" t="s">
        <v>167</v>
      </c>
      <c r="BL200" s="19" t="s">
        <v>168</v>
      </c>
      <c r="BM200" s="19" t="s">
        <v>169</v>
      </c>
      <c r="BN200" s="21">
        <v>0</v>
      </c>
      <c r="BO200" s="21">
        <v>0</v>
      </c>
      <c r="BQ200" s="2"/>
      <c r="BR200" s="2"/>
      <c r="BS200" s="2"/>
      <c r="BT200" s="2"/>
      <c r="BU200" s="22"/>
      <c r="BV200" s="2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</row>
    <row r="201" spans="1:95" x14ac:dyDescent="0.25">
      <c r="A201" s="18">
        <v>198</v>
      </c>
      <c r="B201" s="19" t="s">
        <v>3485</v>
      </c>
      <c r="C201" s="19" t="s">
        <v>3486</v>
      </c>
      <c r="D201" s="20">
        <v>46007</v>
      </c>
      <c r="E201" s="20">
        <v>16900</v>
      </c>
      <c r="F201" s="19"/>
      <c r="G201" s="19"/>
      <c r="H201" s="19" t="s">
        <v>94</v>
      </c>
      <c r="I201" s="19"/>
      <c r="J201" s="19"/>
      <c r="K201" s="19"/>
      <c r="L201" s="19" t="s">
        <v>1825</v>
      </c>
      <c r="M201" s="19" t="s">
        <v>610</v>
      </c>
      <c r="N201" s="19" t="s">
        <v>3487</v>
      </c>
      <c r="O201" s="19" t="s">
        <v>100</v>
      </c>
      <c r="P201" s="19"/>
      <c r="Q201" s="19"/>
      <c r="R201" s="19"/>
      <c r="S201" s="19"/>
      <c r="T201" s="19"/>
      <c r="U201" s="19"/>
      <c r="V201" s="19"/>
      <c r="W201" s="19"/>
      <c r="X201" s="19"/>
      <c r="Y201" s="19" t="s">
        <v>101</v>
      </c>
      <c r="Z201" s="19" t="s">
        <v>102</v>
      </c>
      <c r="AA201" s="19" t="s">
        <v>103</v>
      </c>
      <c r="AB201" s="19" t="s">
        <v>3488</v>
      </c>
      <c r="AC201" s="19" t="s">
        <v>3489</v>
      </c>
      <c r="AD201" s="19" t="s">
        <v>3490</v>
      </c>
      <c r="AE201" s="19" t="s">
        <v>3491</v>
      </c>
      <c r="AF201" s="19" t="s">
        <v>3492</v>
      </c>
      <c r="AG201" s="19" t="s">
        <v>1930</v>
      </c>
      <c r="AH201" s="19" t="s">
        <v>1226</v>
      </c>
      <c r="AI201" s="19" t="s">
        <v>111</v>
      </c>
      <c r="AJ201" s="19" t="s">
        <v>3493</v>
      </c>
      <c r="AK201" s="19"/>
      <c r="AL201" s="19"/>
      <c r="AM201" s="19" t="s">
        <v>3494</v>
      </c>
      <c r="AN201" s="19" t="s">
        <v>3495</v>
      </c>
      <c r="AO201" s="19" t="s">
        <v>3496</v>
      </c>
      <c r="AP201" s="19" t="s">
        <v>3497</v>
      </c>
      <c r="AQ201" s="19" t="s">
        <v>117</v>
      </c>
      <c r="AR201" s="19" t="s">
        <v>3498</v>
      </c>
      <c r="AS201" s="19" t="s">
        <v>3499</v>
      </c>
      <c r="AT201" s="19" t="s">
        <v>3500</v>
      </c>
      <c r="AU201" s="19" t="s">
        <v>3501</v>
      </c>
      <c r="AV201" s="19"/>
      <c r="AW201" s="19" t="s">
        <v>3502</v>
      </c>
      <c r="AX201" s="19" t="s">
        <v>1226</v>
      </c>
      <c r="AY201" s="19" t="s">
        <v>3503</v>
      </c>
      <c r="AZ201" s="19" t="s">
        <v>3504</v>
      </c>
      <c r="BA201" s="20">
        <v>43201</v>
      </c>
      <c r="BB201" s="19" t="s">
        <v>2253</v>
      </c>
      <c r="BC201" s="19" t="s">
        <v>3505</v>
      </c>
      <c r="BD201" s="19" t="s">
        <v>1930</v>
      </c>
      <c r="BE201" s="19" t="s">
        <v>130</v>
      </c>
      <c r="BF201" s="19" t="s">
        <v>3506</v>
      </c>
      <c r="BG201" s="19" t="s">
        <v>3507</v>
      </c>
      <c r="BH201" s="19" t="s">
        <v>3508</v>
      </c>
      <c r="BI201" s="19" t="s">
        <v>3508</v>
      </c>
      <c r="BJ201" s="19" t="s">
        <v>2259</v>
      </c>
      <c r="BK201" s="19" t="s">
        <v>1935</v>
      </c>
      <c r="BL201" s="19" t="s">
        <v>1936</v>
      </c>
      <c r="BM201" s="19" t="s">
        <v>135</v>
      </c>
      <c r="BN201" s="21">
        <v>4784.2669999999998</v>
      </c>
      <c r="BO201" s="21">
        <v>52464.750348699999</v>
      </c>
      <c r="BQ201" s="2"/>
      <c r="BR201" s="2"/>
      <c r="BS201" s="2"/>
      <c r="BT201" s="2"/>
      <c r="BU201" s="22"/>
      <c r="BV201" s="2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</row>
    <row r="202" spans="1:95" x14ac:dyDescent="0.25">
      <c r="A202" s="18">
        <v>199</v>
      </c>
      <c r="B202" s="19" t="s">
        <v>3509</v>
      </c>
      <c r="C202" s="19" t="s">
        <v>3510</v>
      </c>
      <c r="D202" s="20">
        <v>46007</v>
      </c>
      <c r="E202" s="20">
        <v>35833</v>
      </c>
      <c r="F202" s="19" t="s">
        <v>3511</v>
      </c>
      <c r="G202" s="19" t="s">
        <v>139</v>
      </c>
      <c r="H202" s="19" t="s">
        <v>94</v>
      </c>
      <c r="I202" s="19"/>
      <c r="J202" s="19"/>
      <c r="K202" s="19"/>
      <c r="L202" s="19" t="s">
        <v>244</v>
      </c>
      <c r="M202" s="19" t="s">
        <v>245</v>
      </c>
      <c r="N202" s="19" t="s">
        <v>3512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 t="s">
        <v>101</v>
      </c>
      <c r="Z202" s="19" t="s">
        <v>102</v>
      </c>
      <c r="AA202" s="19" t="s">
        <v>103</v>
      </c>
      <c r="AB202" s="19" t="s">
        <v>1025</v>
      </c>
      <c r="AC202" s="19" t="s">
        <v>1026</v>
      </c>
      <c r="AD202" s="19" t="s">
        <v>3513</v>
      </c>
      <c r="AE202" s="19" t="s">
        <v>3514</v>
      </c>
      <c r="AF202" s="19"/>
      <c r="AG202" s="19" t="s">
        <v>3515</v>
      </c>
      <c r="AH202" s="19" t="s">
        <v>3516</v>
      </c>
      <c r="AI202" s="19" t="s">
        <v>111</v>
      </c>
      <c r="AJ202" s="19" t="s">
        <v>3517</v>
      </c>
      <c r="AK202" s="19"/>
      <c r="AL202" s="19" t="s">
        <v>3518</v>
      </c>
      <c r="AM202" s="19" t="s">
        <v>3519</v>
      </c>
      <c r="AN202" s="19" t="s">
        <v>3520</v>
      </c>
      <c r="AO202" s="19" t="s">
        <v>1407</v>
      </c>
      <c r="AP202" s="19" t="s">
        <v>1408</v>
      </c>
      <c r="AQ202" s="19" t="s">
        <v>117</v>
      </c>
      <c r="AR202" s="19" t="s">
        <v>156</v>
      </c>
      <c r="AS202" s="19" t="s">
        <v>1409</v>
      </c>
      <c r="AT202" s="19" t="s">
        <v>1410</v>
      </c>
      <c r="AU202" s="19" t="s">
        <v>1411</v>
      </c>
      <c r="AV202" s="19" t="s">
        <v>219</v>
      </c>
      <c r="AW202" s="19" t="s">
        <v>1412</v>
      </c>
      <c r="AX202" s="19" t="s">
        <v>124</v>
      </c>
      <c r="AY202" s="19" t="s">
        <v>1413</v>
      </c>
      <c r="AZ202" s="19" t="s">
        <v>1414</v>
      </c>
      <c r="BA202" s="20">
        <v>40180</v>
      </c>
      <c r="BB202" s="19" t="s">
        <v>444</v>
      </c>
      <c r="BC202" s="19" t="s">
        <v>3521</v>
      </c>
      <c r="BD202" s="19" t="s">
        <v>3521</v>
      </c>
      <c r="BE202" s="19" t="s">
        <v>130</v>
      </c>
      <c r="BF202" s="19" t="s">
        <v>3522</v>
      </c>
      <c r="BG202" s="19"/>
      <c r="BH202" s="19" t="s">
        <v>3523</v>
      </c>
      <c r="BI202" s="19" t="s">
        <v>3523</v>
      </c>
      <c r="BJ202" s="19" t="s">
        <v>166</v>
      </c>
      <c r="BK202" s="19" t="s">
        <v>907</v>
      </c>
      <c r="BL202" s="19" t="s">
        <v>122</v>
      </c>
      <c r="BM202" s="19" t="s">
        <v>592</v>
      </c>
      <c r="BN202" s="21">
        <v>3.371</v>
      </c>
      <c r="BO202" s="21">
        <v>117.2595608</v>
      </c>
      <c r="BQ202" s="2"/>
      <c r="BR202" s="2"/>
      <c r="BS202" s="2"/>
      <c r="BT202" s="2"/>
      <c r="BU202" s="22"/>
      <c r="BV202" s="2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</row>
    <row r="203" spans="1:95" x14ac:dyDescent="0.25">
      <c r="A203" s="18">
        <v>200</v>
      </c>
      <c r="B203" s="19" t="s">
        <v>3524</v>
      </c>
      <c r="C203" s="19" t="s">
        <v>3525</v>
      </c>
      <c r="D203" s="20">
        <v>46013</v>
      </c>
      <c r="E203" s="20">
        <v>37176</v>
      </c>
      <c r="F203" s="19" t="s">
        <v>3526</v>
      </c>
      <c r="G203" s="19" t="s">
        <v>139</v>
      </c>
      <c r="H203" s="19" t="s">
        <v>94</v>
      </c>
      <c r="I203" s="19"/>
      <c r="J203" s="19"/>
      <c r="K203" s="19"/>
      <c r="L203" s="19" t="s">
        <v>244</v>
      </c>
      <c r="M203" s="19" t="s">
        <v>245</v>
      </c>
      <c r="N203" s="19" t="s">
        <v>3527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 t="s">
        <v>101</v>
      </c>
      <c r="Z203" s="19" t="s">
        <v>102</v>
      </c>
      <c r="AA203" s="19" t="s">
        <v>103</v>
      </c>
      <c r="AB203" s="19" t="s">
        <v>247</v>
      </c>
      <c r="AC203" s="19" t="s">
        <v>248</v>
      </c>
      <c r="AD203" s="19" t="s">
        <v>3528</v>
      </c>
      <c r="AE203" s="19" t="s">
        <v>3529</v>
      </c>
      <c r="AF203" s="19" t="s">
        <v>3530</v>
      </c>
      <c r="AG203" s="19" t="s">
        <v>3531</v>
      </c>
      <c r="AH203" s="19" t="s">
        <v>327</v>
      </c>
      <c r="AI203" s="19"/>
      <c r="AJ203" s="19" t="s">
        <v>3532</v>
      </c>
      <c r="AK203" s="19"/>
      <c r="AL203" s="19"/>
      <c r="AM203" s="19" t="s">
        <v>3533</v>
      </c>
      <c r="AN203" s="19" t="s">
        <v>3534</v>
      </c>
      <c r="AO203" s="19" t="s">
        <v>255</v>
      </c>
      <c r="AP203" s="19" t="s">
        <v>256</v>
      </c>
      <c r="AQ203" s="19" t="s">
        <v>117</v>
      </c>
      <c r="AR203" s="19" t="s">
        <v>257</v>
      </c>
      <c r="AS203" s="19" t="s">
        <v>258</v>
      </c>
      <c r="AT203" s="19" t="s">
        <v>259</v>
      </c>
      <c r="AU203" s="19" t="s">
        <v>260</v>
      </c>
      <c r="AV203" s="19" t="s">
        <v>260</v>
      </c>
      <c r="AW203" s="19" t="s">
        <v>261</v>
      </c>
      <c r="AX203" s="19" t="s">
        <v>262</v>
      </c>
      <c r="AY203" s="19" t="s">
        <v>263</v>
      </c>
      <c r="AZ203" s="19" t="s">
        <v>264</v>
      </c>
      <c r="BA203" s="20">
        <v>43627</v>
      </c>
      <c r="BB203" s="19" t="s">
        <v>331</v>
      </c>
      <c r="BC203" s="19" t="s">
        <v>3535</v>
      </c>
      <c r="BD203" s="19" t="s">
        <v>3536</v>
      </c>
      <c r="BE203" s="19" t="s">
        <v>130</v>
      </c>
      <c r="BF203" s="19" t="s">
        <v>3537</v>
      </c>
      <c r="BG203" s="19"/>
      <c r="BH203" s="19" t="s">
        <v>3538</v>
      </c>
      <c r="BI203" s="19" t="s">
        <v>3538</v>
      </c>
      <c r="BJ203" s="19" t="s">
        <v>166</v>
      </c>
      <c r="BK203" s="19" t="s">
        <v>167</v>
      </c>
      <c r="BL203" s="19" t="s">
        <v>168</v>
      </c>
      <c r="BM203" s="19" t="s">
        <v>169</v>
      </c>
      <c r="BN203" s="21">
        <v>0.22800000000000001</v>
      </c>
      <c r="BO203" s="21">
        <v>99.980827199999993</v>
      </c>
      <c r="BQ203" s="2"/>
      <c r="BR203" s="2"/>
      <c r="BS203" s="2"/>
      <c r="BT203" s="2"/>
      <c r="BU203" s="22"/>
      <c r="BV203" s="2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</row>
    <row r="204" spans="1:95" x14ac:dyDescent="0.25">
      <c r="A204" s="18">
        <v>201</v>
      </c>
      <c r="B204" s="19" t="s">
        <v>3539</v>
      </c>
      <c r="C204" s="19" t="s">
        <v>3540</v>
      </c>
      <c r="D204" s="20">
        <v>46009</v>
      </c>
      <c r="E204" s="20">
        <v>22251</v>
      </c>
      <c r="F204" s="19"/>
      <c r="G204" s="19"/>
      <c r="H204" s="19" t="s">
        <v>94</v>
      </c>
      <c r="I204" s="19"/>
      <c r="J204" s="19" t="s">
        <v>287</v>
      </c>
      <c r="K204" s="19" t="s">
        <v>288</v>
      </c>
      <c r="L204" s="19" t="s">
        <v>97</v>
      </c>
      <c r="M204" s="19" t="s">
        <v>98</v>
      </c>
      <c r="N204" s="19" t="s">
        <v>3541</v>
      </c>
      <c r="O204" s="19" t="s">
        <v>100</v>
      </c>
      <c r="P204" s="19"/>
      <c r="Q204" s="19"/>
      <c r="R204" s="19"/>
      <c r="S204" s="19"/>
      <c r="T204" s="19"/>
      <c r="U204" s="19"/>
      <c r="V204" s="19"/>
      <c r="W204" s="19"/>
      <c r="X204" s="19"/>
      <c r="Y204" s="19" t="s">
        <v>101</v>
      </c>
      <c r="Z204" s="19" t="s">
        <v>102</v>
      </c>
      <c r="AA204" s="19" t="s">
        <v>103</v>
      </c>
      <c r="AB204" s="19" t="s">
        <v>402</v>
      </c>
      <c r="AC204" s="19" t="s">
        <v>403</v>
      </c>
      <c r="AD204" s="19" t="s">
        <v>3542</v>
      </c>
      <c r="AE204" s="19" t="s">
        <v>3543</v>
      </c>
      <c r="AF204" s="19" t="s">
        <v>3544</v>
      </c>
      <c r="AG204" s="19" t="s">
        <v>3545</v>
      </c>
      <c r="AH204" s="19" t="s">
        <v>110</v>
      </c>
      <c r="AI204" s="19" t="s">
        <v>111</v>
      </c>
      <c r="AJ204" s="19" t="s">
        <v>3546</v>
      </c>
      <c r="AK204" s="19"/>
      <c r="AL204" s="19"/>
      <c r="AM204" s="19"/>
      <c r="AN204" s="19"/>
      <c r="AO204" s="19" t="s">
        <v>3547</v>
      </c>
      <c r="AP204" s="19" t="s">
        <v>3548</v>
      </c>
      <c r="AQ204" s="19" t="s">
        <v>117</v>
      </c>
      <c r="AR204" s="19" t="s">
        <v>3549</v>
      </c>
      <c r="AS204" s="19" t="s">
        <v>3550</v>
      </c>
      <c r="AT204" s="19" t="s">
        <v>3551</v>
      </c>
      <c r="AU204" s="19" t="s">
        <v>3552</v>
      </c>
      <c r="AV204" s="19" t="s">
        <v>3553</v>
      </c>
      <c r="AW204" s="19" t="s">
        <v>3546</v>
      </c>
      <c r="AX204" s="19" t="s">
        <v>110</v>
      </c>
      <c r="AY204" s="19" t="s">
        <v>3554</v>
      </c>
      <c r="AZ204" s="19" t="s">
        <v>3555</v>
      </c>
      <c r="BA204" s="20">
        <v>42916</v>
      </c>
      <c r="BB204" s="19" t="s">
        <v>1388</v>
      </c>
      <c r="BC204" s="19" t="s">
        <v>3556</v>
      </c>
      <c r="BD204" s="19" t="s">
        <v>3553</v>
      </c>
      <c r="BE204" s="19" t="s">
        <v>130</v>
      </c>
      <c r="BF204" s="19" t="s">
        <v>3557</v>
      </c>
      <c r="BG204" s="19" t="s">
        <v>3558</v>
      </c>
      <c r="BH204" s="19" t="s">
        <v>3559</v>
      </c>
      <c r="BI204" s="19" t="s">
        <v>3559</v>
      </c>
      <c r="BJ204" s="19" t="s">
        <v>166</v>
      </c>
      <c r="BK204" s="19" t="s">
        <v>3560</v>
      </c>
      <c r="BL204" s="19" t="s">
        <v>3553</v>
      </c>
      <c r="BM204" s="19" t="s">
        <v>135</v>
      </c>
      <c r="BN204" s="21">
        <v>1.06</v>
      </c>
      <c r="BO204" s="21">
        <v>2006.9297999999999</v>
      </c>
      <c r="BQ204" s="2"/>
      <c r="BR204" s="2"/>
      <c r="BS204" s="2"/>
      <c r="BT204" s="2"/>
      <c r="BU204" s="22"/>
      <c r="BV204" s="2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</row>
    <row r="205" spans="1:95" x14ac:dyDescent="0.25">
      <c r="A205" s="18">
        <v>202</v>
      </c>
      <c r="B205" s="19" t="s">
        <v>3561</v>
      </c>
      <c r="C205" s="19" t="s">
        <v>3562</v>
      </c>
      <c r="D205" s="20">
        <v>46013</v>
      </c>
      <c r="E205" s="20">
        <v>31543</v>
      </c>
      <c r="F205" s="19" t="s">
        <v>3563</v>
      </c>
      <c r="G205" s="19" t="s">
        <v>139</v>
      </c>
      <c r="H205" s="19" t="s">
        <v>94</v>
      </c>
      <c r="I205" s="19"/>
      <c r="J205" s="19"/>
      <c r="K205" s="19"/>
      <c r="L205" s="19" t="s">
        <v>244</v>
      </c>
      <c r="M205" s="19" t="s">
        <v>245</v>
      </c>
      <c r="N205" s="19" t="s">
        <v>3564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 t="s">
        <v>101</v>
      </c>
      <c r="Z205" s="19" t="s">
        <v>102</v>
      </c>
      <c r="AA205" s="19" t="s">
        <v>103</v>
      </c>
      <c r="AB205" s="19" t="s">
        <v>143</v>
      </c>
      <c r="AC205" s="19" t="s">
        <v>144</v>
      </c>
      <c r="AD205" s="19" t="s">
        <v>3565</v>
      </c>
      <c r="AE205" s="19"/>
      <c r="AF205" s="19"/>
      <c r="AG205" s="19" t="s">
        <v>3566</v>
      </c>
      <c r="AH205" s="19" t="s">
        <v>231</v>
      </c>
      <c r="AI205" s="19"/>
      <c r="AJ205" s="19" t="s">
        <v>3567</v>
      </c>
      <c r="AK205" s="19"/>
      <c r="AL205" s="19" t="s">
        <v>3568</v>
      </c>
      <c r="AM205" s="19" t="s">
        <v>3569</v>
      </c>
      <c r="AN205" s="19" t="s">
        <v>3570</v>
      </c>
      <c r="AO205" s="19" t="s">
        <v>154</v>
      </c>
      <c r="AP205" s="19" t="s">
        <v>155</v>
      </c>
      <c r="AQ205" s="19" t="s">
        <v>117</v>
      </c>
      <c r="AR205" s="19" t="s">
        <v>156</v>
      </c>
      <c r="AS205" s="19" t="s">
        <v>157</v>
      </c>
      <c r="AT205" s="19" t="s">
        <v>158</v>
      </c>
      <c r="AU205" s="19"/>
      <c r="AV205" s="19" t="s">
        <v>122</v>
      </c>
      <c r="AW205" s="19"/>
      <c r="AX205" s="19" t="s">
        <v>124</v>
      </c>
      <c r="AY205" s="19" t="s">
        <v>159</v>
      </c>
      <c r="AZ205" s="19" t="s">
        <v>160</v>
      </c>
      <c r="BA205" s="20">
        <v>44676</v>
      </c>
      <c r="BB205" s="19" t="s">
        <v>331</v>
      </c>
      <c r="BC205" s="19" t="s">
        <v>3571</v>
      </c>
      <c r="BD205" s="19" t="s">
        <v>3566</v>
      </c>
      <c r="BE205" s="19" t="s">
        <v>130</v>
      </c>
      <c r="BF205" s="19" t="s">
        <v>3572</v>
      </c>
      <c r="BG205" s="19"/>
      <c r="BH205" s="19" t="s">
        <v>3573</v>
      </c>
      <c r="BI205" s="19" t="s">
        <v>3573</v>
      </c>
      <c r="BJ205" s="19" t="s">
        <v>166</v>
      </c>
      <c r="BK205" s="19" t="s">
        <v>167</v>
      </c>
      <c r="BL205" s="19" t="s">
        <v>168</v>
      </c>
      <c r="BM205" s="19" t="s">
        <v>169</v>
      </c>
      <c r="BN205" s="21">
        <v>53.472999999999999</v>
      </c>
      <c r="BO205" s="21">
        <v>2036.78657</v>
      </c>
      <c r="BQ205" s="2"/>
      <c r="BR205" s="2"/>
      <c r="BS205" s="2"/>
      <c r="BT205" s="2"/>
      <c r="BU205" s="22"/>
      <c r="BV205" s="2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</row>
    <row r="206" spans="1:95" x14ac:dyDescent="0.25">
      <c r="A206" s="18">
        <v>203</v>
      </c>
      <c r="B206" s="19" t="s">
        <v>3574</v>
      </c>
      <c r="C206" s="19" t="s">
        <v>3575</v>
      </c>
      <c r="D206" s="20">
        <v>46009</v>
      </c>
      <c r="E206" s="20">
        <v>35662</v>
      </c>
      <c r="F206" s="19" t="s">
        <v>3576</v>
      </c>
      <c r="G206" s="19" t="s">
        <v>139</v>
      </c>
      <c r="H206" s="19" t="s">
        <v>94</v>
      </c>
      <c r="I206" s="19"/>
      <c r="J206" s="19"/>
      <c r="K206" s="19"/>
      <c r="L206" s="19" t="s">
        <v>244</v>
      </c>
      <c r="M206" s="19" t="s">
        <v>245</v>
      </c>
      <c r="N206" s="19" t="s">
        <v>3577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 t="s">
        <v>101</v>
      </c>
      <c r="Z206" s="19" t="s">
        <v>102</v>
      </c>
      <c r="AA206" s="19" t="s">
        <v>103</v>
      </c>
      <c r="AB206" s="19" t="s">
        <v>143</v>
      </c>
      <c r="AC206" s="19" t="s">
        <v>144</v>
      </c>
      <c r="AD206" s="19" t="s">
        <v>3578</v>
      </c>
      <c r="AE206" s="19"/>
      <c r="AF206" s="19"/>
      <c r="AG206" s="19" t="s">
        <v>3579</v>
      </c>
      <c r="AH206" s="19" t="s">
        <v>376</v>
      </c>
      <c r="AI206" s="19" t="s">
        <v>111</v>
      </c>
      <c r="AJ206" s="19" t="s">
        <v>3580</v>
      </c>
      <c r="AK206" s="19"/>
      <c r="AL206" s="19" t="s">
        <v>3581</v>
      </c>
      <c r="AM206" s="19" t="s">
        <v>3582</v>
      </c>
      <c r="AN206" s="19" t="s">
        <v>3583</v>
      </c>
      <c r="AO206" s="19" t="s">
        <v>154</v>
      </c>
      <c r="AP206" s="19" t="s">
        <v>155</v>
      </c>
      <c r="AQ206" s="19" t="s">
        <v>117</v>
      </c>
      <c r="AR206" s="19" t="s">
        <v>156</v>
      </c>
      <c r="AS206" s="19" t="s">
        <v>157</v>
      </c>
      <c r="AT206" s="19" t="s">
        <v>158</v>
      </c>
      <c r="AU206" s="19"/>
      <c r="AV206" s="19" t="s">
        <v>122</v>
      </c>
      <c r="AW206" s="19"/>
      <c r="AX206" s="19" t="s">
        <v>124</v>
      </c>
      <c r="AY206" s="19" t="s">
        <v>159</v>
      </c>
      <c r="AZ206" s="19" t="s">
        <v>160</v>
      </c>
      <c r="BA206" s="20">
        <v>44676</v>
      </c>
      <c r="BB206" s="19" t="s">
        <v>331</v>
      </c>
      <c r="BC206" s="19" t="s">
        <v>3584</v>
      </c>
      <c r="BD206" s="19" t="s">
        <v>3585</v>
      </c>
      <c r="BE206" s="19" t="s">
        <v>130</v>
      </c>
      <c r="BF206" s="19" t="s">
        <v>3586</v>
      </c>
      <c r="BG206" s="19"/>
      <c r="BH206" s="19" t="s">
        <v>3587</v>
      </c>
      <c r="BI206" s="19" t="s">
        <v>3587</v>
      </c>
      <c r="BJ206" s="19" t="s">
        <v>166</v>
      </c>
      <c r="BK206" s="19" t="s">
        <v>167</v>
      </c>
      <c r="BL206" s="19" t="s">
        <v>168</v>
      </c>
      <c r="BM206" s="19" t="s">
        <v>169</v>
      </c>
      <c r="BN206" s="21">
        <v>5.43</v>
      </c>
      <c r="BO206" s="21">
        <v>206.8287</v>
      </c>
      <c r="BQ206" s="2"/>
      <c r="BR206" s="2"/>
      <c r="BS206" s="2"/>
      <c r="BT206" s="2"/>
      <c r="BU206" s="22"/>
      <c r="BV206" s="2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</row>
    <row r="207" spans="1:95" x14ac:dyDescent="0.25">
      <c r="A207" s="18">
        <v>204</v>
      </c>
      <c r="B207" s="19" t="s">
        <v>3588</v>
      </c>
      <c r="C207" s="19" t="s">
        <v>3589</v>
      </c>
      <c r="D207" s="20">
        <v>46010</v>
      </c>
      <c r="E207" s="20">
        <v>25858</v>
      </c>
      <c r="F207" s="19"/>
      <c r="G207" s="19"/>
      <c r="H207" s="19" t="s">
        <v>94</v>
      </c>
      <c r="I207" s="19"/>
      <c r="J207" s="19"/>
      <c r="K207" s="19"/>
      <c r="L207" s="19" t="s">
        <v>2080</v>
      </c>
      <c r="M207" s="19" t="s">
        <v>141</v>
      </c>
      <c r="N207" s="19" t="s">
        <v>3590</v>
      </c>
      <c r="O207" s="19" t="s">
        <v>100</v>
      </c>
      <c r="P207" s="19"/>
      <c r="Q207" s="19"/>
      <c r="R207" s="19"/>
      <c r="S207" s="19"/>
      <c r="T207" s="19"/>
      <c r="U207" s="19"/>
      <c r="V207" s="19"/>
      <c r="W207" s="19"/>
      <c r="X207" s="19"/>
      <c r="Y207" s="19" t="s">
        <v>101</v>
      </c>
      <c r="Z207" s="19" t="s">
        <v>102</v>
      </c>
      <c r="AA207" s="19" t="s">
        <v>103</v>
      </c>
      <c r="AB207" s="19" t="s">
        <v>3591</v>
      </c>
      <c r="AC207" s="19" t="s">
        <v>3592</v>
      </c>
      <c r="AD207" s="19" t="s">
        <v>3593</v>
      </c>
      <c r="AE207" s="19" t="s">
        <v>3594</v>
      </c>
      <c r="AF207" s="19" t="s">
        <v>3595</v>
      </c>
      <c r="AG207" s="19" t="s">
        <v>375</v>
      </c>
      <c r="AH207" s="19" t="s">
        <v>376</v>
      </c>
      <c r="AI207" s="19" t="s">
        <v>111</v>
      </c>
      <c r="AJ207" s="19" t="s">
        <v>3596</v>
      </c>
      <c r="AK207" s="19"/>
      <c r="AL207" s="19"/>
      <c r="AM207" s="19" t="s">
        <v>3597</v>
      </c>
      <c r="AN207" s="19" t="s">
        <v>3598</v>
      </c>
      <c r="AO207" s="19" t="s">
        <v>3599</v>
      </c>
      <c r="AP207" s="19" t="s">
        <v>3600</v>
      </c>
      <c r="AQ207" s="19" t="s">
        <v>117</v>
      </c>
      <c r="AR207" s="19" t="s">
        <v>3601</v>
      </c>
      <c r="AS207" s="19" t="s">
        <v>3602</v>
      </c>
      <c r="AT207" s="19" t="s">
        <v>3603</v>
      </c>
      <c r="AU207" s="19" t="s">
        <v>3604</v>
      </c>
      <c r="AV207" s="19" t="s">
        <v>3604</v>
      </c>
      <c r="AW207" s="19" t="s">
        <v>3605</v>
      </c>
      <c r="AX207" s="19" t="s">
        <v>376</v>
      </c>
      <c r="AY207" s="19" t="s">
        <v>3606</v>
      </c>
      <c r="AZ207" s="19" t="s">
        <v>3607</v>
      </c>
      <c r="BA207" s="20">
        <v>43398</v>
      </c>
      <c r="BB207" s="19" t="s">
        <v>127</v>
      </c>
      <c r="BC207" s="19" t="s">
        <v>3608</v>
      </c>
      <c r="BD207" s="19" t="s">
        <v>375</v>
      </c>
      <c r="BE207" s="19" t="s">
        <v>130</v>
      </c>
      <c r="BF207" s="19" t="s">
        <v>3609</v>
      </c>
      <c r="BG207" s="19"/>
      <c r="BH207" s="19" t="s">
        <v>3610</v>
      </c>
      <c r="BI207" s="19" t="s">
        <v>3610</v>
      </c>
      <c r="BJ207" s="19"/>
      <c r="BK207" s="19" t="s">
        <v>1084</v>
      </c>
      <c r="BL207" s="19" t="s">
        <v>222</v>
      </c>
      <c r="BM207" s="19" t="s">
        <v>169</v>
      </c>
      <c r="BN207" s="21">
        <v>0</v>
      </c>
      <c r="BO207" s="21">
        <v>0</v>
      </c>
      <c r="BQ207" s="2"/>
      <c r="BR207" s="2"/>
      <c r="BS207" s="2"/>
      <c r="BT207" s="2"/>
      <c r="BU207" s="22"/>
      <c r="BV207" s="2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</row>
    <row r="208" spans="1:95" x14ac:dyDescent="0.25">
      <c r="A208" s="18">
        <v>205</v>
      </c>
      <c r="B208" s="19" t="s">
        <v>3611</v>
      </c>
      <c r="C208" s="19" t="s">
        <v>3612</v>
      </c>
      <c r="D208" s="20">
        <v>46011</v>
      </c>
      <c r="E208" s="20">
        <v>35095</v>
      </c>
      <c r="F208" s="19"/>
      <c r="G208" s="19"/>
      <c r="H208" s="19" t="s">
        <v>94</v>
      </c>
      <c r="I208" s="19"/>
      <c r="J208" s="19" t="s">
        <v>287</v>
      </c>
      <c r="K208" s="19" t="s">
        <v>288</v>
      </c>
      <c r="L208" s="19" t="s">
        <v>101</v>
      </c>
      <c r="M208" s="19" t="s">
        <v>290</v>
      </c>
      <c r="N208" s="19" t="s">
        <v>3613</v>
      </c>
      <c r="O208" s="19" t="s">
        <v>100</v>
      </c>
      <c r="P208" s="19"/>
      <c r="Q208" s="19"/>
      <c r="R208" s="19"/>
      <c r="S208" s="19"/>
      <c r="T208" s="19"/>
      <c r="U208" s="19"/>
      <c r="V208" s="19"/>
      <c r="W208" s="19"/>
      <c r="X208" s="19"/>
      <c r="Y208" s="19" t="s">
        <v>101</v>
      </c>
      <c r="Z208" s="19" t="s">
        <v>102</v>
      </c>
      <c r="AA208" s="19" t="s">
        <v>103</v>
      </c>
      <c r="AB208" s="19" t="s">
        <v>1372</v>
      </c>
      <c r="AC208" s="19" t="s">
        <v>1373</v>
      </c>
      <c r="AD208" s="19" t="s">
        <v>3614</v>
      </c>
      <c r="AE208" s="19" t="s">
        <v>3615</v>
      </c>
      <c r="AF208" s="19"/>
      <c r="AG208" s="19" t="s">
        <v>3616</v>
      </c>
      <c r="AH208" s="19" t="s">
        <v>231</v>
      </c>
      <c r="AI208" s="19" t="s">
        <v>111</v>
      </c>
      <c r="AJ208" s="19" t="s">
        <v>3617</v>
      </c>
      <c r="AK208" s="19"/>
      <c r="AL208" s="19"/>
      <c r="AM208" s="19" t="s">
        <v>3618</v>
      </c>
      <c r="AN208" s="19" t="s">
        <v>3619</v>
      </c>
      <c r="AO208" s="19" t="s">
        <v>3620</v>
      </c>
      <c r="AP208" s="19" t="s">
        <v>3621</v>
      </c>
      <c r="AQ208" s="19" t="s">
        <v>117</v>
      </c>
      <c r="AR208" s="19" t="s">
        <v>3622</v>
      </c>
      <c r="AS208" s="19" t="s">
        <v>3623</v>
      </c>
      <c r="AT208" s="19" t="s">
        <v>3624</v>
      </c>
      <c r="AU208" s="19" t="s">
        <v>3625</v>
      </c>
      <c r="AV208" s="19" t="s">
        <v>122</v>
      </c>
      <c r="AW208" s="19" t="s">
        <v>1412</v>
      </c>
      <c r="AX208" s="19" t="s">
        <v>124</v>
      </c>
      <c r="AY208" s="19" t="s">
        <v>3626</v>
      </c>
      <c r="AZ208" s="19" t="s">
        <v>3627</v>
      </c>
      <c r="BA208" s="20">
        <v>45530</v>
      </c>
      <c r="BB208" s="19" t="s">
        <v>1002</v>
      </c>
      <c r="BC208" s="19" t="s">
        <v>3628</v>
      </c>
      <c r="BD208" s="19" t="s">
        <v>3628</v>
      </c>
      <c r="BE208" s="19" t="s">
        <v>130</v>
      </c>
      <c r="BF208" s="19" t="s">
        <v>3629</v>
      </c>
      <c r="BG208" s="19"/>
      <c r="BH208" s="19" t="s">
        <v>3630</v>
      </c>
      <c r="BI208" s="19" t="s">
        <v>3630</v>
      </c>
      <c r="BJ208" s="19" t="s">
        <v>166</v>
      </c>
      <c r="BK208" s="19" t="s">
        <v>221</v>
      </c>
      <c r="BL208" s="19" t="s">
        <v>222</v>
      </c>
      <c r="BM208" s="19" t="s">
        <v>169</v>
      </c>
      <c r="BN208" s="21">
        <v>2.5659999999999998</v>
      </c>
      <c r="BO208" s="21">
        <v>99.299581200000006</v>
      </c>
      <c r="BQ208" s="2"/>
      <c r="BR208" s="2"/>
      <c r="BS208" s="2"/>
      <c r="BT208" s="2"/>
      <c r="BU208" s="22"/>
      <c r="BV208" s="2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</row>
    <row r="209" spans="1:95" x14ac:dyDescent="0.25">
      <c r="A209" s="18">
        <v>206</v>
      </c>
      <c r="B209" s="19" t="s">
        <v>3631</v>
      </c>
      <c r="C209" s="19" t="s">
        <v>3632</v>
      </c>
      <c r="D209" s="20">
        <v>46013</v>
      </c>
      <c r="E209" s="20">
        <v>38442</v>
      </c>
      <c r="F209" s="19"/>
      <c r="G209" s="19"/>
      <c r="H209" s="19" t="s">
        <v>94</v>
      </c>
      <c r="I209" s="19"/>
      <c r="J209" s="19"/>
      <c r="K209" s="19"/>
      <c r="L209" s="19" t="s">
        <v>289</v>
      </c>
      <c r="M209" s="19" t="s">
        <v>290</v>
      </c>
      <c r="N209" s="19" t="s">
        <v>3633</v>
      </c>
      <c r="O209" s="19" t="s">
        <v>100</v>
      </c>
      <c r="P209" s="19"/>
      <c r="Q209" s="19"/>
      <c r="R209" s="19"/>
      <c r="S209" s="19"/>
      <c r="T209" s="19"/>
      <c r="U209" s="19"/>
      <c r="V209" s="19"/>
      <c r="W209" s="19"/>
      <c r="X209" s="19"/>
      <c r="Y209" s="19" t="s">
        <v>101</v>
      </c>
      <c r="Z209" s="19" t="s">
        <v>102</v>
      </c>
      <c r="AA209" s="19" t="s">
        <v>103</v>
      </c>
      <c r="AB209" s="19" t="s">
        <v>487</v>
      </c>
      <c r="AC209" s="19" t="s">
        <v>488</v>
      </c>
      <c r="AD209" s="19" t="s">
        <v>3634</v>
      </c>
      <c r="AE209" s="19" t="s">
        <v>3635</v>
      </c>
      <c r="AF209" s="19" t="s">
        <v>3636</v>
      </c>
      <c r="AG209" s="19" t="s">
        <v>3637</v>
      </c>
      <c r="AH209" s="19" t="s">
        <v>262</v>
      </c>
      <c r="AI209" s="19" t="s">
        <v>111</v>
      </c>
      <c r="AJ209" s="19" t="s">
        <v>3638</v>
      </c>
      <c r="AK209" s="19"/>
      <c r="AL209" s="19"/>
      <c r="AM209" s="19" t="s">
        <v>3639</v>
      </c>
      <c r="AN209" s="19" t="s">
        <v>3640</v>
      </c>
      <c r="AO209" s="19" t="s">
        <v>494</v>
      </c>
      <c r="AP209" s="19" t="s">
        <v>495</v>
      </c>
      <c r="AQ209" s="19" t="s">
        <v>117</v>
      </c>
      <c r="AR209" s="19" t="s">
        <v>496</v>
      </c>
      <c r="AS209" s="19" t="s">
        <v>497</v>
      </c>
      <c r="AT209" s="19" t="s">
        <v>498</v>
      </c>
      <c r="AU209" s="19" t="s">
        <v>499</v>
      </c>
      <c r="AV209" s="19" t="s">
        <v>168</v>
      </c>
      <c r="AW209" s="19" t="s">
        <v>500</v>
      </c>
      <c r="AX209" s="19" t="s">
        <v>262</v>
      </c>
      <c r="AY209" s="19" t="s">
        <v>501</v>
      </c>
      <c r="AZ209" s="19" t="s">
        <v>502</v>
      </c>
      <c r="BA209" s="20">
        <v>45832</v>
      </c>
      <c r="BB209" s="19" t="s">
        <v>3641</v>
      </c>
      <c r="BC209" s="19" t="s">
        <v>3482</v>
      </c>
      <c r="BD209" s="19" t="s">
        <v>365</v>
      </c>
      <c r="BE209" s="19" t="s">
        <v>130</v>
      </c>
      <c r="BF209" s="19" t="s">
        <v>3642</v>
      </c>
      <c r="BG209" s="19"/>
      <c r="BH209" s="19" t="s">
        <v>3484</v>
      </c>
      <c r="BI209" s="19" t="s">
        <v>3484</v>
      </c>
      <c r="BJ209" s="19" t="s">
        <v>166</v>
      </c>
      <c r="BK209" s="19" t="s">
        <v>167</v>
      </c>
      <c r="BL209" s="19" t="s">
        <v>168</v>
      </c>
      <c r="BM209" s="19" t="s">
        <v>169</v>
      </c>
      <c r="BN209" s="21">
        <v>0</v>
      </c>
      <c r="BO209" s="21">
        <v>0</v>
      </c>
      <c r="BQ209" s="2"/>
      <c r="BR209" s="2"/>
      <c r="BS209" s="2"/>
      <c r="BT209" s="2"/>
      <c r="BU209" s="22"/>
      <c r="BV209" s="2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</row>
    <row r="210" spans="1:95" x14ac:dyDescent="0.25">
      <c r="A210" s="18">
        <v>207</v>
      </c>
      <c r="B210" s="19" t="s">
        <v>3643</v>
      </c>
      <c r="C210" s="19" t="s">
        <v>3644</v>
      </c>
      <c r="D210" s="20">
        <v>46014</v>
      </c>
      <c r="E210" s="20">
        <v>33092</v>
      </c>
      <c r="F210" s="19"/>
      <c r="G210" s="19"/>
      <c r="H210" s="19" t="s">
        <v>94</v>
      </c>
      <c r="I210" s="19"/>
      <c r="J210" s="19"/>
      <c r="K210" s="19"/>
      <c r="L210" s="19" t="s">
        <v>140</v>
      </c>
      <c r="M210" s="19" t="s">
        <v>141</v>
      </c>
      <c r="N210" s="19" t="s">
        <v>3645</v>
      </c>
      <c r="O210" s="19" t="s">
        <v>100</v>
      </c>
      <c r="P210" s="19"/>
      <c r="Q210" s="19"/>
      <c r="R210" s="19"/>
      <c r="S210" s="19"/>
      <c r="T210" s="19"/>
      <c r="U210" s="19"/>
      <c r="V210" s="19"/>
      <c r="W210" s="19"/>
      <c r="X210" s="19"/>
      <c r="Y210" s="19" t="s">
        <v>101</v>
      </c>
      <c r="Z210" s="19" t="s">
        <v>102</v>
      </c>
      <c r="AA210" s="19" t="s">
        <v>103</v>
      </c>
      <c r="AB210" s="19" t="s">
        <v>173</v>
      </c>
      <c r="AC210" s="19" t="s">
        <v>174</v>
      </c>
      <c r="AD210" s="19" t="s">
        <v>3646</v>
      </c>
      <c r="AE210" s="19" t="s">
        <v>3647</v>
      </c>
      <c r="AF210" s="19" t="s">
        <v>3648</v>
      </c>
      <c r="AG210" s="19" t="s">
        <v>1300</v>
      </c>
      <c r="AH210" s="19" t="s">
        <v>677</v>
      </c>
      <c r="AI210" s="19" t="s">
        <v>111</v>
      </c>
      <c r="AJ210" s="19" t="s">
        <v>3649</v>
      </c>
      <c r="AK210" s="19"/>
      <c r="AL210" s="19"/>
      <c r="AM210" s="19" t="s">
        <v>3650</v>
      </c>
      <c r="AN210" s="19" t="s">
        <v>3651</v>
      </c>
      <c r="AO210" s="19" t="s">
        <v>181</v>
      </c>
      <c r="AP210" s="19" t="s">
        <v>182</v>
      </c>
      <c r="AQ210" s="19" t="s">
        <v>117</v>
      </c>
      <c r="AR210" s="19" t="s">
        <v>183</v>
      </c>
      <c r="AS210" s="19" t="s">
        <v>184</v>
      </c>
      <c r="AT210" s="19" t="s">
        <v>185</v>
      </c>
      <c r="AU210" s="19"/>
      <c r="AV210" s="19" t="s">
        <v>186</v>
      </c>
      <c r="AW210" s="19" t="s">
        <v>187</v>
      </c>
      <c r="AX210" s="19" t="s">
        <v>188</v>
      </c>
      <c r="AY210" s="19"/>
      <c r="AZ210" s="19" t="s">
        <v>189</v>
      </c>
      <c r="BA210" s="20">
        <v>44673</v>
      </c>
      <c r="BB210" s="19" t="s">
        <v>331</v>
      </c>
      <c r="BC210" s="19" t="s">
        <v>3652</v>
      </c>
      <c r="BD210" s="19" t="s">
        <v>3653</v>
      </c>
      <c r="BE210" s="19" t="s">
        <v>130</v>
      </c>
      <c r="BF210" s="19" t="s">
        <v>3654</v>
      </c>
      <c r="BG210" s="19"/>
      <c r="BH210" s="19" t="s">
        <v>3655</v>
      </c>
      <c r="BI210" s="19" t="s">
        <v>3655</v>
      </c>
      <c r="BJ210" s="19" t="s">
        <v>194</v>
      </c>
      <c r="BK210" s="19" t="s">
        <v>195</v>
      </c>
      <c r="BL210" s="19" t="s">
        <v>122</v>
      </c>
      <c r="BM210" s="19" t="s">
        <v>196</v>
      </c>
      <c r="BN210" s="21">
        <v>30.338000000000001</v>
      </c>
      <c r="BO210" s="21">
        <v>1074.6993795999999</v>
      </c>
      <c r="BQ210" s="2"/>
      <c r="BR210" s="2"/>
      <c r="BS210" s="2"/>
      <c r="BT210" s="2"/>
      <c r="BU210" s="22"/>
      <c r="BV210" s="2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</row>
    <row r="211" spans="1:95" x14ac:dyDescent="0.25">
      <c r="A211" s="18">
        <v>208</v>
      </c>
      <c r="B211" s="19" t="s">
        <v>3656</v>
      </c>
      <c r="C211" s="19" t="s">
        <v>3657</v>
      </c>
      <c r="D211" s="20">
        <v>46020</v>
      </c>
      <c r="E211" s="20">
        <v>34304</v>
      </c>
      <c r="F211" s="19"/>
      <c r="G211" s="19"/>
      <c r="H211" s="19" t="s">
        <v>94</v>
      </c>
      <c r="I211" s="19"/>
      <c r="J211" s="19"/>
      <c r="K211" s="19"/>
      <c r="L211" s="19"/>
      <c r="M211" s="19"/>
      <c r="N211" s="19" t="s">
        <v>3658</v>
      </c>
      <c r="O211" s="19" t="s">
        <v>100</v>
      </c>
      <c r="P211" s="19"/>
      <c r="Q211" s="19"/>
      <c r="R211" s="19"/>
      <c r="S211" s="19"/>
      <c r="T211" s="19"/>
      <c r="U211" s="19"/>
      <c r="V211" s="19"/>
      <c r="W211" s="19"/>
      <c r="X211" s="19"/>
      <c r="Y211" s="19" t="s">
        <v>101</v>
      </c>
      <c r="Z211" s="19" t="s">
        <v>102</v>
      </c>
      <c r="AA211" s="19" t="s">
        <v>103</v>
      </c>
      <c r="AB211" s="19" t="s">
        <v>789</v>
      </c>
      <c r="AC211" s="19" t="s">
        <v>790</v>
      </c>
      <c r="AD211" s="19" t="s">
        <v>3659</v>
      </c>
      <c r="AE211" s="19" t="s">
        <v>3660</v>
      </c>
      <c r="AF211" s="19"/>
      <c r="AG211" s="19" t="s">
        <v>343</v>
      </c>
      <c r="AH211" s="19" t="s">
        <v>298</v>
      </c>
      <c r="AI211" s="19" t="s">
        <v>111</v>
      </c>
      <c r="AJ211" s="19" t="s">
        <v>560</v>
      </c>
      <c r="AK211" s="19"/>
      <c r="AL211" s="19"/>
      <c r="AM211" s="19" t="s">
        <v>3661</v>
      </c>
      <c r="AN211" s="19" t="s">
        <v>3662</v>
      </c>
      <c r="AO211" s="19" t="s">
        <v>3663</v>
      </c>
      <c r="AP211" s="19" t="s">
        <v>3664</v>
      </c>
      <c r="AQ211" s="19" t="s">
        <v>117</v>
      </c>
      <c r="AR211" s="19" t="s">
        <v>3665</v>
      </c>
      <c r="AS211" s="19" t="s">
        <v>3666</v>
      </c>
      <c r="AT211" s="19" t="s">
        <v>3667</v>
      </c>
      <c r="AU211" s="19"/>
      <c r="AV211" s="19" t="s">
        <v>559</v>
      </c>
      <c r="AW211" s="19" t="s">
        <v>3668</v>
      </c>
      <c r="AX211" s="19" t="s">
        <v>309</v>
      </c>
      <c r="AY211" s="19" t="s">
        <v>3669</v>
      </c>
      <c r="AZ211" s="19" t="s">
        <v>3670</v>
      </c>
      <c r="BA211" s="20">
        <v>42338</v>
      </c>
      <c r="BB211" s="19" t="s">
        <v>3671</v>
      </c>
      <c r="BC211" s="19" t="s">
        <v>3672</v>
      </c>
      <c r="BD211" s="19"/>
      <c r="BE211" s="19" t="s">
        <v>130</v>
      </c>
      <c r="BF211" s="19" t="s">
        <v>3673</v>
      </c>
      <c r="BG211" s="19"/>
      <c r="BH211" s="19" t="s">
        <v>3674</v>
      </c>
      <c r="BI211" s="19" t="s">
        <v>3674</v>
      </c>
      <c r="BJ211" s="19" t="s">
        <v>166</v>
      </c>
      <c r="BK211" s="19" t="s">
        <v>1084</v>
      </c>
      <c r="BL211" s="19" t="s">
        <v>222</v>
      </c>
      <c r="BM211" s="19" t="s">
        <v>169</v>
      </c>
      <c r="BN211" s="21">
        <v>5070.74</v>
      </c>
      <c r="BO211" s="21">
        <v>100704.8964</v>
      </c>
      <c r="BQ211" s="2"/>
      <c r="BR211" s="2"/>
      <c r="BS211" s="2"/>
      <c r="BT211" s="2"/>
      <c r="BU211" s="22"/>
      <c r="BV211" s="2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</row>
    <row r="212" spans="1:95" x14ac:dyDescent="0.25">
      <c r="A212" s="18">
        <v>209</v>
      </c>
      <c r="B212" s="19" t="s">
        <v>3675</v>
      </c>
      <c r="C212" s="19" t="s">
        <v>3676</v>
      </c>
      <c r="D212" s="20">
        <v>46015</v>
      </c>
      <c r="E212" s="20">
        <v>21218</v>
      </c>
      <c r="F212" s="19"/>
      <c r="G212" s="19"/>
      <c r="H212" s="19" t="s">
        <v>94</v>
      </c>
      <c r="I212" s="19"/>
      <c r="J212" s="19"/>
      <c r="K212" s="19"/>
      <c r="L212" s="19" t="s">
        <v>467</v>
      </c>
      <c r="M212" s="19" t="s">
        <v>468</v>
      </c>
      <c r="N212" s="19" t="s">
        <v>3677</v>
      </c>
      <c r="O212" s="19" t="s">
        <v>100</v>
      </c>
      <c r="P212" s="19"/>
      <c r="Q212" s="19"/>
      <c r="R212" s="19"/>
      <c r="S212" s="19"/>
      <c r="T212" s="19"/>
      <c r="U212" s="19"/>
      <c r="V212" s="19"/>
      <c r="W212" s="19"/>
      <c r="X212" s="19"/>
      <c r="Y212" s="19" t="s">
        <v>101</v>
      </c>
      <c r="Z212" s="19" t="s">
        <v>102</v>
      </c>
      <c r="AA212" s="19" t="s">
        <v>103</v>
      </c>
      <c r="AB212" s="19" t="s">
        <v>3678</v>
      </c>
      <c r="AC212" s="19" t="s">
        <v>3679</v>
      </c>
      <c r="AD212" s="19" t="s">
        <v>3680</v>
      </c>
      <c r="AE212" s="19" t="s">
        <v>3681</v>
      </c>
      <c r="AF212" s="19" t="s">
        <v>3682</v>
      </c>
      <c r="AG212" s="19" t="s">
        <v>365</v>
      </c>
      <c r="AH212" s="19" t="s">
        <v>188</v>
      </c>
      <c r="AI212" s="19" t="s">
        <v>111</v>
      </c>
      <c r="AJ212" s="19" t="s">
        <v>3683</v>
      </c>
      <c r="AK212" s="19"/>
      <c r="AL212" s="19"/>
      <c r="AM212" s="19" t="s">
        <v>3684</v>
      </c>
      <c r="AN212" s="19" t="s">
        <v>3685</v>
      </c>
      <c r="AO212" s="19" t="s">
        <v>1095</v>
      </c>
      <c r="AP212" s="19" t="s">
        <v>1096</v>
      </c>
      <c r="AQ212" s="19" t="s">
        <v>117</v>
      </c>
      <c r="AR212" s="19" t="s">
        <v>1097</v>
      </c>
      <c r="AS212" s="19" t="s">
        <v>1098</v>
      </c>
      <c r="AT212" s="19" t="s">
        <v>1099</v>
      </c>
      <c r="AU212" s="19" t="s">
        <v>1100</v>
      </c>
      <c r="AV212" s="19" t="s">
        <v>219</v>
      </c>
      <c r="AW212" s="19" t="s">
        <v>1101</v>
      </c>
      <c r="AX212" s="19" t="s">
        <v>124</v>
      </c>
      <c r="AY212" s="19"/>
      <c r="AZ212" s="19" t="s">
        <v>1102</v>
      </c>
      <c r="BA212" s="20">
        <v>40110</v>
      </c>
      <c r="BB212" s="19" t="s">
        <v>444</v>
      </c>
      <c r="BC212" s="19" t="s">
        <v>3686</v>
      </c>
      <c r="BD212" s="19" t="s">
        <v>365</v>
      </c>
      <c r="BE212" s="19" t="s">
        <v>130</v>
      </c>
      <c r="BF212" s="19" t="s">
        <v>3687</v>
      </c>
      <c r="BG212" s="19"/>
      <c r="BH212" s="19" t="s">
        <v>3688</v>
      </c>
      <c r="BI212" s="19" t="s">
        <v>3688</v>
      </c>
      <c r="BJ212" s="19" t="s">
        <v>194</v>
      </c>
      <c r="BK212" s="19" t="s">
        <v>591</v>
      </c>
      <c r="BL212" s="19" t="s">
        <v>122</v>
      </c>
      <c r="BM212" s="19" t="s">
        <v>592</v>
      </c>
      <c r="BN212" s="21">
        <v>99.399000000000001</v>
      </c>
      <c r="BO212" s="21">
        <v>1007.90586</v>
      </c>
      <c r="BQ212" s="2"/>
      <c r="BR212" s="2"/>
      <c r="BS212" s="2"/>
      <c r="BT212" s="2"/>
      <c r="BU212" s="22"/>
      <c r="BV212" s="2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</row>
    <row r="213" spans="1:95" x14ac:dyDescent="0.25">
      <c r="A213" s="18">
        <v>210</v>
      </c>
      <c r="B213" s="19" t="s">
        <v>3689</v>
      </c>
      <c r="C213" s="19" t="s">
        <v>3690</v>
      </c>
      <c r="D213" s="20">
        <v>46020</v>
      </c>
      <c r="E213" s="20">
        <v>37001</v>
      </c>
      <c r="F213" s="19"/>
      <c r="G213" s="19"/>
      <c r="H213" s="19" t="s">
        <v>94</v>
      </c>
      <c r="I213" s="19"/>
      <c r="J213" s="19"/>
      <c r="K213" s="19"/>
      <c r="L213" s="19" t="s">
        <v>140</v>
      </c>
      <c r="M213" s="19" t="s">
        <v>141</v>
      </c>
      <c r="N213" s="19" t="s">
        <v>3691</v>
      </c>
      <c r="O213" s="19" t="s">
        <v>100</v>
      </c>
      <c r="P213" s="19"/>
      <c r="Q213" s="19"/>
      <c r="R213" s="19"/>
      <c r="S213" s="19"/>
      <c r="T213" s="19"/>
      <c r="U213" s="19"/>
      <c r="V213" s="19"/>
      <c r="W213" s="19"/>
      <c r="X213" s="19"/>
      <c r="Y213" s="19" t="s">
        <v>101</v>
      </c>
      <c r="Z213" s="19" t="s">
        <v>102</v>
      </c>
      <c r="AA213" s="19" t="s">
        <v>103</v>
      </c>
      <c r="AB213" s="19" t="s">
        <v>173</v>
      </c>
      <c r="AC213" s="19" t="s">
        <v>174</v>
      </c>
      <c r="AD213" s="19" t="s">
        <v>3692</v>
      </c>
      <c r="AE213" s="19" t="s">
        <v>3693</v>
      </c>
      <c r="AF213" s="19" t="s">
        <v>3694</v>
      </c>
      <c r="AG213" s="19" t="s">
        <v>3695</v>
      </c>
      <c r="AH213" s="19" t="s">
        <v>376</v>
      </c>
      <c r="AI213" s="19" t="s">
        <v>111</v>
      </c>
      <c r="AJ213" s="19" t="s">
        <v>3694</v>
      </c>
      <c r="AK213" s="19"/>
      <c r="AL213" s="19"/>
      <c r="AM213" s="19" t="s">
        <v>3696</v>
      </c>
      <c r="AN213" s="19" t="s">
        <v>3697</v>
      </c>
      <c r="AO213" s="19" t="s">
        <v>181</v>
      </c>
      <c r="AP213" s="19" t="s">
        <v>182</v>
      </c>
      <c r="AQ213" s="19" t="s">
        <v>117</v>
      </c>
      <c r="AR213" s="19" t="s">
        <v>183</v>
      </c>
      <c r="AS213" s="19" t="s">
        <v>184</v>
      </c>
      <c r="AT213" s="19" t="s">
        <v>185</v>
      </c>
      <c r="AU213" s="19"/>
      <c r="AV213" s="19" t="s">
        <v>186</v>
      </c>
      <c r="AW213" s="19" t="s">
        <v>187</v>
      </c>
      <c r="AX213" s="19" t="s">
        <v>188</v>
      </c>
      <c r="AY213" s="19"/>
      <c r="AZ213" s="19" t="s">
        <v>189</v>
      </c>
      <c r="BA213" s="20">
        <v>44673</v>
      </c>
      <c r="BB213" s="19" t="s">
        <v>265</v>
      </c>
      <c r="BC213" s="19" t="s">
        <v>3695</v>
      </c>
      <c r="BD213" s="19" t="s">
        <v>3695</v>
      </c>
      <c r="BE213" s="19" t="s">
        <v>130</v>
      </c>
      <c r="BF213" s="19" t="s">
        <v>3698</v>
      </c>
      <c r="BG213" s="19"/>
      <c r="BH213" s="19" t="s">
        <v>3699</v>
      </c>
      <c r="BI213" s="19" t="s">
        <v>3699</v>
      </c>
      <c r="BJ213" s="19" t="s">
        <v>194</v>
      </c>
      <c r="BK213" s="19" t="s">
        <v>195</v>
      </c>
      <c r="BL213" s="19" t="s">
        <v>122</v>
      </c>
      <c r="BM213" s="19" t="s">
        <v>196</v>
      </c>
      <c r="BN213" s="21">
        <v>2.827</v>
      </c>
      <c r="BO213" s="21">
        <v>100.1442134</v>
      </c>
      <c r="BQ213" s="2"/>
      <c r="BR213" s="2"/>
      <c r="BS213" s="2"/>
      <c r="BT213" s="2"/>
      <c r="BU213" s="22"/>
      <c r="BV213" s="2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</row>
    <row r="214" spans="1:95" x14ac:dyDescent="0.25">
      <c r="A214" s="18">
        <v>211</v>
      </c>
      <c r="B214" s="19" t="s">
        <v>3700</v>
      </c>
      <c r="C214" s="19" t="s">
        <v>3701</v>
      </c>
      <c r="D214" s="20">
        <v>46015</v>
      </c>
      <c r="E214" s="20">
        <v>33756</v>
      </c>
      <c r="F214" s="19"/>
      <c r="G214" s="19"/>
      <c r="H214" s="19" t="s">
        <v>94</v>
      </c>
      <c r="I214" s="19"/>
      <c r="J214" s="19"/>
      <c r="K214" s="19"/>
      <c r="L214" s="19" t="s">
        <v>140</v>
      </c>
      <c r="M214" s="19" t="s">
        <v>141</v>
      </c>
      <c r="N214" s="19" t="s">
        <v>3702</v>
      </c>
      <c r="O214" s="19" t="s">
        <v>100</v>
      </c>
      <c r="P214" s="19"/>
      <c r="Q214" s="19"/>
      <c r="R214" s="19"/>
      <c r="S214" s="19"/>
      <c r="T214" s="19"/>
      <c r="U214" s="19"/>
      <c r="V214" s="19"/>
      <c r="W214" s="19"/>
      <c r="X214" s="19"/>
      <c r="Y214" s="19" t="s">
        <v>101</v>
      </c>
      <c r="Z214" s="19" t="s">
        <v>102</v>
      </c>
      <c r="AA214" s="19" t="s">
        <v>103</v>
      </c>
      <c r="AB214" s="19" t="s">
        <v>3703</v>
      </c>
      <c r="AC214" s="19" t="s">
        <v>3704</v>
      </c>
      <c r="AD214" s="19" t="s">
        <v>3705</v>
      </c>
      <c r="AE214" s="19" t="s">
        <v>3706</v>
      </c>
      <c r="AF214" s="19"/>
      <c r="AG214" s="19" t="s">
        <v>3707</v>
      </c>
      <c r="AH214" s="19" t="s">
        <v>327</v>
      </c>
      <c r="AI214" s="19" t="s">
        <v>111</v>
      </c>
      <c r="AJ214" s="19" t="s">
        <v>3708</v>
      </c>
      <c r="AK214" s="19"/>
      <c r="AL214" s="19"/>
      <c r="AM214" s="19" t="s">
        <v>3709</v>
      </c>
      <c r="AN214" s="19" t="s">
        <v>3710</v>
      </c>
      <c r="AO214" s="19" t="s">
        <v>208</v>
      </c>
      <c r="AP214" s="19" t="s">
        <v>209</v>
      </c>
      <c r="AQ214" s="19" t="s">
        <v>117</v>
      </c>
      <c r="AR214" s="19" t="s">
        <v>210</v>
      </c>
      <c r="AS214" s="19" t="s">
        <v>211</v>
      </c>
      <c r="AT214" s="19" t="s">
        <v>212</v>
      </c>
      <c r="AU214" s="19" t="s">
        <v>213</v>
      </c>
      <c r="AV214" s="19" t="s">
        <v>214</v>
      </c>
      <c r="AW214" s="19" t="s">
        <v>215</v>
      </c>
      <c r="AX214" s="19" t="s">
        <v>149</v>
      </c>
      <c r="AY214" s="19" t="s">
        <v>216</v>
      </c>
      <c r="AZ214" s="19" t="s">
        <v>217</v>
      </c>
      <c r="BA214" s="20">
        <v>35521</v>
      </c>
      <c r="BB214" s="19" t="s">
        <v>1388</v>
      </c>
      <c r="BC214" s="19" t="s">
        <v>3711</v>
      </c>
      <c r="BD214" s="19" t="s">
        <v>3712</v>
      </c>
      <c r="BE214" s="19" t="s">
        <v>130</v>
      </c>
      <c r="BF214" s="19" t="s">
        <v>3713</v>
      </c>
      <c r="BG214" s="19"/>
      <c r="BH214" s="19" t="s">
        <v>3714</v>
      </c>
      <c r="BI214" s="19" t="s">
        <v>3714</v>
      </c>
      <c r="BJ214" s="19" t="s">
        <v>194</v>
      </c>
      <c r="BK214" s="19" t="s">
        <v>3715</v>
      </c>
      <c r="BL214" s="19" t="s">
        <v>122</v>
      </c>
      <c r="BM214" s="19" t="s">
        <v>196</v>
      </c>
      <c r="BN214" s="21">
        <v>445.82100000000003</v>
      </c>
      <c r="BO214" s="21">
        <v>15504.941066400001</v>
      </c>
      <c r="BQ214" s="2"/>
      <c r="BR214" s="2"/>
      <c r="BS214" s="2"/>
      <c r="BT214" s="2"/>
      <c r="BU214" s="22"/>
      <c r="BV214" s="2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</row>
    <row r="215" spans="1:95" x14ac:dyDescent="0.25">
      <c r="A215" s="18">
        <v>212</v>
      </c>
      <c r="B215" s="19" t="s">
        <v>3716</v>
      </c>
      <c r="C215" s="19" t="s">
        <v>3717</v>
      </c>
      <c r="D215" s="20">
        <v>46015</v>
      </c>
      <c r="E215" s="20">
        <v>26721</v>
      </c>
      <c r="F215" s="19" t="s">
        <v>3718</v>
      </c>
      <c r="G215" s="19" t="s">
        <v>1248</v>
      </c>
      <c r="H215" s="19" t="s">
        <v>94</v>
      </c>
      <c r="I215" s="19"/>
      <c r="J215" s="19"/>
      <c r="K215" s="19"/>
      <c r="L215" s="19" t="s">
        <v>101</v>
      </c>
      <c r="M215" s="19" t="s">
        <v>290</v>
      </c>
      <c r="N215" s="19" t="s">
        <v>3719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 t="s">
        <v>101</v>
      </c>
      <c r="Z215" s="19" t="s">
        <v>102</v>
      </c>
      <c r="AA215" s="19" t="s">
        <v>103</v>
      </c>
      <c r="AB215" s="19" t="s">
        <v>402</v>
      </c>
      <c r="AC215" s="19" t="s">
        <v>403</v>
      </c>
      <c r="AD215" s="19" t="s">
        <v>3720</v>
      </c>
      <c r="AE215" s="19" t="s">
        <v>2020</v>
      </c>
      <c r="AF215" s="19"/>
      <c r="AG215" s="19" t="s">
        <v>2041</v>
      </c>
      <c r="AH215" s="19" t="s">
        <v>149</v>
      </c>
      <c r="AI215" s="19" t="s">
        <v>111</v>
      </c>
      <c r="AJ215" s="19" t="s">
        <v>1159</v>
      </c>
      <c r="AK215" s="19"/>
      <c r="AL215" s="19"/>
      <c r="AM215" s="19" t="s">
        <v>2043</v>
      </c>
      <c r="AN215" s="19" t="s">
        <v>2044</v>
      </c>
      <c r="AO215" s="19" t="s">
        <v>1095</v>
      </c>
      <c r="AP215" s="19" t="s">
        <v>1096</v>
      </c>
      <c r="AQ215" s="19" t="s">
        <v>117</v>
      </c>
      <c r="AR215" s="19" t="s">
        <v>1097</v>
      </c>
      <c r="AS215" s="19" t="s">
        <v>1098</v>
      </c>
      <c r="AT215" s="19" t="s">
        <v>1099</v>
      </c>
      <c r="AU215" s="19" t="s">
        <v>1100</v>
      </c>
      <c r="AV215" s="19" t="s">
        <v>219</v>
      </c>
      <c r="AW215" s="19" t="s">
        <v>1101</v>
      </c>
      <c r="AX215" s="19" t="s">
        <v>124</v>
      </c>
      <c r="AY215" s="19"/>
      <c r="AZ215" s="19" t="s">
        <v>1102</v>
      </c>
      <c r="BA215" s="20">
        <v>40110</v>
      </c>
      <c r="BB215" s="19" t="s">
        <v>444</v>
      </c>
      <c r="BC215" s="19" t="s">
        <v>2016</v>
      </c>
      <c r="BD215" s="19" t="s">
        <v>2041</v>
      </c>
      <c r="BE215" s="19" t="s">
        <v>130</v>
      </c>
      <c r="BF215" s="19" t="s">
        <v>3721</v>
      </c>
      <c r="BG215" s="19"/>
      <c r="BH215" s="19" t="s">
        <v>2046</v>
      </c>
      <c r="BI215" s="19" t="s">
        <v>2046</v>
      </c>
      <c r="BJ215" s="19" t="s">
        <v>1259</v>
      </c>
      <c r="BK215" s="19" t="s">
        <v>591</v>
      </c>
      <c r="BL215" s="19" t="s">
        <v>122</v>
      </c>
      <c r="BM215" s="19" t="s">
        <v>592</v>
      </c>
      <c r="BN215" s="21">
        <v>1.321</v>
      </c>
      <c r="BO215" s="21">
        <v>2501.0889299999999</v>
      </c>
      <c r="BQ215" s="2"/>
      <c r="BR215" s="2"/>
      <c r="BS215" s="2"/>
      <c r="BT215" s="2"/>
      <c r="BU215" s="22"/>
      <c r="BV215" s="2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</row>
    <row r="216" spans="1:95" x14ac:dyDescent="0.25">
      <c r="A216" s="18">
        <v>213</v>
      </c>
      <c r="B216" s="19" t="s">
        <v>3722</v>
      </c>
      <c r="C216" s="19" t="s">
        <v>3723</v>
      </c>
      <c r="D216" s="20">
        <v>46014</v>
      </c>
      <c r="E216" s="20">
        <v>38218</v>
      </c>
      <c r="F216" s="19"/>
      <c r="G216" s="19"/>
      <c r="H216" s="19" t="s">
        <v>94</v>
      </c>
      <c r="I216" s="19"/>
      <c r="J216" s="19" t="s">
        <v>287</v>
      </c>
      <c r="K216" s="19" t="s">
        <v>288</v>
      </c>
      <c r="L216" s="19" t="s">
        <v>1262</v>
      </c>
      <c r="M216" s="19" t="s">
        <v>1263</v>
      </c>
      <c r="N216" s="19" t="s">
        <v>3724</v>
      </c>
      <c r="O216" s="19" t="s">
        <v>100</v>
      </c>
      <c r="P216" s="19"/>
      <c r="Q216" s="19"/>
      <c r="R216" s="19"/>
      <c r="S216" s="19"/>
      <c r="T216" s="19"/>
      <c r="U216" s="19"/>
      <c r="V216" s="19"/>
      <c r="W216" s="19"/>
      <c r="X216" s="19"/>
      <c r="Y216" s="19" t="s">
        <v>101</v>
      </c>
      <c r="Z216" s="19" t="s">
        <v>102</v>
      </c>
      <c r="AA216" s="19" t="s">
        <v>103</v>
      </c>
      <c r="AB216" s="19" t="s">
        <v>402</v>
      </c>
      <c r="AC216" s="19" t="s">
        <v>403</v>
      </c>
      <c r="AD216" s="19" t="s">
        <v>3725</v>
      </c>
      <c r="AE216" s="19" t="s">
        <v>3726</v>
      </c>
      <c r="AF216" s="19"/>
      <c r="AG216" s="19" t="s">
        <v>3727</v>
      </c>
      <c r="AH216" s="19" t="s">
        <v>124</v>
      </c>
      <c r="AI216" s="19" t="s">
        <v>111</v>
      </c>
      <c r="AJ216" s="19" t="s">
        <v>3728</v>
      </c>
      <c r="AK216" s="19"/>
      <c r="AL216" s="19"/>
      <c r="AM216" s="19" t="s">
        <v>3729</v>
      </c>
      <c r="AN216" s="19" t="s">
        <v>3730</v>
      </c>
      <c r="AO216" s="19" t="s">
        <v>3731</v>
      </c>
      <c r="AP216" s="19" t="s">
        <v>3732</v>
      </c>
      <c r="AQ216" s="19" t="s">
        <v>117</v>
      </c>
      <c r="AR216" s="19" t="s">
        <v>3733</v>
      </c>
      <c r="AS216" s="19" t="s">
        <v>3734</v>
      </c>
      <c r="AT216" s="19" t="s">
        <v>3735</v>
      </c>
      <c r="AU216" s="19"/>
      <c r="AV216" s="19" t="s">
        <v>3736</v>
      </c>
      <c r="AW216" s="19" t="s">
        <v>3737</v>
      </c>
      <c r="AX216" s="19" t="s">
        <v>124</v>
      </c>
      <c r="AY216" s="19" t="s">
        <v>3738</v>
      </c>
      <c r="AZ216" s="19" t="s">
        <v>3739</v>
      </c>
      <c r="BA216" s="20">
        <v>44695</v>
      </c>
      <c r="BB216" s="19" t="s">
        <v>312</v>
      </c>
      <c r="BC216" s="19" t="s">
        <v>3740</v>
      </c>
      <c r="BD216" s="19" t="s">
        <v>3741</v>
      </c>
      <c r="BE216" s="19" t="s">
        <v>130</v>
      </c>
      <c r="BF216" s="19" t="s">
        <v>3742</v>
      </c>
      <c r="BG216" s="19"/>
      <c r="BH216" s="19" t="s">
        <v>3743</v>
      </c>
      <c r="BI216" s="19" t="s">
        <v>3743</v>
      </c>
      <c r="BJ216" s="19" t="s">
        <v>166</v>
      </c>
      <c r="BK216" s="19" t="s">
        <v>195</v>
      </c>
      <c r="BL216" s="19" t="s">
        <v>122</v>
      </c>
      <c r="BM216" s="19" t="s">
        <v>196</v>
      </c>
      <c r="BN216" s="21">
        <v>31.713999999999999</v>
      </c>
      <c r="BO216" s="21">
        <v>60045.067620000002</v>
      </c>
      <c r="BQ216" s="2"/>
      <c r="BR216" s="2"/>
      <c r="BS216" s="2"/>
      <c r="BT216" s="2"/>
      <c r="BU216" s="22"/>
      <c r="BV216" s="2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</row>
    <row r="217" spans="1:95" x14ac:dyDescent="0.25">
      <c r="A217" s="18">
        <v>214</v>
      </c>
      <c r="B217" s="19" t="s">
        <v>3744</v>
      </c>
      <c r="C217" s="19" t="s">
        <v>3745</v>
      </c>
      <c r="D217" s="20">
        <v>46017</v>
      </c>
      <c r="E217" s="20">
        <v>28438</v>
      </c>
      <c r="F217" s="19" t="s">
        <v>3746</v>
      </c>
      <c r="G217" s="19" t="s">
        <v>139</v>
      </c>
      <c r="H217" s="19" t="s">
        <v>117</v>
      </c>
      <c r="I217" s="19" t="s">
        <v>3747</v>
      </c>
      <c r="J217" s="19"/>
      <c r="K217" s="19"/>
      <c r="L217" s="19" t="s">
        <v>101</v>
      </c>
      <c r="M217" s="19" t="s">
        <v>290</v>
      </c>
      <c r="N217" s="19" t="s">
        <v>3748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 t="s">
        <v>101</v>
      </c>
      <c r="Z217" s="19" t="s">
        <v>102</v>
      </c>
      <c r="AA217" s="19" t="s">
        <v>103</v>
      </c>
      <c r="AB217" s="19" t="s">
        <v>173</v>
      </c>
      <c r="AC217" s="19" t="s">
        <v>174</v>
      </c>
      <c r="AD217" s="19" t="s">
        <v>3749</v>
      </c>
      <c r="AE217" s="19" t="s">
        <v>3750</v>
      </c>
      <c r="AF217" s="19" t="s">
        <v>3751</v>
      </c>
      <c r="AG217" s="19" t="s">
        <v>3752</v>
      </c>
      <c r="AH217" s="19" t="s">
        <v>262</v>
      </c>
      <c r="AI217" s="19" t="s">
        <v>111</v>
      </c>
      <c r="AJ217" s="19" t="s">
        <v>525</v>
      </c>
      <c r="AK217" s="19"/>
      <c r="AL217" s="19"/>
      <c r="AM217" s="19" t="s">
        <v>3753</v>
      </c>
      <c r="AN217" s="19" t="s">
        <v>3754</v>
      </c>
      <c r="AO217" s="19" t="s">
        <v>476</v>
      </c>
      <c r="AP217" s="19" t="s">
        <v>477</v>
      </c>
      <c r="AQ217" s="19" t="s">
        <v>117</v>
      </c>
      <c r="AR217" s="19" t="s">
        <v>478</v>
      </c>
      <c r="AS217" s="19"/>
      <c r="AT217" s="19"/>
      <c r="AU217" s="19"/>
      <c r="AV217" s="19"/>
      <c r="AW217" s="19"/>
      <c r="AX217" s="19"/>
      <c r="AY217" s="19"/>
      <c r="AZ217" s="19"/>
      <c r="BA217" s="20">
        <v>44452</v>
      </c>
      <c r="BB217" s="19" t="s">
        <v>479</v>
      </c>
      <c r="BC217" s="19" t="s">
        <v>3755</v>
      </c>
      <c r="BD217" s="19" t="s">
        <v>3756</v>
      </c>
      <c r="BE217" s="19" t="s">
        <v>130</v>
      </c>
      <c r="BF217" s="19" t="s">
        <v>3757</v>
      </c>
      <c r="BG217" s="19"/>
      <c r="BH217" s="19" t="s">
        <v>3758</v>
      </c>
      <c r="BI217" s="19" t="s">
        <v>3758</v>
      </c>
      <c r="BJ217" s="19" t="s">
        <v>166</v>
      </c>
      <c r="BK217" s="19" t="s">
        <v>167</v>
      </c>
      <c r="BL217" s="19" t="s">
        <v>168</v>
      </c>
      <c r="BM217" s="19" t="s">
        <v>169</v>
      </c>
      <c r="BN217" s="21">
        <v>1395.6969999999999</v>
      </c>
      <c r="BO217" s="21">
        <v>49441.449667399997</v>
      </c>
      <c r="BQ217" s="2"/>
      <c r="BR217" s="2"/>
      <c r="BS217" s="2"/>
      <c r="BT217" s="2"/>
      <c r="BU217" s="22"/>
      <c r="BV217" s="2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</row>
    <row r="218" spans="1:95" x14ac:dyDescent="0.25">
      <c r="A218" s="18">
        <v>215</v>
      </c>
      <c r="B218" s="19" t="s">
        <v>3759</v>
      </c>
      <c r="C218" s="19" t="s">
        <v>3760</v>
      </c>
      <c r="D218" s="20">
        <v>46017</v>
      </c>
      <c r="E218" s="20">
        <v>33417</v>
      </c>
      <c r="F218" s="19"/>
      <c r="G218" s="19"/>
      <c r="H218" s="19" t="s">
        <v>94</v>
      </c>
      <c r="I218" s="19"/>
      <c r="J218" s="19"/>
      <c r="K218" s="19"/>
      <c r="L218" s="19" t="s">
        <v>140</v>
      </c>
      <c r="M218" s="19" t="s">
        <v>141</v>
      </c>
      <c r="N218" s="19" t="s">
        <v>3761</v>
      </c>
      <c r="O218" s="19" t="s">
        <v>100</v>
      </c>
      <c r="P218" s="19"/>
      <c r="Q218" s="19"/>
      <c r="R218" s="19"/>
      <c r="S218" s="19"/>
      <c r="T218" s="19"/>
      <c r="U218" s="19"/>
      <c r="V218" s="19"/>
      <c r="W218" s="19"/>
      <c r="X218" s="19"/>
      <c r="Y218" s="19" t="s">
        <v>101</v>
      </c>
      <c r="Z218" s="19" t="s">
        <v>102</v>
      </c>
      <c r="AA218" s="19" t="s">
        <v>103</v>
      </c>
      <c r="AB218" s="19" t="s">
        <v>173</v>
      </c>
      <c r="AC218" s="19" t="s">
        <v>174</v>
      </c>
      <c r="AD218" s="19" t="s">
        <v>3762</v>
      </c>
      <c r="AE218" s="19" t="s">
        <v>3763</v>
      </c>
      <c r="AF218" s="19" t="s">
        <v>3764</v>
      </c>
      <c r="AG218" s="19" t="s">
        <v>3765</v>
      </c>
      <c r="AH218" s="19" t="s">
        <v>124</v>
      </c>
      <c r="AI218" s="19" t="s">
        <v>111</v>
      </c>
      <c r="AJ218" s="19" t="s">
        <v>3766</v>
      </c>
      <c r="AK218" s="19"/>
      <c r="AL218" s="19"/>
      <c r="AM218" s="19" t="s">
        <v>3767</v>
      </c>
      <c r="AN218" s="19" t="s">
        <v>3768</v>
      </c>
      <c r="AO218" s="19" t="s">
        <v>181</v>
      </c>
      <c r="AP218" s="19" t="s">
        <v>182</v>
      </c>
      <c r="AQ218" s="19" t="s">
        <v>117</v>
      </c>
      <c r="AR218" s="19" t="s">
        <v>183</v>
      </c>
      <c r="AS218" s="19" t="s">
        <v>184</v>
      </c>
      <c r="AT218" s="19" t="s">
        <v>185</v>
      </c>
      <c r="AU218" s="19"/>
      <c r="AV218" s="19" t="s">
        <v>186</v>
      </c>
      <c r="AW218" s="19" t="s">
        <v>187</v>
      </c>
      <c r="AX218" s="19" t="s">
        <v>188</v>
      </c>
      <c r="AY218" s="19"/>
      <c r="AZ218" s="19" t="s">
        <v>189</v>
      </c>
      <c r="BA218" s="20">
        <v>44673</v>
      </c>
      <c r="BB218" s="19" t="s">
        <v>3301</v>
      </c>
      <c r="BC218" s="19" t="s">
        <v>3769</v>
      </c>
      <c r="BD218" s="19" t="s">
        <v>3769</v>
      </c>
      <c r="BE218" s="19" t="s">
        <v>130</v>
      </c>
      <c r="BF218" s="19" t="s">
        <v>3770</v>
      </c>
      <c r="BG218" s="19"/>
      <c r="BH218" s="19" t="s">
        <v>3771</v>
      </c>
      <c r="BI218" s="19" t="s">
        <v>3771</v>
      </c>
      <c r="BJ218" s="19" t="s">
        <v>194</v>
      </c>
      <c r="BK218" s="19" t="s">
        <v>195</v>
      </c>
      <c r="BL218" s="19" t="s">
        <v>122</v>
      </c>
      <c r="BM218" s="19" t="s">
        <v>196</v>
      </c>
      <c r="BN218" s="21">
        <v>2.819</v>
      </c>
      <c r="BO218" s="21">
        <v>99.860819800000002</v>
      </c>
      <c r="BQ218" s="2"/>
      <c r="BR218" s="2"/>
      <c r="BS218" s="2"/>
      <c r="BT218" s="2"/>
      <c r="BU218" s="22"/>
      <c r="BV218" s="2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</row>
    <row r="219" spans="1:95" x14ac:dyDescent="0.25">
      <c r="A219" s="18">
        <v>216</v>
      </c>
      <c r="B219" s="19" t="s">
        <v>3772</v>
      </c>
      <c r="C219" s="19" t="s">
        <v>3773</v>
      </c>
      <c r="D219" s="20">
        <v>46017</v>
      </c>
      <c r="E219" s="20">
        <v>36276</v>
      </c>
      <c r="F219" s="19"/>
      <c r="G219" s="19"/>
      <c r="H219" s="19" t="s">
        <v>94</v>
      </c>
      <c r="I219" s="19"/>
      <c r="J219" s="19"/>
      <c r="K219" s="19"/>
      <c r="L219" s="19" t="s">
        <v>467</v>
      </c>
      <c r="M219" s="19" t="s">
        <v>468</v>
      </c>
      <c r="N219" s="19" t="s">
        <v>3774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 t="s">
        <v>101</v>
      </c>
      <c r="Z219" s="19" t="s">
        <v>102</v>
      </c>
      <c r="AA219" s="19" t="s">
        <v>103</v>
      </c>
      <c r="AB219" s="19" t="s">
        <v>173</v>
      </c>
      <c r="AC219" s="19" t="s">
        <v>174</v>
      </c>
      <c r="AD219" s="19" t="s">
        <v>3775</v>
      </c>
      <c r="AE219" s="19" t="s">
        <v>3776</v>
      </c>
      <c r="AF219" s="19" t="s">
        <v>3777</v>
      </c>
      <c r="AG219" s="19" t="s">
        <v>3778</v>
      </c>
      <c r="AH219" s="19" t="s">
        <v>231</v>
      </c>
      <c r="AI219" s="19" t="s">
        <v>111</v>
      </c>
      <c r="AJ219" s="19" t="s">
        <v>3779</v>
      </c>
      <c r="AK219" s="19"/>
      <c r="AL219" s="19"/>
      <c r="AM219" s="19" t="s">
        <v>3780</v>
      </c>
      <c r="AN219" s="19" t="s">
        <v>3781</v>
      </c>
      <c r="AO219" s="19" t="s">
        <v>181</v>
      </c>
      <c r="AP219" s="19" t="s">
        <v>182</v>
      </c>
      <c r="AQ219" s="19" t="s">
        <v>117</v>
      </c>
      <c r="AR219" s="19" t="s">
        <v>183</v>
      </c>
      <c r="AS219" s="19" t="s">
        <v>184</v>
      </c>
      <c r="AT219" s="19" t="s">
        <v>185</v>
      </c>
      <c r="AU219" s="19"/>
      <c r="AV219" s="19" t="s">
        <v>186</v>
      </c>
      <c r="AW219" s="19" t="s">
        <v>187</v>
      </c>
      <c r="AX219" s="19" t="s">
        <v>188</v>
      </c>
      <c r="AY219" s="19"/>
      <c r="AZ219" s="19" t="s">
        <v>189</v>
      </c>
      <c r="BA219" s="20">
        <v>44673</v>
      </c>
      <c r="BB219" s="19" t="s">
        <v>331</v>
      </c>
      <c r="BC219" s="19" t="s">
        <v>3778</v>
      </c>
      <c r="BD219" s="19" t="s">
        <v>3777</v>
      </c>
      <c r="BE219" s="19" t="s">
        <v>130</v>
      </c>
      <c r="BF219" s="19" t="s">
        <v>3782</v>
      </c>
      <c r="BG219" s="19"/>
      <c r="BH219" s="19" t="s">
        <v>3783</v>
      </c>
      <c r="BI219" s="19" t="s">
        <v>3783</v>
      </c>
      <c r="BJ219" s="19" t="s">
        <v>194</v>
      </c>
      <c r="BK219" s="19" t="s">
        <v>195</v>
      </c>
      <c r="BL219" s="19" t="s">
        <v>122</v>
      </c>
      <c r="BM219" s="19" t="s">
        <v>196</v>
      </c>
      <c r="BN219" s="21">
        <v>2.7919999999999998</v>
      </c>
      <c r="BO219" s="21">
        <v>98.904366400000001</v>
      </c>
      <c r="BQ219" s="2"/>
      <c r="BR219" s="2"/>
      <c r="BS219" s="2"/>
      <c r="BT219" s="2"/>
      <c r="BU219" s="22"/>
      <c r="BV219" s="2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</row>
    <row r="220" spans="1:95" x14ac:dyDescent="0.25">
      <c r="A220" s="18">
        <v>217</v>
      </c>
      <c r="B220" s="19" t="s">
        <v>3784</v>
      </c>
      <c r="C220" s="19" t="s">
        <v>3785</v>
      </c>
      <c r="D220" s="20">
        <v>46017</v>
      </c>
      <c r="E220" s="20">
        <v>32889</v>
      </c>
      <c r="F220" s="19"/>
      <c r="G220" s="19"/>
      <c r="H220" s="19" t="s">
        <v>94</v>
      </c>
      <c r="I220" s="19"/>
      <c r="J220" s="19" t="s">
        <v>287</v>
      </c>
      <c r="K220" s="19" t="s">
        <v>288</v>
      </c>
      <c r="L220" s="19" t="s">
        <v>97</v>
      </c>
      <c r="M220" s="19" t="s">
        <v>98</v>
      </c>
      <c r="N220" s="19" t="s">
        <v>3786</v>
      </c>
      <c r="O220" s="19" t="s">
        <v>100</v>
      </c>
      <c r="P220" s="19"/>
      <c r="Q220" s="19"/>
      <c r="R220" s="19"/>
      <c r="S220" s="19"/>
      <c r="T220" s="19"/>
      <c r="U220" s="19"/>
      <c r="V220" s="19"/>
      <c r="W220" s="19"/>
      <c r="X220" s="19"/>
      <c r="Y220" s="19" t="s">
        <v>101</v>
      </c>
      <c r="Z220" s="19" t="s">
        <v>102</v>
      </c>
      <c r="AA220" s="19" t="s">
        <v>103</v>
      </c>
      <c r="AB220" s="19" t="s">
        <v>402</v>
      </c>
      <c r="AC220" s="19" t="s">
        <v>403</v>
      </c>
      <c r="AD220" s="19" t="s">
        <v>3787</v>
      </c>
      <c r="AE220" s="19" t="s">
        <v>3788</v>
      </c>
      <c r="AF220" s="19"/>
      <c r="AG220" s="19" t="s">
        <v>3789</v>
      </c>
      <c r="AH220" s="19" t="s">
        <v>124</v>
      </c>
      <c r="AI220" s="19" t="s">
        <v>111</v>
      </c>
      <c r="AJ220" s="19" t="s">
        <v>3428</v>
      </c>
      <c r="AK220" s="19"/>
      <c r="AL220" s="19"/>
      <c r="AM220" s="19" t="s">
        <v>3790</v>
      </c>
      <c r="AN220" s="19" t="s">
        <v>3791</v>
      </c>
      <c r="AO220" s="19" t="s">
        <v>3792</v>
      </c>
      <c r="AP220" s="19" t="s">
        <v>3793</v>
      </c>
      <c r="AQ220" s="19" t="s">
        <v>117</v>
      </c>
      <c r="AR220" s="19" t="s">
        <v>3794</v>
      </c>
      <c r="AS220" s="19" t="s">
        <v>3795</v>
      </c>
      <c r="AT220" s="19" t="s">
        <v>3796</v>
      </c>
      <c r="AU220" s="19" t="s">
        <v>3797</v>
      </c>
      <c r="AV220" s="19" t="s">
        <v>219</v>
      </c>
      <c r="AW220" s="19" t="s">
        <v>2094</v>
      </c>
      <c r="AX220" s="19" t="s">
        <v>124</v>
      </c>
      <c r="AY220" s="19" t="s">
        <v>3798</v>
      </c>
      <c r="AZ220" s="19" t="s">
        <v>3799</v>
      </c>
      <c r="BA220" s="20">
        <v>37992</v>
      </c>
      <c r="BB220" s="19" t="s">
        <v>3800</v>
      </c>
      <c r="BC220" s="19" t="s">
        <v>3801</v>
      </c>
      <c r="BD220" s="19" t="s">
        <v>2275</v>
      </c>
      <c r="BE220" s="19" t="s">
        <v>130</v>
      </c>
      <c r="BF220" s="19" t="s">
        <v>3802</v>
      </c>
      <c r="BG220" s="19" t="s">
        <v>3803</v>
      </c>
      <c r="BH220" s="19" t="s">
        <v>3804</v>
      </c>
      <c r="BI220" s="19" t="s">
        <v>3804</v>
      </c>
      <c r="BJ220" s="19" t="s">
        <v>166</v>
      </c>
      <c r="BK220" s="19" t="s">
        <v>3805</v>
      </c>
      <c r="BL220" s="19" t="s">
        <v>122</v>
      </c>
      <c r="BM220" s="19" t="s">
        <v>196</v>
      </c>
      <c r="BN220" s="21">
        <v>1.0609999999999999</v>
      </c>
      <c r="BO220" s="21">
        <v>2008.82313</v>
      </c>
      <c r="BQ220" s="2"/>
      <c r="BR220" s="2"/>
      <c r="BS220" s="2"/>
      <c r="BT220" s="2"/>
      <c r="BU220" s="22"/>
      <c r="BV220" s="2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</row>
    <row r="221" spans="1:95" x14ac:dyDescent="0.25">
      <c r="A221" s="18">
        <v>218</v>
      </c>
      <c r="B221" s="19" t="s">
        <v>3806</v>
      </c>
      <c r="C221" s="19" t="s">
        <v>3807</v>
      </c>
      <c r="D221" s="20">
        <v>46017</v>
      </c>
      <c r="E221" s="20">
        <v>34085</v>
      </c>
      <c r="F221" s="19"/>
      <c r="G221" s="19"/>
      <c r="H221" s="19" t="s">
        <v>94</v>
      </c>
      <c r="I221" s="19"/>
      <c r="J221" s="19"/>
      <c r="K221" s="19"/>
      <c r="L221" s="19" t="s">
        <v>3808</v>
      </c>
      <c r="M221" s="19" t="s">
        <v>2360</v>
      </c>
      <c r="N221" s="19" t="s">
        <v>3809</v>
      </c>
      <c r="O221" s="19" t="s">
        <v>100</v>
      </c>
      <c r="P221" s="19"/>
      <c r="Q221" s="19"/>
      <c r="R221" s="19"/>
      <c r="S221" s="19"/>
      <c r="T221" s="19"/>
      <c r="U221" s="19"/>
      <c r="V221" s="19"/>
      <c r="W221" s="19"/>
      <c r="X221" s="19"/>
      <c r="Y221" s="19" t="s">
        <v>101</v>
      </c>
      <c r="Z221" s="19" t="s">
        <v>102</v>
      </c>
      <c r="AA221" s="19" t="s">
        <v>103</v>
      </c>
      <c r="AB221" s="19" t="s">
        <v>173</v>
      </c>
      <c r="AC221" s="19" t="s">
        <v>174</v>
      </c>
      <c r="AD221" s="19" t="s">
        <v>3810</v>
      </c>
      <c r="AE221" s="19" t="s">
        <v>3811</v>
      </c>
      <c r="AF221" s="19"/>
      <c r="AG221" s="19" t="s">
        <v>3812</v>
      </c>
      <c r="AH221" s="19" t="s">
        <v>707</v>
      </c>
      <c r="AI221" s="19" t="s">
        <v>111</v>
      </c>
      <c r="AJ221" s="19" t="s">
        <v>3813</v>
      </c>
      <c r="AK221" s="19"/>
      <c r="AL221" s="19"/>
      <c r="AM221" s="19" t="s">
        <v>3814</v>
      </c>
      <c r="AN221" s="19" t="s">
        <v>3815</v>
      </c>
      <c r="AO221" s="19" t="s">
        <v>2797</v>
      </c>
      <c r="AP221" s="19" t="s">
        <v>1034</v>
      </c>
      <c r="AQ221" s="19" t="s">
        <v>94</v>
      </c>
      <c r="AR221" s="19" t="s">
        <v>1035</v>
      </c>
      <c r="AS221" s="19" t="s">
        <v>2798</v>
      </c>
      <c r="AT221" s="19" t="s">
        <v>2799</v>
      </c>
      <c r="AU221" s="19" t="s">
        <v>2800</v>
      </c>
      <c r="AV221" s="19" t="s">
        <v>2800</v>
      </c>
      <c r="AW221" s="19" t="s">
        <v>1755</v>
      </c>
      <c r="AX221" s="19" t="s">
        <v>188</v>
      </c>
      <c r="AY221" s="19" t="s">
        <v>2801</v>
      </c>
      <c r="AZ221" s="19" t="s">
        <v>2802</v>
      </c>
      <c r="BA221" s="20">
        <v>45467</v>
      </c>
      <c r="BB221" s="19" t="s">
        <v>331</v>
      </c>
      <c r="BC221" s="19" t="s">
        <v>3816</v>
      </c>
      <c r="BD221" s="19" t="s">
        <v>3812</v>
      </c>
      <c r="BE221" s="19" t="s">
        <v>130</v>
      </c>
      <c r="BF221" s="19" t="s">
        <v>3817</v>
      </c>
      <c r="BG221" s="19"/>
      <c r="BH221" s="19" t="s">
        <v>3818</v>
      </c>
      <c r="BI221" s="19" t="s">
        <v>3818</v>
      </c>
      <c r="BJ221" s="19" t="s">
        <v>194</v>
      </c>
      <c r="BK221" s="19" t="s">
        <v>1043</v>
      </c>
      <c r="BL221" s="19" t="s">
        <v>1044</v>
      </c>
      <c r="BM221" s="19" t="s">
        <v>1045</v>
      </c>
      <c r="BN221" s="21">
        <v>558.279</v>
      </c>
      <c r="BO221" s="21">
        <v>19776.5869518</v>
      </c>
      <c r="BQ221" s="2"/>
      <c r="BR221" s="2"/>
      <c r="BS221" s="2"/>
      <c r="BT221" s="2"/>
      <c r="BU221" s="22"/>
      <c r="BV221" s="2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</row>
    <row r="222" spans="1:95" x14ac:dyDescent="0.25">
      <c r="A222" s="18">
        <v>219</v>
      </c>
      <c r="B222" s="19" t="s">
        <v>3819</v>
      </c>
      <c r="C222" s="19" t="s">
        <v>3820</v>
      </c>
      <c r="D222" s="20">
        <v>46017</v>
      </c>
      <c r="E222" s="20">
        <v>31895</v>
      </c>
      <c r="F222" s="19"/>
      <c r="G222" s="19"/>
      <c r="H222" s="19" t="s">
        <v>94</v>
      </c>
      <c r="I222" s="19"/>
      <c r="J222" s="19"/>
      <c r="K222" s="19"/>
      <c r="L222" s="19" t="s">
        <v>3821</v>
      </c>
      <c r="M222" s="19" t="s">
        <v>3822</v>
      </c>
      <c r="N222" s="19" t="s">
        <v>3823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 t="s">
        <v>101</v>
      </c>
      <c r="Z222" s="19" t="s">
        <v>102</v>
      </c>
      <c r="AA222" s="19" t="s">
        <v>103</v>
      </c>
      <c r="AB222" s="19" t="s">
        <v>201</v>
      </c>
      <c r="AC222" s="19" t="s">
        <v>202</v>
      </c>
      <c r="AD222" s="19" t="s">
        <v>3824</v>
      </c>
      <c r="AE222" s="19"/>
      <c r="AF222" s="19"/>
      <c r="AG222" s="19" t="s">
        <v>2041</v>
      </c>
      <c r="AH222" s="19" t="s">
        <v>149</v>
      </c>
      <c r="AI222" s="19" t="s">
        <v>111</v>
      </c>
      <c r="AJ222" s="19" t="s">
        <v>3825</v>
      </c>
      <c r="AK222" s="19"/>
      <c r="AL222" s="19"/>
      <c r="AM222" s="19" t="s">
        <v>3826</v>
      </c>
      <c r="AN222" s="19" t="s">
        <v>3827</v>
      </c>
      <c r="AO222" s="19" t="s">
        <v>208</v>
      </c>
      <c r="AP222" s="19" t="s">
        <v>209</v>
      </c>
      <c r="AQ222" s="19" t="s">
        <v>117</v>
      </c>
      <c r="AR222" s="19" t="s">
        <v>210</v>
      </c>
      <c r="AS222" s="19" t="s">
        <v>211</v>
      </c>
      <c r="AT222" s="19" t="s">
        <v>212</v>
      </c>
      <c r="AU222" s="19" t="s">
        <v>213</v>
      </c>
      <c r="AV222" s="19" t="s">
        <v>214</v>
      </c>
      <c r="AW222" s="19" t="s">
        <v>215</v>
      </c>
      <c r="AX222" s="19" t="s">
        <v>149</v>
      </c>
      <c r="AY222" s="19" t="s">
        <v>216</v>
      </c>
      <c r="AZ222" s="19" t="s">
        <v>217</v>
      </c>
      <c r="BA222" s="20">
        <v>35521</v>
      </c>
      <c r="BB222" s="19" t="s">
        <v>265</v>
      </c>
      <c r="BC222" s="19" t="s">
        <v>3828</v>
      </c>
      <c r="BD222" s="19" t="s">
        <v>3060</v>
      </c>
      <c r="BE222" s="19" t="s">
        <v>130</v>
      </c>
      <c r="BF222" s="19" t="s">
        <v>3829</v>
      </c>
      <c r="BG222" s="19"/>
      <c r="BH222" s="19" t="s">
        <v>3830</v>
      </c>
      <c r="BI222" s="19" t="s">
        <v>3830</v>
      </c>
      <c r="BJ222" s="19" t="s">
        <v>1259</v>
      </c>
      <c r="BK222" s="19" t="s">
        <v>1491</v>
      </c>
      <c r="BL222" s="19" t="s">
        <v>122</v>
      </c>
      <c r="BM222" s="19" t="s">
        <v>196</v>
      </c>
      <c r="BN222" s="21">
        <v>17.684999999999999</v>
      </c>
      <c r="BO222" s="21">
        <v>1498.1317200000001</v>
      </c>
      <c r="BQ222" s="2"/>
      <c r="BR222" s="2"/>
      <c r="BS222" s="2"/>
      <c r="BT222" s="2"/>
      <c r="BU222" s="22"/>
      <c r="BV222" s="2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</row>
    <row r="223" spans="1:95" x14ac:dyDescent="0.25">
      <c r="A223" s="18">
        <v>220</v>
      </c>
      <c r="B223" s="19" t="s">
        <v>3831</v>
      </c>
      <c r="C223" s="19" t="s">
        <v>3832</v>
      </c>
      <c r="D223" s="20">
        <v>46022</v>
      </c>
      <c r="E223" s="20">
        <v>30296</v>
      </c>
      <c r="F223" s="19" t="s">
        <v>3833</v>
      </c>
      <c r="G223" s="19" t="s">
        <v>139</v>
      </c>
      <c r="H223" s="19" t="s">
        <v>94</v>
      </c>
      <c r="I223" s="19"/>
      <c r="J223" s="19"/>
      <c r="K223" s="19"/>
      <c r="L223" s="19" t="s">
        <v>244</v>
      </c>
      <c r="M223" s="19" t="s">
        <v>245</v>
      </c>
      <c r="N223" s="19" t="s">
        <v>3834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 t="s">
        <v>101</v>
      </c>
      <c r="Z223" s="19" t="s">
        <v>102</v>
      </c>
      <c r="AA223" s="19" t="s">
        <v>103</v>
      </c>
      <c r="AB223" s="19" t="s">
        <v>143</v>
      </c>
      <c r="AC223" s="19" t="s">
        <v>144</v>
      </c>
      <c r="AD223" s="19" t="s">
        <v>3835</v>
      </c>
      <c r="AE223" s="19" t="s">
        <v>3836</v>
      </c>
      <c r="AF223" s="19"/>
      <c r="AG223" s="19" t="s">
        <v>3837</v>
      </c>
      <c r="AH223" s="19" t="s">
        <v>149</v>
      </c>
      <c r="AI223" s="19" t="s">
        <v>111</v>
      </c>
      <c r="AJ223" s="19" t="s">
        <v>3838</v>
      </c>
      <c r="AK223" s="19"/>
      <c r="AL223" s="19"/>
      <c r="AM223" s="19" t="s">
        <v>3839</v>
      </c>
      <c r="AN223" s="19" t="s">
        <v>3840</v>
      </c>
      <c r="AO223" s="19" t="s">
        <v>255</v>
      </c>
      <c r="AP223" s="19" t="s">
        <v>256</v>
      </c>
      <c r="AQ223" s="19" t="s">
        <v>117</v>
      </c>
      <c r="AR223" s="19" t="s">
        <v>257</v>
      </c>
      <c r="AS223" s="19" t="s">
        <v>258</v>
      </c>
      <c r="AT223" s="19" t="s">
        <v>259</v>
      </c>
      <c r="AU223" s="19" t="s">
        <v>260</v>
      </c>
      <c r="AV223" s="19" t="s">
        <v>260</v>
      </c>
      <c r="AW223" s="19" t="s">
        <v>261</v>
      </c>
      <c r="AX223" s="19" t="s">
        <v>262</v>
      </c>
      <c r="AY223" s="19" t="s">
        <v>263</v>
      </c>
      <c r="AZ223" s="19" t="s">
        <v>264</v>
      </c>
      <c r="BA223" s="20">
        <v>43627</v>
      </c>
      <c r="BB223" s="19" t="s">
        <v>161</v>
      </c>
      <c r="BC223" s="19" t="s">
        <v>3841</v>
      </c>
      <c r="BD223" s="19" t="s">
        <v>3837</v>
      </c>
      <c r="BE223" s="19" t="s">
        <v>130</v>
      </c>
      <c r="BF223" s="19" t="s">
        <v>3842</v>
      </c>
      <c r="BG223" s="19"/>
      <c r="BH223" s="19" t="s">
        <v>3843</v>
      </c>
      <c r="BI223" s="19" t="s">
        <v>3843</v>
      </c>
      <c r="BJ223" s="19" t="s">
        <v>166</v>
      </c>
      <c r="BK223" s="19" t="s">
        <v>167</v>
      </c>
      <c r="BL223" s="19" t="s">
        <v>168</v>
      </c>
      <c r="BM223" s="19" t="s">
        <v>169</v>
      </c>
      <c r="BN223" s="21">
        <v>13.125999999999999</v>
      </c>
      <c r="BO223" s="21">
        <v>499.96933999999999</v>
      </c>
      <c r="BQ223" s="2"/>
      <c r="BR223" s="2"/>
      <c r="BS223" s="2"/>
      <c r="BT223" s="2"/>
      <c r="BU223" s="22"/>
      <c r="BV223" s="2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</row>
    <row r="224" spans="1:95" x14ac:dyDescent="0.25">
      <c r="A224" s="18">
        <v>221</v>
      </c>
      <c r="B224" s="19" t="s">
        <v>3844</v>
      </c>
      <c r="C224" s="19" t="s">
        <v>3845</v>
      </c>
      <c r="D224" s="20">
        <v>46007</v>
      </c>
      <c r="E224" s="20">
        <v>38418</v>
      </c>
      <c r="F224" s="19"/>
      <c r="G224" s="19"/>
      <c r="H224" s="19" t="s">
        <v>94</v>
      </c>
      <c r="I224" s="19"/>
      <c r="J224" s="19"/>
      <c r="K224" s="19"/>
      <c r="L224" s="19" t="s">
        <v>244</v>
      </c>
      <c r="M224" s="19" t="s">
        <v>245</v>
      </c>
      <c r="N224" s="19" t="s">
        <v>3846</v>
      </c>
      <c r="O224" s="19" t="s">
        <v>100</v>
      </c>
      <c r="P224" s="19"/>
      <c r="Q224" s="19"/>
      <c r="R224" s="19"/>
      <c r="S224" s="19"/>
      <c r="T224" s="19"/>
      <c r="U224" s="19"/>
      <c r="V224" s="19"/>
      <c r="W224" s="19"/>
      <c r="X224" s="19"/>
      <c r="Y224" s="19" t="s">
        <v>101</v>
      </c>
      <c r="Z224" s="19" t="s">
        <v>102</v>
      </c>
      <c r="AA224" s="19" t="s">
        <v>103</v>
      </c>
      <c r="AB224" s="19" t="s">
        <v>3847</v>
      </c>
      <c r="AC224" s="19" t="s">
        <v>3848</v>
      </c>
      <c r="AD224" s="19" t="s">
        <v>3849</v>
      </c>
      <c r="AE224" s="19" t="s">
        <v>3850</v>
      </c>
      <c r="AF224" s="19" t="s">
        <v>3851</v>
      </c>
      <c r="AG224" s="19" t="s">
        <v>1549</v>
      </c>
      <c r="AH224" s="19" t="s">
        <v>188</v>
      </c>
      <c r="AI224" s="19" t="s">
        <v>111</v>
      </c>
      <c r="AJ224" s="19" t="s">
        <v>3852</v>
      </c>
      <c r="AK224" s="19"/>
      <c r="AL224" s="19"/>
      <c r="AM224" s="19" t="s">
        <v>3853</v>
      </c>
      <c r="AN224" s="19" t="s">
        <v>3854</v>
      </c>
      <c r="AO224" s="19" t="s">
        <v>1545</v>
      </c>
      <c r="AP224" s="19" t="s">
        <v>116</v>
      </c>
      <c r="AQ224" s="19" t="s">
        <v>94</v>
      </c>
      <c r="AR224" s="19" t="s">
        <v>118</v>
      </c>
      <c r="AS224" s="19" t="s">
        <v>119</v>
      </c>
      <c r="AT224" s="19" t="s">
        <v>120</v>
      </c>
      <c r="AU224" s="19" t="s">
        <v>121</v>
      </c>
      <c r="AV224" s="19" t="s">
        <v>122</v>
      </c>
      <c r="AW224" s="19" t="s">
        <v>123</v>
      </c>
      <c r="AX224" s="19" t="s">
        <v>124</v>
      </c>
      <c r="AY224" s="19" t="s">
        <v>125</v>
      </c>
      <c r="AZ224" s="19" t="s">
        <v>1546</v>
      </c>
      <c r="BA224" s="20">
        <v>45181</v>
      </c>
      <c r="BB224" s="19" t="s">
        <v>1547</v>
      </c>
      <c r="BC224" s="19" t="s">
        <v>3855</v>
      </c>
      <c r="BD224" s="19" t="s">
        <v>1549</v>
      </c>
      <c r="BE224" s="19" t="s">
        <v>130</v>
      </c>
      <c r="BF224" s="19" t="s">
        <v>3856</v>
      </c>
      <c r="BG224" s="19"/>
      <c r="BH224" s="19" t="s">
        <v>3857</v>
      </c>
      <c r="BI224" s="19" t="s">
        <v>3857</v>
      </c>
      <c r="BJ224" s="19" t="s">
        <v>133</v>
      </c>
      <c r="BK224" s="19" t="s">
        <v>195</v>
      </c>
      <c r="BL224" s="19" t="s">
        <v>122</v>
      </c>
      <c r="BM224" s="19" t="s">
        <v>196</v>
      </c>
      <c r="BN224" s="21">
        <v>0</v>
      </c>
      <c r="BO224" s="21">
        <v>0</v>
      </c>
      <c r="BQ224" s="2"/>
      <c r="BR224" s="2"/>
      <c r="BS224" s="2"/>
      <c r="BT224" s="2"/>
      <c r="BU224" s="22"/>
      <c r="BV224" s="2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</row>
    <row r="225" spans="1:95" x14ac:dyDescent="0.25">
      <c r="A225" s="18">
        <v>222</v>
      </c>
      <c r="B225" s="19" t="s">
        <v>3858</v>
      </c>
      <c r="C225" s="19" t="s">
        <v>3859</v>
      </c>
      <c r="D225" s="20">
        <v>46020</v>
      </c>
      <c r="E225" s="20">
        <v>31809</v>
      </c>
      <c r="F225" s="19"/>
      <c r="G225" s="19"/>
      <c r="H225" s="19" t="s">
        <v>94</v>
      </c>
      <c r="I225" s="19"/>
      <c r="J225" s="19"/>
      <c r="K225" s="19"/>
      <c r="L225" s="19" t="s">
        <v>2080</v>
      </c>
      <c r="M225" s="19" t="s">
        <v>141</v>
      </c>
      <c r="N225" s="19" t="s">
        <v>3860</v>
      </c>
      <c r="O225" s="19" t="s">
        <v>100</v>
      </c>
      <c r="P225" s="19"/>
      <c r="Q225" s="19"/>
      <c r="R225" s="19"/>
      <c r="S225" s="19"/>
      <c r="T225" s="19"/>
      <c r="U225" s="19"/>
      <c r="V225" s="19"/>
      <c r="W225" s="19"/>
      <c r="X225" s="19"/>
      <c r="Y225" s="19" t="s">
        <v>101</v>
      </c>
      <c r="Z225" s="19" t="s">
        <v>102</v>
      </c>
      <c r="AA225" s="19" t="s">
        <v>103</v>
      </c>
      <c r="AB225" s="19" t="s">
        <v>3861</v>
      </c>
      <c r="AC225" s="19" t="s">
        <v>3862</v>
      </c>
      <c r="AD225" s="19" t="s">
        <v>3863</v>
      </c>
      <c r="AE225" s="19" t="s">
        <v>3864</v>
      </c>
      <c r="AF225" s="19"/>
      <c r="AG225" s="19" t="s">
        <v>3865</v>
      </c>
      <c r="AH225" s="19" t="s">
        <v>327</v>
      </c>
      <c r="AI225" s="19" t="s">
        <v>111</v>
      </c>
      <c r="AJ225" s="19" t="s">
        <v>3866</v>
      </c>
      <c r="AK225" s="19"/>
      <c r="AL225" s="19"/>
      <c r="AM225" s="19" t="s">
        <v>3867</v>
      </c>
      <c r="AN225" s="19" t="s">
        <v>3868</v>
      </c>
      <c r="AO225" s="19" t="s">
        <v>835</v>
      </c>
      <c r="AP225" s="19" t="s">
        <v>836</v>
      </c>
      <c r="AQ225" s="19" t="s">
        <v>117</v>
      </c>
      <c r="AR225" s="19" t="s">
        <v>837</v>
      </c>
      <c r="AS225" s="19" t="s">
        <v>838</v>
      </c>
      <c r="AT225" s="19" t="s">
        <v>839</v>
      </c>
      <c r="AU225" s="19" t="s">
        <v>840</v>
      </c>
      <c r="AV225" s="19" t="s">
        <v>841</v>
      </c>
      <c r="AW225" s="19"/>
      <c r="AX225" s="19" t="s">
        <v>707</v>
      </c>
      <c r="AY225" s="19" t="s">
        <v>842</v>
      </c>
      <c r="AZ225" s="19" t="s">
        <v>843</v>
      </c>
      <c r="BA225" s="20">
        <v>45453</v>
      </c>
      <c r="BB225" s="19" t="s">
        <v>3179</v>
      </c>
      <c r="BC225" s="19" t="s">
        <v>219</v>
      </c>
      <c r="BD225" s="19" t="s">
        <v>3869</v>
      </c>
      <c r="BE225" s="19" t="s">
        <v>130</v>
      </c>
      <c r="BF225" s="19" t="s">
        <v>3870</v>
      </c>
      <c r="BG225" s="19"/>
      <c r="BH225" s="19" t="s">
        <v>3182</v>
      </c>
      <c r="BI225" s="19" t="s">
        <v>3182</v>
      </c>
      <c r="BJ225" s="19" t="s">
        <v>194</v>
      </c>
      <c r="BK225" s="19" t="s">
        <v>195</v>
      </c>
      <c r="BL225" s="19" t="s">
        <v>122</v>
      </c>
      <c r="BM225" s="19" t="s">
        <v>196</v>
      </c>
      <c r="BN225" s="21">
        <v>0</v>
      </c>
      <c r="BO225" s="21">
        <v>0</v>
      </c>
      <c r="BQ225" s="2"/>
      <c r="BR225" s="2"/>
      <c r="BS225" s="2"/>
      <c r="BT225" s="2"/>
      <c r="BU225" s="22"/>
      <c r="BV225" s="2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</row>
    <row r="226" spans="1:95" x14ac:dyDescent="0.25">
      <c r="A226" s="18">
        <v>223</v>
      </c>
      <c r="B226" s="19" t="s">
        <v>3871</v>
      </c>
      <c r="C226" s="19" t="s">
        <v>3872</v>
      </c>
      <c r="D226" s="20">
        <v>45992</v>
      </c>
      <c r="E226" s="20">
        <v>31493</v>
      </c>
      <c r="F226" s="19"/>
      <c r="G226" s="19"/>
      <c r="H226" s="19" t="s">
        <v>94</v>
      </c>
      <c r="I226" s="19"/>
      <c r="J226" s="19"/>
      <c r="K226" s="19"/>
      <c r="L226" s="19"/>
      <c r="M226" s="19"/>
      <c r="N226" s="19" t="s">
        <v>3873</v>
      </c>
      <c r="O226" s="19" t="s">
        <v>100</v>
      </c>
      <c r="P226" s="19"/>
      <c r="Q226" s="19"/>
      <c r="R226" s="19"/>
      <c r="S226" s="19"/>
      <c r="T226" s="19"/>
      <c r="U226" s="19"/>
      <c r="V226" s="19"/>
      <c r="W226" s="19"/>
      <c r="X226" s="19"/>
      <c r="Y226" s="19" t="s">
        <v>101</v>
      </c>
      <c r="Z226" s="19" t="s">
        <v>102</v>
      </c>
      <c r="AA226" s="19" t="s">
        <v>103</v>
      </c>
      <c r="AB226" s="19" t="s">
        <v>3874</v>
      </c>
      <c r="AC226" s="19" t="s">
        <v>3875</v>
      </c>
      <c r="AD226" s="19" t="s">
        <v>3876</v>
      </c>
      <c r="AE226" s="19"/>
      <c r="AF226" s="19"/>
      <c r="AG226" s="19" t="s">
        <v>3877</v>
      </c>
      <c r="AH226" s="19" t="s">
        <v>1015</v>
      </c>
      <c r="AI226" s="19" t="s">
        <v>111</v>
      </c>
      <c r="AJ226" s="19" t="s">
        <v>3878</v>
      </c>
      <c r="AK226" s="19"/>
      <c r="AL226" s="19"/>
      <c r="AM226" s="19" t="s">
        <v>3879</v>
      </c>
      <c r="AN226" s="19" t="s">
        <v>3880</v>
      </c>
      <c r="AO226" s="19" t="s">
        <v>3881</v>
      </c>
      <c r="AP226" s="19" t="s">
        <v>3882</v>
      </c>
      <c r="AQ226" s="19" t="s">
        <v>117</v>
      </c>
      <c r="AR226" s="19" t="s">
        <v>3883</v>
      </c>
      <c r="AS226" s="19"/>
      <c r="AT226" s="19"/>
      <c r="AU226" s="19"/>
      <c r="AV226" s="19"/>
      <c r="AW226" s="19"/>
      <c r="AX226" s="19"/>
      <c r="AY226" s="19"/>
      <c r="AZ226" s="19"/>
      <c r="BA226" s="20"/>
      <c r="BB226" s="19" t="s">
        <v>331</v>
      </c>
      <c r="BC226" s="19" t="s">
        <v>3884</v>
      </c>
      <c r="BD226" s="19" t="s">
        <v>3877</v>
      </c>
      <c r="BE226" s="19" t="s">
        <v>130</v>
      </c>
      <c r="BF226" s="19" t="s">
        <v>3885</v>
      </c>
      <c r="BG226" s="19"/>
      <c r="BH226" s="19" t="s">
        <v>3886</v>
      </c>
      <c r="BI226" s="19" t="s">
        <v>3886</v>
      </c>
      <c r="BJ226" s="19" t="s">
        <v>166</v>
      </c>
      <c r="BK226" s="19" t="s">
        <v>1084</v>
      </c>
      <c r="BL226" s="19" t="s">
        <v>222</v>
      </c>
      <c r="BM226" s="19" t="s">
        <v>169</v>
      </c>
      <c r="BN226" s="21">
        <v>125.464</v>
      </c>
      <c r="BO226" s="21">
        <v>1979.8219200000001</v>
      </c>
      <c r="BQ226" s="2"/>
      <c r="BR226" s="2"/>
      <c r="BS226" s="2"/>
      <c r="BT226" s="2"/>
      <c r="BU226" s="22"/>
      <c r="BV226" s="2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</row>
    <row r="227" spans="1:95" x14ac:dyDescent="0.25">
      <c r="A227" s="18">
        <v>224</v>
      </c>
      <c r="B227" s="19" t="s">
        <v>3887</v>
      </c>
      <c r="C227" s="19" t="s">
        <v>3888</v>
      </c>
      <c r="D227" s="20">
        <v>45999</v>
      </c>
      <c r="E227" s="20">
        <v>23541</v>
      </c>
      <c r="F227" s="19"/>
      <c r="G227" s="19"/>
      <c r="H227" s="19" t="s">
        <v>94</v>
      </c>
      <c r="I227" s="19"/>
      <c r="J227" s="19"/>
      <c r="K227" s="19"/>
      <c r="L227" s="19" t="s">
        <v>244</v>
      </c>
      <c r="M227" s="19" t="s">
        <v>245</v>
      </c>
      <c r="N227" s="19" t="s">
        <v>3889</v>
      </c>
      <c r="O227" s="19" t="s">
        <v>100</v>
      </c>
      <c r="P227" s="19"/>
      <c r="Q227" s="19"/>
      <c r="R227" s="19"/>
      <c r="S227" s="19" t="s">
        <v>3890</v>
      </c>
      <c r="T227" s="19" t="s">
        <v>3891</v>
      </c>
      <c r="U227" s="19" t="s">
        <v>100</v>
      </c>
      <c r="V227" s="19"/>
      <c r="W227" s="19"/>
      <c r="X227" s="19"/>
      <c r="Y227" s="19" t="s">
        <v>101</v>
      </c>
      <c r="Z227" s="19" t="s">
        <v>102</v>
      </c>
      <c r="AA227" s="19" t="s">
        <v>103</v>
      </c>
      <c r="AB227" s="19" t="s">
        <v>402</v>
      </c>
      <c r="AC227" s="19" t="s">
        <v>403</v>
      </c>
      <c r="AD227" s="19" t="s">
        <v>3892</v>
      </c>
      <c r="AE227" s="19" t="s">
        <v>3893</v>
      </c>
      <c r="AF227" s="19" t="s">
        <v>3894</v>
      </c>
      <c r="AG227" s="19" t="s">
        <v>2939</v>
      </c>
      <c r="AH227" s="19" t="s">
        <v>124</v>
      </c>
      <c r="AI227" s="19" t="s">
        <v>111</v>
      </c>
      <c r="AJ227" s="19" t="s">
        <v>3895</v>
      </c>
      <c r="AK227" s="19"/>
      <c r="AL227" s="19"/>
      <c r="AM227" s="19" t="s">
        <v>3896</v>
      </c>
      <c r="AN227" s="19" t="s">
        <v>3897</v>
      </c>
      <c r="AO227" s="19" t="s">
        <v>3898</v>
      </c>
      <c r="AP227" s="19" t="s">
        <v>3899</v>
      </c>
      <c r="AQ227" s="19" t="s">
        <v>117</v>
      </c>
      <c r="AR227" s="19" t="s">
        <v>3900</v>
      </c>
      <c r="AS227" s="19" t="s">
        <v>3901</v>
      </c>
      <c r="AT227" s="19" t="s">
        <v>3902</v>
      </c>
      <c r="AU227" s="19" t="s">
        <v>3741</v>
      </c>
      <c r="AV227" s="19" t="s">
        <v>3903</v>
      </c>
      <c r="AW227" s="19" t="s">
        <v>3904</v>
      </c>
      <c r="AX227" s="19" t="s">
        <v>124</v>
      </c>
      <c r="AY227" s="19" t="s">
        <v>3905</v>
      </c>
      <c r="AZ227" s="19" t="s">
        <v>3906</v>
      </c>
      <c r="BA227" s="20">
        <v>42808</v>
      </c>
      <c r="BB227" s="19" t="s">
        <v>331</v>
      </c>
      <c r="BC227" s="19" t="s">
        <v>3907</v>
      </c>
      <c r="BD227" s="19" t="s">
        <v>219</v>
      </c>
      <c r="BE227" s="19" t="s">
        <v>130</v>
      </c>
      <c r="BF227" s="19" t="s">
        <v>3908</v>
      </c>
      <c r="BG227" s="19" t="s">
        <v>3909</v>
      </c>
      <c r="BH227" s="19" t="s">
        <v>3910</v>
      </c>
      <c r="BI227" s="19" t="s">
        <v>3910</v>
      </c>
      <c r="BJ227" s="19" t="s">
        <v>166</v>
      </c>
      <c r="BK227" s="19" t="s">
        <v>221</v>
      </c>
      <c r="BL227" s="19" t="s">
        <v>222</v>
      </c>
      <c r="BM227" s="19" t="s">
        <v>169</v>
      </c>
      <c r="BN227" s="21">
        <v>70.869</v>
      </c>
      <c r="BO227" s="21">
        <v>134178.40377</v>
      </c>
      <c r="BQ227" s="2"/>
      <c r="BR227" s="2"/>
      <c r="BS227" s="2"/>
      <c r="BT227" s="2"/>
      <c r="BU227" s="22"/>
      <c r="BV227" s="2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</row>
    <row r="228" spans="1:95" x14ac:dyDescent="0.25">
      <c r="A228" s="18">
        <v>225</v>
      </c>
      <c r="B228" s="19" t="s">
        <v>3911</v>
      </c>
      <c r="C228" s="19" t="s">
        <v>3912</v>
      </c>
      <c r="D228" s="20">
        <v>45996</v>
      </c>
      <c r="E228" s="20">
        <v>33249</v>
      </c>
      <c r="F228" s="19"/>
      <c r="G228" s="19"/>
      <c r="H228" s="19" t="s">
        <v>94</v>
      </c>
      <c r="I228" s="19"/>
      <c r="J228" s="19"/>
      <c r="K228" s="19"/>
      <c r="L228" s="19" t="s">
        <v>2080</v>
      </c>
      <c r="M228" s="19" t="s">
        <v>141</v>
      </c>
      <c r="N228" s="19" t="s">
        <v>3913</v>
      </c>
      <c r="O228" s="19" t="s">
        <v>100</v>
      </c>
      <c r="P228" s="19"/>
      <c r="Q228" s="19"/>
      <c r="R228" s="19"/>
      <c r="S228" s="19"/>
      <c r="T228" s="19"/>
      <c r="U228" s="19"/>
      <c r="V228" s="19"/>
      <c r="W228" s="19"/>
      <c r="X228" s="19"/>
      <c r="Y228" s="19" t="s">
        <v>101</v>
      </c>
      <c r="Z228" s="19" t="s">
        <v>102</v>
      </c>
      <c r="AA228" s="19" t="s">
        <v>103</v>
      </c>
      <c r="AB228" s="19" t="s">
        <v>3914</v>
      </c>
      <c r="AC228" s="19" t="s">
        <v>3915</v>
      </c>
      <c r="AD228" s="19" t="s">
        <v>3916</v>
      </c>
      <c r="AE228" s="19" t="s">
        <v>3917</v>
      </c>
      <c r="AF228" s="19" t="s">
        <v>3918</v>
      </c>
      <c r="AG228" s="19" t="s">
        <v>3919</v>
      </c>
      <c r="AH228" s="19" t="s">
        <v>515</v>
      </c>
      <c r="AI228" s="19" t="s">
        <v>111</v>
      </c>
      <c r="AJ228" s="19" t="s">
        <v>3920</v>
      </c>
      <c r="AK228" s="19"/>
      <c r="AL228" s="19"/>
      <c r="AM228" s="19" t="s">
        <v>3921</v>
      </c>
      <c r="AN228" s="19" t="s">
        <v>3922</v>
      </c>
      <c r="AO228" s="19" t="s">
        <v>2369</v>
      </c>
      <c r="AP228" s="19" t="s">
        <v>2370</v>
      </c>
      <c r="AQ228" s="19" t="s">
        <v>94</v>
      </c>
      <c r="AR228" s="19" t="s">
        <v>2371</v>
      </c>
      <c r="AS228" s="19" t="s">
        <v>2372</v>
      </c>
      <c r="AT228" s="19" t="s">
        <v>2373</v>
      </c>
      <c r="AU228" s="19" t="s">
        <v>2374</v>
      </c>
      <c r="AV228" s="19" t="s">
        <v>222</v>
      </c>
      <c r="AW228" s="19" t="s">
        <v>2375</v>
      </c>
      <c r="AX228" s="19" t="s">
        <v>515</v>
      </c>
      <c r="AY228" s="19" t="s">
        <v>2376</v>
      </c>
      <c r="AZ228" s="19" t="s">
        <v>2377</v>
      </c>
      <c r="BA228" s="20">
        <v>42262</v>
      </c>
      <c r="BB228" s="19" t="s">
        <v>2378</v>
      </c>
      <c r="BC228" s="19" t="s">
        <v>3923</v>
      </c>
      <c r="BD228" s="19" t="s">
        <v>3924</v>
      </c>
      <c r="BE228" s="19" t="s">
        <v>130</v>
      </c>
      <c r="BF228" s="19" t="s">
        <v>3925</v>
      </c>
      <c r="BG228" s="19"/>
      <c r="BH228" s="19" t="s">
        <v>3926</v>
      </c>
      <c r="BI228" s="19" t="s">
        <v>3926</v>
      </c>
      <c r="BJ228" s="19" t="s">
        <v>166</v>
      </c>
      <c r="BK228" s="19" t="s">
        <v>195</v>
      </c>
      <c r="BL228" s="19" t="s">
        <v>122</v>
      </c>
      <c r="BM228" s="19" t="s">
        <v>196</v>
      </c>
      <c r="BN228" s="21">
        <v>7.4980000000000002</v>
      </c>
      <c r="BO228" s="21">
        <v>999.03351999999995</v>
      </c>
      <c r="BQ228" s="2"/>
      <c r="BR228" s="2"/>
      <c r="BS228" s="2"/>
      <c r="BT228" s="2"/>
      <c r="BU228" s="22"/>
      <c r="BV228" s="2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</row>
    <row r="229" spans="1:95" x14ac:dyDescent="0.25">
      <c r="A229" s="18">
        <v>226</v>
      </c>
      <c r="B229" s="19" t="s">
        <v>3927</v>
      </c>
      <c r="C229" s="19" t="s">
        <v>3928</v>
      </c>
      <c r="D229" s="20">
        <v>45994</v>
      </c>
      <c r="E229" s="20">
        <v>35720</v>
      </c>
      <c r="F229" s="19" t="s">
        <v>3929</v>
      </c>
      <c r="G229" s="19" t="s">
        <v>139</v>
      </c>
      <c r="H229" s="19" t="s">
        <v>94</v>
      </c>
      <c r="I229" s="19"/>
      <c r="J229" s="19"/>
      <c r="K229" s="19"/>
      <c r="L229" s="19" t="s">
        <v>244</v>
      </c>
      <c r="M229" s="19" t="s">
        <v>245</v>
      </c>
      <c r="N229" s="19" t="s">
        <v>3930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 t="s">
        <v>101</v>
      </c>
      <c r="Z229" s="19" t="s">
        <v>102</v>
      </c>
      <c r="AA229" s="19" t="s">
        <v>103</v>
      </c>
      <c r="AB229" s="19" t="s">
        <v>247</v>
      </c>
      <c r="AC229" s="19" t="s">
        <v>248</v>
      </c>
      <c r="AD229" s="19" t="s">
        <v>3931</v>
      </c>
      <c r="AE229" s="19" t="s">
        <v>3932</v>
      </c>
      <c r="AF229" s="19" t="s">
        <v>3933</v>
      </c>
      <c r="AG229" s="19" t="s">
        <v>3919</v>
      </c>
      <c r="AH229" s="19" t="s">
        <v>515</v>
      </c>
      <c r="AI229" s="19" t="s">
        <v>111</v>
      </c>
      <c r="AJ229" s="19" t="s">
        <v>3934</v>
      </c>
      <c r="AK229" s="19"/>
      <c r="AL229" s="19"/>
      <c r="AM229" s="19" t="s">
        <v>3935</v>
      </c>
      <c r="AN229" s="19" t="s">
        <v>3936</v>
      </c>
      <c r="AO229" s="19" t="s">
        <v>255</v>
      </c>
      <c r="AP229" s="19" t="s">
        <v>256</v>
      </c>
      <c r="AQ229" s="19" t="s">
        <v>117</v>
      </c>
      <c r="AR229" s="19" t="s">
        <v>257</v>
      </c>
      <c r="AS229" s="19" t="s">
        <v>258</v>
      </c>
      <c r="AT229" s="19" t="s">
        <v>259</v>
      </c>
      <c r="AU229" s="19" t="s">
        <v>260</v>
      </c>
      <c r="AV229" s="19" t="s">
        <v>260</v>
      </c>
      <c r="AW229" s="19" t="s">
        <v>261</v>
      </c>
      <c r="AX229" s="19" t="s">
        <v>262</v>
      </c>
      <c r="AY229" s="19" t="s">
        <v>263</v>
      </c>
      <c r="AZ229" s="19" t="s">
        <v>264</v>
      </c>
      <c r="BA229" s="20">
        <v>43627</v>
      </c>
      <c r="BB229" s="19" t="s">
        <v>161</v>
      </c>
      <c r="BC229" s="19" t="s">
        <v>3937</v>
      </c>
      <c r="BD229" s="19" t="s">
        <v>260</v>
      </c>
      <c r="BE229" s="19" t="s">
        <v>130</v>
      </c>
      <c r="BF229" s="19" t="s">
        <v>3938</v>
      </c>
      <c r="BG229" s="19"/>
      <c r="BH229" s="19" t="s">
        <v>3939</v>
      </c>
      <c r="BI229" s="19" t="s">
        <v>3939</v>
      </c>
      <c r="BJ229" s="19" t="s">
        <v>166</v>
      </c>
      <c r="BK229" s="19" t="s">
        <v>167</v>
      </c>
      <c r="BL229" s="19" t="s">
        <v>168</v>
      </c>
      <c r="BM229" s="19" t="s">
        <v>169</v>
      </c>
      <c r="BN229" s="21">
        <v>11.455</v>
      </c>
      <c r="BO229" s="21">
        <v>5023.1595420000003</v>
      </c>
      <c r="BQ229" s="2"/>
      <c r="BR229" s="2"/>
      <c r="BS229" s="2"/>
      <c r="BT229" s="2"/>
      <c r="BU229" s="22"/>
      <c r="BV229" s="2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</row>
    <row r="230" spans="1:95" x14ac:dyDescent="0.25">
      <c r="A230" s="18">
        <v>227</v>
      </c>
      <c r="B230" s="19" t="s">
        <v>3940</v>
      </c>
      <c r="C230" s="19" t="s">
        <v>3941</v>
      </c>
      <c r="D230" s="20">
        <v>45994</v>
      </c>
      <c r="E230" s="20">
        <v>33485</v>
      </c>
      <c r="F230" s="19"/>
      <c r="G230" s="19"/>
      <c r="H230" s="19" t="s">
        <v>94</v>
      </c>
      <c r="I230" s="19"/>
      <c r="J230" s="19" t="s">
        <v>95</v>
      </c>
      <c r="K230" s="19" t="s">
        <v>96</v>
      </c>
      <c r="L230" s="19" t="s">
        <v>1619</v>
      </c>
      <c r="M230" s="19" t="s">
        <v>1620</v>
      </c>
      <c r="N230" s="19" t="s">
        <v>3942</v>
      </c>
      <c r="O230" s="19" t="s">
        <v>100</v>
      </c>
      <c r="P230" s="19"/>
      <c r="Q230" s="19"/>
      <c r="R230" s="19"/>
      <c r="S230" s="19"/>
      <c r="T230" s="19"/>
      <c r="U230" s="19"/>
      <c r="V230" s="19"/>
      <c r="W230" s="19"/>
      <c r="X230" s="19"/>
      <c r="Y230" s="19" t="s">
        <v>101</v>
      </c>
      <c r="Z230" s="19" t="s">
        <v>102</v>
      </c>
      <c r="AA230" s="19" t="s">
        <v>103</v>
      </c>
      <c r="AB230" s="19" t="s">
        <v>402</v>
      </c>
      <c r="AC230" s="19" t="s">
        <v>403</v>
      </c>
      <c r="AD230" s="19" t="s">
        <v>3943</v>
      </c>
      <c r="AE230" s="19" t="s">
        <v>3944</v>
      </c>
      <c r="AF230" s="19"/>
      <c r="AG230" s="19" t="s">
        <v>3945</v>
      </c>
      <c r="AH230" s="19" t="s">
        <v>110</v>
      </c>
      <c r="AI230" s="19" t="s">
        <v>111</v>
      </c>
      <c r="AJ230" s="19" t="s">
        <v>3946</v>
      </c>
      <c r="AK230" s="19"/>
      <c r="AL230" s="19"/>
      <c r="AM230" s="19" t="s">
        <v>3947</v>
      </c>
      <c r="AN230" s="19" t="s">
        <v>3948</v>
      </c>
      <c r="AO230" s="19" t="s">
        <v>3949</v>
      </c>
      <c r="AP230" s="19" t="s">
        <v>3950</v>
      </c>
      <c r="AQ230" s="19" t="s">
        <v>117</v>
      </c>
      <c r="AR230" s="19" t="s">
        <v>3951</v>
      </c>
      <c r="AS230" s="19" t="s">
        <v>3952</v>
      </c>
      <c r="AT230" s="19" t="s">
        <v>3953</v>
      </c>
      <c r="AU230" s="19" t="s">
        <v>3954</v>
      </c>
      <c r="AV230" s="19" t="s">
        <v>3955</v>
      </c>
      <c r="AW230" s="19" t="s">
        <v>3956</v>
      </c>
      <c r="AX230" s="19" t="s">
        <v>110</v>
      </c>
      <c r="AY230" s="19" t="s">
        <v>3957</v>
      </c>
      <c r="AZ230" s="19" t="s">
        <v>3958</v>
      </c>
      <c r="BA230" s="20">
        <v>39163</v>
      </c>
      <c r="BB230" s="19" t="s">
        <v>236</v>
      </c>
      <c r="BC230" s="19" t="s">
        <v>3959</v>
      </c>
      <c r="BD230" s="19" t="s">
        <v>3945</v>
      </c>
      <c r="BE230" s="19" t="s">
        <v>130</v>
      </c>
      <c r="BF230" s="19" t="s">
        <v>3960</v>
      </c>
      <c r="BG230" s="19" t="s">
        <v>3961</v>
      </c>
      <c r="BH230" s="19" t="s">
        <v>3962</v>
      </c>
      <c r="BI230" s="19" t="s">
        <v>3962</v>
      </c>
      <c r="BJ230" s="19" t="s">
        <v>166</v>
      </c>
      <c r="BK230" s="19" t="s">
        <v>3963</v>
      </c>
      <c r="BL230" s="19" t="s">
        <v>3955</v>
      </c>
      <c r="BM230" s="19" t="s">
        <v>135</v>
      </c>
      <c r="BN230" s="21">
        <v>0.80100000000000005</v>
      </c>
      <c r="BO230" s="21">
        <v>1516.5573300000001</v>
      </c>
      <c r="BQ230" s="2"/>
      <c r="BR230" s="2"/>
      <c r="BS230" s="2"/>
      <c r="BT230" s="2"/>
      <c r="BU230" s="22"/>
      <c r="BV230" s="2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</row>
    <row r="231" spans="1:95" x14ac:dyDescent="0.25">
      <c r="A231" s="18">
        <v>228</v>
      </c>
      <c r="B231" s="19" t="s">
        <v>3964</v>
      </c>
      <c r="C231" s="19" t="s">
        <v>3965</v>
      </c>
      <c r="D231" s="20">
        <v>45996</v>
      </c>
      <c r="E231" s="20">
        <v>23381</v>
      </c>
      <c r="F231" s="19" t="s">
        <v>3966</v>
      </c>
      <c r="G231" s="19" t="s">
        <v>139</v>
      </c>
      <c r="H231" s="19" t="s">
        <v>94</v>
      </c>
      <c r="I231" s="19"/>
      <c r="J231" s="19"/>
      <c r="K231" s="19"/>
      <c r="L231" s="19" t="s">
        <v>1825</v>
      </c>
      <c r="M231" s="19" t="s">
        <v>610</v>
      </c>
      <c r="N231" s="19" t="s">
        <v>3967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 t="s">
        <v>101</v>
      </c>
      <c r="Z231" s="19" t="s">
        <v>102</v>
      </c>
      <c r="AA231" s="19" t="s">
        <v>103</v>
      </c>
      <c r="AB231" s="19" t="s">
        <v>1622</v>
      </c>
      <c r="AC231" s="19" t="s">
        <v>1623</v>
      </c>
      <c r="AD231" s="19" t="s">
        <v>3968</v>
      </c>
      <c r="AE231" s="19" t="s">
        <v>3969</v>
      </c>
      <c r="AF231" s="19" t="s">
        <v>3515</v>
      </c>
      <c r="AG231" s="19" t="s">
        <v>3515</v>
      </c>
      <c r="AH231" s="19" t="s">
        <v>3516</v>
      </c>
      <c r="AI231" s="19"/>
      <c r="AJ231" s="19" t="s">
        <v>3970</v>
      </c>
      <c r="AK231" s="19"/>
      <c r="AL231" s="19"/>
      <c r="AM231" s="19" t="s">
        <v>3971</v>
      </c>
      <c r="AN231" s="19" t="s">
        <v>3972</v>
      </c>
      <c r="AO231" s="19" t="s">
        <v>895</v>
      </c>
      <c r="AP231" s="19" t="s">
        <v>896</v>
      </c>
      <c r="AQ231" s="19" t="s">
        <v>117</v>
      </c>
      <c r="AR231" s="19" t="s">
        <v>897</v>
      </c>
      <c r="AS231" s="19" t="s">
        <v>898</v>
      </c>
      <c r="AT231" s="19" t="s">
        <v>899</v>
      </c>
      <c r="AU231" s="19" t="s">
        <v>900</v>
      </c>
      <c r="AV231" s="19" t="s">
        <v>122</v>
      </c>
      <c r="AW231" s="19" t="s">
        <v>123</v>
      </c>
      <c r="AX231" s="19" t="s">
        <v>901</v>
      </c>
      <c r="AY231" s="19" t="s">
        <v>902</v>
      </c>
      <c r="AZ231" s="19" t="s">
        <v>903</v>
      </c>
      <c r="BA231" s="20">
        <v>37265</v>
      </c>
      <c r="BB231" s="19" t="s">
        <v>331</v>
      </c>
      <c r="BC231" s="19" t="s">
        <v>3973</v>
      </c>
      <c r="BD231" s="19" t="s">
        <v>3974</v>
      </c>
      <c r="BE231" s="19" t="s">
        <v>130</v>
      </c>
      <c r="BF231" s="19" t="s">
        <v>3975</v>
      </c>
      <c r="BG231" s="19"/>
      <c r="BH231" s="19" t="s">
        <v>3976</v>
      </c>
      <c r="BI231" s="19" t="s">
        <v>3976</v>
      </c>
      <c r="BJ231" s="19" t="s">
        <v>166</v>
      </c>
      <c r="BK231" s="19" t="s">
        <v>907</v>
      </c>
      <c r="BL231" s="19" t="s">
        <v>122</v>
      </c>
      <c r="BM231" s="19" t="s">
        <v>592</v>
      </c>
      <c r="BN231" s="21">
        <v>1.0920000000000001</v>
      </c>
      <c r="BO231" s="21">
        <v>999.03804000000002</v>
      </c>
      <c r="BQ231" s="2"/>
      <c r="BR231" s="2"/>
      <c r="BS231" s="2"/>
      <c r="BT231" s="2"/>
      <c r="BU231" s="22"/>
      <c r="BV231" s="2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</row>
    <row r="232" spans="1:95" x14ac:dyDescent="0.25">
      <c r="A232" s="18">
        <v>229</v>
      </c>
      <c r="B232" s="19" t="s">
        <v>3977</v>
      </c>
      <c r="C232" s="19" t="s">
        <v>3978</v>
      </c>
      <c r="D232" s="20">
        <v>45999</v>
      </c>
      <c r="E232" s="20">
        <v>35713</v>
      </c>
      <c r="F232" s="19"/>
      <c r="G232" s="19"/>
      <c r="H232" s="19" t="s">
        <v>94</v>
      </c>
      <c r="I232" s="19"/>
      <c r="J232" s="19"/>
      <c r="K232" s="19"/>
      <c r="L232" s="19" t="s">
        <v>467</v>
      </c>
      <c r="M232" s="19" t="s">
        <v>468</v>
      </c>
      <c r="N232" s="19" t="s">
        <v>3979</v>
      </c>
      <c r="O232" s="19" t="s">
        <v>100</v>
      </c>
      <c r="P232" s="19"/>
      <c r="Q232" s="19"/>
      <c r="R232" s="19"/>
      <c r="S232" s="19" t="s">
        <v>3980</v>
      </c>
      <c r="T232" s="19" t="s">
        <v>3981</v>
      </c>
      <c r="U232" s="19" t="s">
        <v>100</v>
      </c>
      <c r="V232" s="19"/>
      <c r="W232" s="19"/>
      <c r="X232" s="19"/>
      <c r="Y232" s="19" t="s">
        <v>101</v>
      </c>
      <c r="Z232" s="19" t="s">
        <v>102</v>
      </c>
      <c r="AA232" s="19" t="s">
        <v>103</v>
      </c>
      <c r="AB232" s="19" t="s">
        <v>487</v>
      </c>
      <c r="AC232" s="19" t="s">
        <v>488</v>
      </c>
      <c r="AD232" s="19" t="s">
        <v>3982</v>
      </c>
      <c r="AE232" s="19" t="s">
        <v>3983</v>
      </c>
      <c r="AF232" s="19" t="s">
        <v>3984</v>
      </c>
      <c r="AG232" s="19"/>
      <c r="AH232" s="19" t="s">
        <v>124</v>
      </c>
      <c r="AI232" s="19" t="s">
        <v>111</v>
      </c>
      <c r="AJ232" s="19" t="s">
        <v>1839</v>
      </c>
      <c r="AK232" s="19"/>
      <c r="AL232" s="19"/>
      <c r="AM232" s="19" t="s">
        <v>3985</v>
      </c>
      <c r="AN232" s="19" t="s">
        <v>3986</v>
      </c>
      <c r="AO232" s="19" t="s">
        <v>208</v>
      </c>
      <c r="AP232" s="19" t="s">
        <v>209</v>
      </c>
      <c r="AQ232" s="19" t="s">
        <v>117</v>
      </c>
      <c r="AR232" s="19" t="s">
        <v>210</v>
      </c>
      <c r="AS232" s="19" t="s">
        <v>211</v>
      </c>
      <c r="AT232" s="19" t="s">
        <v>212</v>
      </c>
      <c r="AU232" s="19" t="s">
        <v>213</v>
      </c>
      <c r="AV232" s="19" t="s">
        <v>214</v>
      </c>
      <c r="AW232" s="19" t="s">
        <v>215</v>
      </c>
      <c r="AX232" s="19" t="s">
        <v>149</v>
      </c>
      <c r="AY232" s="19" t="s">
        <v>216</v>
      </c>
      <c r="AZ232" s="19" t="s">
        <v>217</v>
      </c>
      <c r="BA232" s="20">
        <v>35521</v>
      </c>
      <c r="BB232" s="19" t="s">
        <v>1144</v>
      </c>
      <c r="BC232" s="19" t="s">
        <v>3987</v>
      </c>
      <c r="BD232" s="19" t="s">
        <v>3988</v>
      </c>
      <c r="BE232" s="19" t="s">
        <v>130</v>
      </c>
      <c r="BF232" s="19" t="s">
        <v>3989</v>
      </c>
      <c r="BG232" s="19"/>
      <c r="BH232" s="19" t="s">
        <v>3990</v>
      </c>
      <c r="BI232" s="19" t="s">
        <v>3990</v>
      </c>
      <c r="BJ232" s="19" t="s">
        <v>194</v>
      </c>
      <c r="BK232" s="19" t="s">
        <v>3715</v>
      </c>
      <c r="BL232" s="19" t="s">
        <v>122</v>
      </c>
      <c r="BM232" s="19" t="s">
        <v>196</v>
      </c>
      <c r="BN232" s="21">
        <v>231.78200000000001</v>
      </c>
      <c r="BO232" s="21">
        <v>100363.18211759999</v>
      </c>
      <c r="BQ232" s="2"/>
      <c r="BR232" s="2"/>
      <c r="BS232" s="2"/>
      <c r="BT232" s="2"/>
      <c r="BU232" s="22"/>
      <c r="BV232" s="2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</row>
    <row r="233" spans="1:95" x14ac:dyDescent="0.25">
      <c r="A233" s="18">
        <v>230</v>
      </c>
      <c r="B233" s="19" t="s">
        <v>3991</v>
      </c>
      <c r="C233" s="19" t="s">
        <v>3992</v>
      </c>
      <c r="D233" s="20">
        <v>46001</v>
      </c>
      <c r="E233" s="20">
        <v>30199</v>
      </c>
      <c r="F233" s="19" t="s">
        <v>3993</v>
      </c>
      <c r="G233" s="19" t="s">
        <v>139</v>
      </c>
      <c r="H233" s="19" t="s">
        <v>117</v>
      </c>
      <c r="I233" s="19" t="s">
        <v>3994</v>
      </c>
      <c r="J233" s="19"/>
      <c r="K233" s="19"/>
      <c r="L233" s="19" t="s">
        <v>101</v>
      </c>
      <c r="M233" s="19" t="s">
        <v>290</v>
      </c>
      <c r="N233" s="19" t="s">
        <v>3995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 t="s">
        <v>101</v>
      </c>
      <c r="Z233" s="19" t="s">
        <v>102</v>
      </c>
      <c r="AA233" s="19" t="s">
        <v>103</v>
      </c>
      <c r="AB233" s="19" t="s">
        <v>1536</v>
      </c>
      <c r="AC233" s="19" t="s">
        <v>1537</v>
      </c>
      <c r="AD233" s="19" t="s">
        <v>3996</v>
      </c>
      <c r="AE233" s="19" t="s">
        <v>3997</v>
      </c>
      <c r="AF233" s="19" t="s">
        <v>2468</v>
      </c>
      <c r="AG233" s="19" t="s">
        <v>2468</v>
      </c>
      <c r="AH233" s="19" t="s">
        <v>231</v>
      </c>
      <c r="AI233" s="19"/>
      <c r="AJ233" s="19" t="s">
        <v>3998</v>
      </c>
      <c r="AK233" s="19"/>
      <c r="AL233" s="19"/>
      <c r="AM233" s="19" t="s">
        <v>3999</v>
      </c>
      <c r="AN233" s="19" t="s">
        <v>4000</v>
      </c>
      <c r="AO233" s="19" t="s">
        <v>895</v>
      </c>
      <c r="AP233" s="19" t="s">
        <v>896</v>
      </c>
      <c r="AQ233" s="19" t="s">
        <v>117</v>
      </c>
      <c r="AR233" s="19" t="s">
        <v>897</v>
      </c>
      <c r="AS233" s="19" t="s">
        <v>898</v>
      </c>
      <c r="AT233" s="19" t="s">
        <v>899</v>
      </c>
      <c r="AU233" s="19" t="s">
        <v>900</v>
      </c>
      <c r="AV233" s="19" t="s">
        <v>122</v>
      </c>
      <c r="AW233" s="19" t="s">
        <v>123</v>
      </c>
      <c r="AX233" s="19" t="s">
        <v>901</v>
      </c>
      <c r="AY233" s="19" t="s">
        <v>902</v>
      </c>
      <c r="AZ233" s="19" t="s">
        <v>903</v>
      </c>
      <c r="BA233" s="20">
        <v>37265</v>
      </c>
      <c r="BB233" s="19" t="s">
        <v>331</v>
      </c>
      <c r="BC233" s="19" t="s">
        <v>4001</v>
      </c>
      <c r="BD233" s="19" t="s">
        <v>2468</v>
      </c>
      <c r="BE233" s="19" t="s">
        <v>130</v>
      </c>
      <c r="BF233" s="19" t="s">
        <v>4002</v>
      </c>
      <c r="BG233" s="19"/>
      <c r="BH233" s="19" t="s">
        <v>4003</v>
      </c>
      <c r="BI233" s="19" t="s">
        <v>4003</v>
      </c>
      <c r="BJ233" s="19" t="s">
        <v>166</v>
      </c>
      <c r="BK233" s="19" t="s">
        <v>907</v>
      </c>
      <c r="BL233" s="19" t="s">
        <v>122</v>
      </c>
      <c r="BM233" s="19" t="s">
        <v>592</v>
      </c>
      <c r="BN233" s="21">
        <v>10.750999999999999</v>
      </c>
      <c r="BO233" s="21">
        <v>1019.30231</v>
      </c>
      <c r="BQ233" s="2"/>
      <c r="BR233" s="2"/>
      <c r="BS233" s="2"/>
      <c r="BT233" s="2"/>
      <c r="BU233" s="22"/>
      <c r="BV233" s="2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</row>
    <row r="234" spans="1:95" x14ac:dyDescent="0.25">
      <c r="A234" s="18">
        <v>231</v>
      </c>
      <c r="B234" s="19" t="s">
        <v>4004</v>
      </c>
      <c r="C234" s="19" t="s">
        <v>4005</v>
      </c>
      <c r="D234" s="20">
        <v>46001</v>
      </c>
      <c r="E234" s="20">
        <v>27912</v>
      </c>
      <c r="F234" s="19"/>
      <c r="G234" s="19"/>
      <c r="H234" s="19" t="s">
        <v>94</v>
      </c>
      <c r="I234" s="19"/>
      <c r="J234" s="19"/>
      <c r="K234" s="19"/>
      <c r="L234" s="19" t="s">
        <v>140</v>
      </c>
      <c r="M234" s="19" t="s">
        <v>141</v>
      </c>
      <c r="N234" s="19" t="s">
        <v>4006</v>
      </c>
      <c r="O234" s="19" t="s">
        <v>100</v>
      </c>
      <c r="P234" s="19"/>
      <c r="Q234" s="19"/>
      <c r="R234" s="19"/>
      <c r="S234" s="19"/>
      <c r="T234" s="19"/>
      <c r="U234" s="19"/>
      <c r="V234" s="19"/>
      <c r="W234" s="19"/>
      <c r="X234" s="19"/>
      <c r="Y234" s="19" t="s">
        <v>101</v>
      </c>
      <c r="Z234" s="19" t="s">
        <v>102</v>
      </c>
      <c r="AA234" s="19" t="s">
        <v>103</v>
      </c>
      <c r="AB234" s="19" t="s">
        <v>247</v>
      </c>
      <c r="AC234" s="19" t="s">
        <v>248</v>
      </c>
      <c r="AD234" s="19" t="s">
        <v>4007</v>
      </c>
      <c r="AE234" s="19" t="s">
        <v>4008</v>
      </c>
      <c r="AF234" s="19" t="s">
        <v>4009</v>
      </c>
      <c r="AG234" s="19" t="s">
        <v>4010</v>
      </c>
      <c r="AH234" s="19" t="s">
        <v>1029</v>
      </c>
      <c r="AI234" s="19" t="s">
        <v>111</v>
      </c>
      <c r="AJ234" s="19" t="s">
        <v>4011</v>
      </c>
      <c r="AK234" s="19"/>
      <c r="AL234" s="19"/>
      <c r="AM234" s="19" t="s">
        <v>4012</v>
      </c>
      <c r="AN234" s="19" t="s">
        <v>4013</v>
      </c>
      <c r="AO234" s="19" t="s">
        <v>519</v>
      </c>
      <c r="AP234" s="19" t="s">
        <v>520</v>
      </c>
      <c r="AQ234" s="19" t="s">
        <v>117</v>
      </c>
      <c r="AR234" s="19" t="s">
        <v>521</v>
      </c>
      <c r="AS234" s="19" t="s">
        <v>522</v>
      </c>
      <c r="AT234" s="19" t="s">
        <v>523</v>
      </c>
      <c r="AU234" s="19" t="s">
        <v>524</v>
      </c>
      <c r="AV234" s="19" t="s">
        <v>260</v>
      </c>
      <c r="AW234" s="19" t="s">
        <v>525</v>
      </c>
      <c r="AX234" s="19"/>
      <c r="AY234" s="19" t="s">
        <v>526</v>
      </c>
      <c r="AZ234" s="19" t="s">
        <v>527</v>
      </c>
      <c r="BA234" s="20">
        <v>42669</v>
      </c>
      <c r="BB234" s="19" t="s">
        <v>444</v>
      </c>
      <c r="BC234" s="19" t="s">
        <v>4014</v>
      </c>
      <c r="BD234" s="19" t="s">
        <v>4015</v>
      </c>
      <c r="BE234" s="19" t="s">
        <v>130</v>
      </c>
      <c r="BF234" s="19" t="s">
        <v>4016</v>
      </c>
      <c r="BG234" s="19"/>
      <c r="BH234" s="19" t="s">
        <v>4017</v>
      </c>
      <c r="BI234" s="19" t="s">
        <v>4017</v>
      </c>
      <c r="BJ234" s="19" t="s">
        <v>194</v>
      </c>
      <c r="BK234" s="19" t="s">
        <v>195</v>
      </c>
      <c r="BL234" s="19" t="s">
        <v>122</v>
      </c>
      <c r="BM234" s="19" t="s">
        <v>196</v>
      </c>
      <c r="BN234" s="21">
        <v>22.884</v>
      </c>
      <c r="BO234" s="21">
        <v>10034.9177616</v>
      </c>
      <c r="BQ234" s="2"/>
      <c r="BR234" s="2"/>
      <c r="BS234" s="2"/>
      <c r="BT234" s="2"/>
      <c r="BU234" s="22"/>
      <c r="BV234" s="2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</row>
    <row r="235" spans="1:95" x14ac:dyDescent="0.25">
      <c r="A235" s="18">
        <v>232</v>
      </c>
      <c r="B235" s="19" t="s">
        <v>4018</v>
      </c>
      <c r="C235" s="19" t="s">
        <v>4019</v>
      </c>
      <c r="D235" s="20">
        <v>45999</v>
      </c>
      <c r="E235" s="20">
        <v>33275</v>
      </c>
      <c r="F235" s="19"/>
      <c r="G235" s="19"/>
      <c r="H235" s="19" t="s">
        <v>94</v>
      </c>
      <c r="I235" s="19"/>
      <c r="J235" s="19"/>
      <c r="K235" s="19"/>
      <c r="L235" s="19" t="s">
        <v>244</v>
      </c>
      <c r="M235" s="19" t="s">
        <v>245</v>
      </c>
      <c r="N235" s="19" t="s">
        <v>4020</v>
      </c>
      <c r="O235" s="19" t="s">
        <v>100</v>
      </c>
      <c r="P235" s="19"/>
      <c r="Q235" s="19"/>
      <c r="R235" s="19"/>
      <c r="S235" s="19"/>
      <c r="T235" s="19"/>
      <c r="U235" s="19"/>
      <c r="V235" s="19"/>
      <c r="W235" s="19"/>
      <c r="X235" s="19"/>
      <c r="Y235" s="19" t="s">
        <v>3160</v>
      </c>
      <c r="Z235" s="19" t="s">
        <v>3161</v>
      </c>
      <c r="AA235" s="19" t="s">
        <v>103</v>
      </c>
      <c r="AB235" s="19" t="s">
        <v>1372</v>
      </c>
      <c r="AC235" s="19" t="s">
        <v>1373</v>
      </c>
      <c r="AD235" s="19" t="s">
        <v>4021</v>
      </c>
      <c r="AE235" s="19" t="s">
        <v>4022</v>
      </c>
      <c r="AF235" s="19"/>
      <c r="AG235" s="19" t="s">
        <v>2109</v>
      </c>
      <c r="AH235" s="19" t="s">
        <v>1029</v>
      </c>
      <c r="AI235" s="19" t="s">
        <v>111</v>
      </c>
      <c r="AJ235" s="19" t="s">
        <v>4023</v>
      </c>
      <c r="AK235" s="19"/>
      <c r="AL235" s="19" t="s">
        <v>4024</v>
      </c>
      <c r="AM235" s="19" t="s">
        <v>4025</v>
      </c>
      <c r="AN235" s="19" t="s">
        <v>4024</v>
      </c>
      <c r="AO235" s="19" t="s">
        <v>4026</v>
      </c>
      <c r="AP235" s="19" t="s">
        <v>4027</v>
      </c>
      <c r="AQ235" s="19" t="s">
        <v>117</v>
      </c>
      <c r="AR235" s="19" t="s">
        <v>4028</v>
      </c>
      <c r="AS235" s="19" t="s">
        <v>4029</v>
      </c>
      <c r="AT235" s="19" t="s">
        <v>4030</v>
      </c>
      <c r="AU235" s="19" t="s">
        <v>4031</v>
      </c>
      <c r="AV235" s="19" t="s">
        <v>3387</v>
      </c>
      <c r="AW235" s="19" t="s">
        <v>4032</v>
      </c>
      <c r="AX235" s="19" t="s">
        <v>1029</v>
      </c>
      <c r="AY235" s="19" t="s">
        <v>4033</v>
      </c>
      <c r="AZ235" s="19" t="s">
        <v>4034</v>
      </c>
      <c r="BA235" s="20">
        <v>42913</v>
      </c>
      <c r="BB235" s="19" t="s">
        <v>2575</v>
      </c>
      <c r="BC235" s="19" t="s">
        <v>2294</v>
      </c>
      <c r="BD235" s="19" t="s">
        <v>2294</v>
      </c>
      <c r="BE235" s="19" t="s">
        <v>3180</v>
      </c>
      <c r="BF235" s="19" t="s">
        <v>4035</v>
      </c>
      <c r="BG235" s="19"/>
      <c r="BH235" s="19" t="s">
        <v>4036</v>
      </c>
      <c r="BI235" s="19" t="s">
        <v>4036</v>
      </c>
      <c r="BJ235" s="19" t="s">
        <v>194</v>
      </c>
      <c r="BK235" s="19" t="s">
        <v>591</v>
      </c>
      <c r="BL235" s="19" t="s">
        <v>122</v>
      </c>
      <c r="BM235" s="19" t="s">
        <v>592</v>
      </c>
      <c r="BN235" s="21">
        <v>0</v>
      </c>
      <c r="BO235" s="21">
        <v>0</v>
      </c>
      <c r="BQ235" s="2"/>
      <c r="BR235" s="2"/>
      <c r="BS235" s="2"/>
      <c r="BT235" s="2"/>
      <c r="BU235" s="22"/>
      <c r="BV235" s="2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</row>
    <row r="236" spans="1:95" x14ac:dyDescent="0.25">
      <c r="A236" s="18">
        <v>233</v>
      </c>
      <c r="B236" s="19" t="s">
        <v>4037</v>
      </c>
      <c r="C236" s="19" t="s">
        <v>4038</v>
      </c>
      <c r="D236" s="20">
        <v>46002</v>
      </c>
      <c r="E236" s="20">
        <v>30440</v>
      </c>
      <c r="F236" s="19"/>
      <c r="G236" s="19"/>
      <c r="H236" s="19" t="s">
        <v>94</v>
      </c>
      <c r="I236" s="19"/>
      <c r="J236" s="19"/>
      <c r="K236" s="19"/>
      <c r="L236" s="19" t="s">
        <v>1368</v>
      </c>
      <c r="M236" s="19" t="s">
        <v>468</v>
      </c>
      <c r="N236" s="19" t="s">
        <v>4039</v>
      </c>
      <c r="O236" s="19" t="s">
        <v>100</v>
      </c>
      <c r="P236" s="19"/>
      <c r="Q236" s="19"/>
      <c r="R236" s="19"/>
      <c r="S236" s="19"/>
      <c r="T236" s="19"/>
      <c r="U236" s="19"/>
      <c r="V236" s="19"/>
      <c r="W236" s="19"/>
      <c r="X236" s="19"/>
      <c r="Y236" s="19" t="s">
        <v>101</v>
      </c>
      <c r="Z236" s="19" t="s">
        <v>102</v>
      </c>
      <c r="AA236" s="19" t="s">
        <v>103</v>
      </c>
      <c r="AB236" s="19" t="s">
        <v>487</v>
      </c>
      <c r="AC236" s="19" t="s">
        <v>488</v>
      </c>
      <c r="AD236" s="19" t="s">
        <v>4040</v>
      </c>
      <c r="AE236" s="19" t="s">
        <v>4041</v>
      </c>
      <c r="AF236" s="19"/>
      <c r="AG236" s="19" t="s">
        <v>4042</v>
      </c>
      <c r="AH236" s="19" t="s">
        <v>110</v>
      </c>
      <c r="AI236" s="19" t="s">
        <v>111</v>
      </c>
      <c r="AJ236" s="19" t="s">
        <v>4043</v>
      </c>
      <c r="AK236" s="19"/>
      <c r="AL236" s="19"/>
      <c r="AM236" s="19" t="s">
        <v>4044</v>
      </c>
      <c r="AN236" s="19" t="s">
        <v>4045</v>
      </c>
      <c r="AO236" s="19" t="s">
        <v>620</v>
      </c>
      <c r="AP236" s="19" t="s">
        <v>436</v>
      </c>
      <c r="AQ236" s="19" t="s">
        <v>94</v>
      </c>
      <c r="AR236" s="19" t="s">
        <v>437</v>
      </c>
      <c r="AS236" s="19" t="s">
        <v>438</v>
      </c>
      <c r="AT236" s="19" t="s">
        <v>439</v>
      </c>
      <c r="AU236" s="19" t="s">
        <v>440</v>
      </c>
      <c r="AV236" s="19" t="s">
        <v>148</v>
      </c>
      <c r="AW236" s="19" t="s">
        <v>441</v>
      </c>
      <c r="AX236" s="19" t="s">
        <v>149</v>
      </c>
      <c r="AY236" s="19" t="s">
        <v>442</v>
      </c>
      <c r="AZ236" s="19" t="s">
        <v>443</v>
      </c>
      <c r="BA236" s="20">
        <v>41415</v>
      </c>
      <c r="BB236" s="19" t="s">
        <v>4046</v>
      </c>
      <c r="BC236" s="19" t="s">
        <v>4047</v>
      </c>
      <c r="BD236" s="19" t="s">
        <v>129</v>
      </c>
      <c r="BE236" s="19" t="s">
        <v>130</v>
      </c>
      <c r="BF236" s="19" t="s">
        <v>4048</v>
      </c>
      <c r="BG236" s="19" t="s">
        <v>4049</v>
      </c>
      <c r="BH236" s="19" t="s">
        <v>4050</v>
      </c>
      <c r="BI236" s="19" t="s">
        <v>4050</v>
      </c>
      <c r="BJ236" s="19" t="s">
        <v>194</v>
      </c>
      <c r="BK236" s="19" t="s">
        <v>3560</v>
      </c>
      <c r="BL236" s="19" t="s">
        <v>3553</v>
      </c>
      <c r="BM236" s="19" t="s">
        <v>135</v>
      </c>
      <c r="BN236" s="21">
        <v>0</v>
      </c>
      <c r="BO236" s="21">
        <v>0</v>
      </c>
      <c r="BQ236" s="2"/>
      <c r="BR236" s="2"/>
      <c r="BS236" s="2"/>
      <c r="BT236" s="2"/>
      <c r="BU236" s="22"/>
      <c r="BV236" s="2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</row>
    <row r="237" spans="1:95" x14ac:dyDescent="0.25">
      <c r="A237" s="18">
        <v>234</v>
      </c>
      <c r="B237" s="19" t="s">
        <v>4051</v>
      </c>
      <c r="C237" s="19" t="s">
        <v>4052</v>
      </c>
      <c r="D237" s="20">
        <v>46001</v>
      </c>
      <c r="E237" s="20">
        <v>30615</v>
      </c>
      <c r="F237" s="19"/>
      <c r="G237" s="19"/>
      <c r="H237" s="19" t="s">
        <v>94</v>
      </c>
      <c r="I237" s="19"/>
      <c r="J237" s="19"/>
      <c r="K237" s="19"/>
      <c r="L237" s="19" t="s">
        <v>467</v>
      </c>
      <c r="M237" s="19" t="s">
        <v>468</v>
      </c>
      <c r="N237" s="19" t="s">
        <v>4053</v>
      </c>
      <c r="O237" s="19" t="s">
        <v>100</v>
      </c>
      <c r="P237" s="19"/>
      <c r="Q237" s="19"/>
      <c r="R237" s="19"/>
      <c r="S237" s="19"/>
      <c r="T237" s="19"/>
      <c r="U237" s="19"/>
      <c r="V237" s="19"/>
      <c r="W237" s="19"/>
      <c r="X237" s="19"/>
      <c r="Y237" s="19" t="s">
        <v>101</v>
      </c>
      <c r="Z237" s="19" t="s">
        <v>102</v>
      </c>
      <c r="AA237" s="19" t="s">
        <v>103</v>
      </c>
      <c r="AB237" s="19" t="s">
        <v>173</v>
      </c>
      <c r="AC237" s="19" t="s">
        <v>174</v>
      </c>
      <c r="AD237" s="19" t="s">
        <v>4054</v>
      </c>
      <c r="AE237" s="19" t="s">
        <v>4055</v>
      </c>
      <c r="AF237" s="19"/>
      <c r="AG237" s="19" t="s">
        <v>4056</v>
      </c>
      <c r="AH237" s="19" t="s">
        <v>757</v>
      </c>
      <c r="AI237" s="19" t="s">
        <v>111</v>
      </c>
      <c r="AJ237" s="19" t="s">
        <v>4057</v>
      </c>
      <c r="AK237" s="19"/>
      <c r="AL237" s="19"/>
      <c r="AM237" s="19" t="s">
        <v>4058</v>
      </c>
      <c r="AN237" s="19" t="s">
        <v>4059</v>
      </c>
      <c r="AO237" s="19" t="s">
        <v>181</v>
      </c>
      <c r="AP237" s="19" t="s">
        <v>182</v>
      </c>
      <c r="AQ237" s="19" t="s">
        <v>117</v>
      </c>
      <c r="AR237" s="19" t="s">
        <v>183</v>
      </c>
      <c r="AS237" s="19" t="s">
        <v>184</v>
      </c>
      <c r="AT237" s="19" t="s">
        <v>185</v>
      </c>
      <c r="AU237" s="19"/>
      <c r="AV237" s="19" t="s">
        <v>186</v>
      </c>
      <c r="AW237" s="19" t="s">
        <v>187</v>
      </c>
      <c r="AX237" s="19" t="s">
        <v>188</v>
      </c>
      <c r="AY237" s="19"/>
      <c r="AZ237" s="19" t="s">
        <v>189</v>
      </c>
      <c r="BA237" s="20">
        <v>44673</v>
      </c>
      <c r="BB237" s="19" t="s">
        <v>331</v>
      </c>
      <c r="BC237" s="19" t="s">
        <v>4060</v>
      </c>
      <c r="BD237" s="19" t="s">
        <v>4056</v>
      </c>
      <c r="BE237" s="19" t="s">
        <v>130</v>
      </c>
      <c r="BF237" s="19" t="s">
        <v>4061</v>
      </c>
      <c r="BG237" s="19"/>
      <c r="BH237" s="19" t="s">
        <v>4062</v>
      </c>
      <c r="BI237" s="19" t="s">
        <v>4062</v>
      </c>
      <c r="BJ237" s="19" t="s">
        <v>194</v>
      </c>
      <c r="BK237" s="19" t="s">
        <v>195</v>
      </c>
      <c r="BL237" s="19" t="s">
        <v>122</v>
      </c>
      <c r="BM237" s="19" t="s">
        <v>196</v>
      </c>
      <c r="BN237" s="21">
        <v>17.451000000000001</v>
      </c>
      <c r="BO237" s="21">
        <v>618.18771419999996</v>
      </c>
      <c r="BQ237" s="2"/>
      <c r="BR237" s="2"/>
      <c r="BS237" s="2"/>
      <c r="BT237" s="2"/>
      <c r="BU237" s="22"/>
      <c r="BV237" s="2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</row>
    <row r="238" spans="1:95" x14ac:dyDescent="0.25">
      <c r="A238" s="18">
        <v>235</v>
      </c>
      <c r="B238" s="19" t="s">
        <v>4063</v>
      </c>
      <c r="C238" s="19" t="s">
        <v>4064</v>
      </c>
      <c r="D238" s="20">
        <v>46007</v>
      </c>
      <c r="E238" s="20">
        <v>34347</v>
      </c>
      <c r="F238" s="19"/>
      <c r="G238" s="19"/>
      <c r="H238" s="19" t="s">
        <v>94</v>
      </c>
      <c r="I238" s="19"/>
      <c r="J238" s="19"/>
      <c r="K238" s="19"/>
      <c r="L238" s="19" t="s">
        <v>140</v>
      </c>
      <c r="M238" s="19" t="s">
        <v>141</v>
      </c>
      <c r="N238" s="19" t="s">
        <v>4065</v>
      </c>
      <c r="O238" s="19" t="s">
        <v>100</v>
      </c>
      <c r="P238" s="19"/>
      <c r="Q238" s="19"/>
      <c r="R238" s="19"/>
      <c r="S238" s="19"/>
      <c r="T238" s="19"/>
      <c r="U238" s="19"/>
      <c r="V238" s="19"/>
      <c r="W238" s="19"/>
      <c r="X238" s="19"/>
      <c r="Y238" s="19" t="s">
        <v>101</v>
      </c>
      <c r="Z238" s="19" t="s">
        <v>102</v>
      </c>
      <c r="AA238" s="19" t="s">
        <v>103</v>
      </c>
      <c r="AB238" s="19" t="s">
        <v>1372</v>
      </c>
      <c r="AC238" s="19" t="s">
        <v>1373</v>
      </c>
      <c r="AD238" s="19" t="s">
        <v>4066</v>
      </c>
      <c r="AE238" s="19" t="s">
        <v>4067</v>
      </c>
      <c r="AF238" s="19"/>
      <c r="AG238" s="19" t="s">
        <v>4068</v>
      </c>
      <c r="AH238" s="19" t="s">
        <v>942</v>
      </c>
      <c r="AI238" s="19" t="s">
        <v>111</v>
      </c>
      <c r="AJ238" s="19" t="s">
        <v>4069</v>
      </c>
      <c r="AK238" s="19"/>
      <c r="AL238" s="19" t="s">
        <v>4070</v>
      </c>
      <c r="AM238" s="19" t="s">
        <v>4071</v>
      </c>
      <c r="AN238" s="19" t="s">
        <v>4072</v>
      </c>
      <c r="AO238" s="19" t="s">
        <v>2088</v>
      </c>
      <c r="AP238" s="19" t="s">
        <v>2089</v>
      </c>
      <c r="AQ238" s="19" t="s">
        <v>94</v>
      </c>
      <c r="AR238" s="19" t="s">
        <v>2090</v>
      </c>
      <c r="AS238" s="19" t="s">
        <v>2091</v>
      </c>
      <c r="AT238" s="19" t="s">
        <v>2092</v>
      </c>
      <c r="AU238" s="19" t="s">
        <v>2093</v>
      </c>
      <c r="AV238" s="19" t="s">
        <v>122</v>
      </c>
      <c r="AW238" s="19" t="s">
        <v>2094</v>
      </c>
      <c r="AX238" s="19" t="s">
        <v>901</v>
      </c>
      <c r="AY238" s="19" t="s">
        <v>2095</v>
      </c>
      <c r="AZ238" s="19" t="s">
        <v>2096</v>
      </c>
      <c r="BA238" s="20">
        <v>39974</v>
      </c>
      <c r="BB238" s="19" t="s">
        <v>2097</v>
      </c>
      <c r="BC238" s="19" t="s">
        <v>4073</v>
      </c>
      <c r="BD238" s="19" t="s">
        <v>4074</v>
      </c>
      <c r="BE238" s="19" t="s">
        <v>130</v>
      </c>
      <c r="BF238" s="19" t="s">
        <v>4075</v>
      </c>
      <c r="BG238" s="19" t="s">
        <v>4076</v>
      </c>
      <c r="BH238" s="19" t="s">
        <v>4077</v>
      </c>
      <c r="BI238" s="19" t="s">
        <v>4077</v>
      </c>
      <c r="BJ238" s="19" t="s">
        <v>1259</v>
      </c>
      <c r="BK238" s="19" t="s">
        <v>195</v>
      </c>
      <c r="BL238" s="19" t="s">
        <v>122</v>
      </c>
      <c r="BM238" s="19" t="s">
        <v>196</v>
      </c>
      <c r="BN238" s="21">
        <v>2606.4659999999999</v>
      </c>
      <c r="BO238" s="21">
        <v>100865.5425612</v>
      </c>
      <c r="BQ238" s="2"/>
      <c r="BR238" s="2"/>
      <c r="BS238" s="2"/>
      <c r="BT238" s="2"/>
      <c r="BU238" s="22"/>
      <c r="BV238" s="2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</row>
    <row r="239" spans="1:95" x14ac:dyDescent="0.25">
      <c r="A239" s="18">
        <v>236</v>
      </c>
      <c r="B239" s="19" t="s">
        <v>4078</v>
      </c>
      <c r="C239" s="19" t="s">
        <v>4079</v>
      </c>
      <c r="D239" s="20">
        <v>46003</v>
      </c>
      <c r="E239" s="20">
        <v>26418</v>
      </c>
      <c r="F239" s="19" t="s">
        <v>4080</v>
      </c>
      <c r="G239" s="19" t="s">
        <v>139</v>
      </c>
      <c r="H239" s="19" t="s">
        <v>117</v>
      </c>
      <c r="I239" s="19" t="s">
        <v>4081</v>
      </c>
      <c r="J239" s="19"/>
      <c r="K239" s="19"/>
      <c r="L239" s="19" t="s">
        <v>467</v>
      </c>
      <c r="M239" s="19" t="s">
        <v>468</v>
      </c>
      <c r="N239" s="19" t="s">
        <v>4082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 t="s">
        <v>101</v>
      </c>
      <c r="Z239" s="19" t="s">
        <v>102</v>
      </c>
      <c r="AA239" s="19" t="s">
        <v>103</v>
      </c>
      <c r="AB239" s="19" t="s">
        <v>702</v>
      </c>
      <c r="AC239" s="19" t="s">
        <v>703</v>
      </c>
      <c r="AD239" s="19" t="s">
        <v>4083</v>
      </c>
      <c r="AE239" s="19" t="s">
        <v>4084</v>
      </c>
      <c r="AF239" s="19"/>
      <c r="AG239" s="19" t="s">
        <v>4085</v>
      </c>
      <c r="AH239" s="19" t="s">
        <v>1808</v>
      </c>
      <c r="AI239" s="19" t="s">
        <v>111</v>
      </c>
      <c r="AJ239" s="19" t="s">
        <v>4086</v>
      </c>
      <c r="AK239" s="19"/>
      <c r="AL239" s="19"/>
      <c r="AM239" s="19" t="s">
        <v>4087</v>
      </c>
      <c r="AN239" s="19" t="s">
        <v>4088</v>
      </c>
      <c r="AO239" s="19" t="s">
        <v>476</v>
      </c>
      <c r="AP239" s="19" t="s">
        <v>477</v>
      </c>
      <c r="AQ239" s="19" t="s">
        <v>117</v>
      </c>
      <c r="AR239" s="19" t="s">
        <v>478</v>
      </c>
      <c r="AS239" s="19"/>
      <c r="AT239" s="19"/>
      <c r="AU239" s="19"/>
      <c r="AV239" s="19"/>
      <c r="AW239" s="19"/>
      <c r="AX239" s="19"/>
      <c r="AY239" s="19"/>
      <c r="AZ239" s="19"/>
      <c r="BA239" s="20">
        <v>44452</v>
      </c>
      <c r="BB239" s="19" t="s">
        <v>444</v>
      </c>
      <c r="BC239" s="19" t="s">
        <v>4089</v>
      </c>
      <c r="BD239" s="19" t="s">
        <v>1300</v>
      </c>
      <c r="BE239" s="19" t="s">
        <v>130</v>
      </c>
      <c r="BF239" s="19" t="s">
        <v>4090</v>
      </c>
      <c r="BG239" s="19"/>
      <c r="BH239" s="19" t="s">
        <v>4091</v>
      </c>
      <c r="BI239" s="19" t="s">
        <v>4091</v>
      </c>
      <c r="BJ239" s="19" t="s">
        <v>166</v>
      </c>
      <c r="BK239" s="19" t="s">
        <v>167</v>
      </c>
      <c r="BL239" s="19" t="s">
        <v>168</v>
      </c>
      <c r="BM239" s="19" t="s">
        <v>169</v>
      </c>
      <c r="BN239" s="21">
        <v>74698.267000000007</v>
      </c>
      <c r="BO239" s="21">
        <v>2208021.0139064002</v>
      </c>
      <c r="BQ239" s="2"/>
      <c r="BR239" s="2"/>
      <c r="BS239" s="2"/>
      <c r="BT239" s="2"/>
      <c r="BU239" s="22"/>
      <c r="BV239" s="2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</row>
    <row r="240" spans="1:95" x14ac:dyDescent="0.25">
      <c r="A240" s="18">
        <v>237</v>
      </c>
      <c r="B240" s="19" t="s">
        <v>4092</v>
      </c>
      <c r="C240" s="19" t="s">
        <v>4093</v>
      </c>
      <c r="D240" s="20">
        <v>46020</v>
      </c>
      <c r="E240" s="20">
        <v>28079</v>
      </c>
      <c r="F240" s="19" t="s">
        <v>4094</v>
      </c>
      <c r="G240" s="19" t="s">
        <v>139</v>
      </c>
      <c r="H240" s="19" t="s">
        <v>94</v>
      </c>
      <c r="I240" s="19"/>
      <c r="J240" s="19"/>
      <c r="K240" s="19"/>
      <c r="L240" s="19" t="s">
        <v>244</v>
      </c>
      <c r="M240" s="19" t="s">
        <v>245</v>
      </c>
      <c r="N240" s="19" t="s">
        <v>4095</v>
      </c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 t="s">
        <v>101</v>
      </c>
      <c r="Z240" s="19" t="s">
        <v>102</v>
      </c>
      <c r="AA240" s="19" t="s">
        <v>103</v>
      </c>
      <c r="AB240" s="19" t="s">
        <v>173</v>
      </c>
      <c r="AC240" s="19" t="s">
        <v>174</v>
      </c>
      <c r="AD240" s="19" t="s">
        <v>4096</v>
      </c>
      <c r="AE240" s="19" t="s">
        <v>4097</v>
      </c>
      <c r="AF240" s="19" t="s">
        <v>4098</v>
      </c>
      <c r="AG240" s="19" t="s">
        <v>4099</v>
      </c>
      <c r="AH240" s="19" t="s">
        <v>4100</v>
      </c>
      <c r="AI240" s="19" t="s">
        <v>111</v>
      </c>
      <c r="AJ240" s="19" t="s">
        <v>4101</v>
      </c>
      <c r="AK240" s="19"/>
      <c r="AL240" s="19" t="s">
        <v>4102</v>
      </c>
      <c r="AM240" s="19" t="s">
        <v>4103</v>
      </c>
      <c r="AN240" s="19" t="s">
        <v>4104</v>
      </c>
      <c r="AO240" s="19" t="s">
        <v>154</v>
      </c>
      <c r="AP240" s="19" t="s">
        <v>155</v>
      </c>
      <c r="AQ240" s="19" t="s">
        <v>117</v>
      </c>
      <c r="AR240" s="19" t="s">
        <v>156</v>
      </c>
      <c r="AS240" s="19" t="s">
        <v>157</v>
      </c>
      <c r="AT240" s="19" t="s">
        <v>158</v>
      </c>
      <c r="AU240" s="19"/>
      <c r="AV240" s="19" t="s">
        <v>122</v>
      </c>
      <c r="AW240" s="19"/>
      <c r="AX240" s="19" t="s">
        <v>124</v>
      </c>
      <c r="AY240" s="19" t="s">
        <v>159</v>
      </c>
      <c r="AZ240" s="19" t="s">
        <v>160</v>
      </c>
      <c r="BA240" s="20">
        <v>44676</v>
      </c>
      <c r="BB240" s="19" t="s">
        <v>331</v>
      </c>
      <c r="BC240" s="19" t="s">
        <v>4105</v>
      </c>
      <c r="BD240" s="19" t="s">
        <v>4106</v>
      </c>
      <c r="BE240" s="19" t="s">
        <v>130</v>
      </c>
      <c r="BF240" s="19" t="s">
        <v>4107</v>
      </c>
      <c r="BG240" s="19"/>
      <c r="BH240" s="19" t="s">
        <v>4108</v>
      </c>
      <c r="BI240" s="19" t="s">
        <v>4108</v>
      </c>
      <c r="BJ240" s="19" t="s">
        <v>166</v>
      </c>
      <c r="BK240" s="19" t="s">
        <v>167</v>
      </c>
      <c r="BL240" s="19" t="s">
        <v>168</v>
      </c>
      <c r="BM240" s="19" t="s">
        <v>169</v>
      </c>
      <c r="BN240" s="21">
        <v>28.263999999999999</v>
      </c>
      <c r="BO240" s="21">
        <v>1001.2295888</v>
      </c>
      <c r="BQ240" s="2"/>
      <c r="BR240" s="2"/>
      <c r="BS240" s="2"/>
      <c r="BT240" s="2"/>
      <c r="BU240" s="22"/>
      <c r="BV240" s="2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</row>
    <row r="241" spans="1:95" x14ac:dyDescent="0.25">
      <c r="A241" s="18">
        <v>238</v>
      </c>
      <c r="B241" s="19" t="s">
        <v>4109</v>
      </c>
      <c r="C241" s="19" t="s">
        <v>4110</v>
      </c>
      <c r="D241" s="20">
        <v>46008</v>
      </c>
      <c r="E241" s="20">
        <v>35596</v>
      </c>
      <c r="F241" s="19"/>
      <c r="G241" s="19"/>
      <c r="H241" s="19" t="s">
        <v>94</v>
      </c>
      <c r="I241" s="19"/>
      <c r="J241" s="19" t="s">
        <v>287</v>
      </c>
      <c r="K241" s="19" t="s">
        <v>288</v>
      </c>
      <c r="L241" s="19" t="s">
        <v>97</v>
      </c>
      <c r="M241" s="19" t="s">
        <v>98</v>
      </c>
      <c r="N241" s="19" t="s">
        <v>4111</v>
      </c>
      <c r="O241" s="19" t="s">
        <v>100</v>
      </c>
      <c r="P241" s="19"/>
      <c r="Q241" s="19"/>
      <c r="R241" s="19"/>
      <c r="S241" s="19"/>
      <c r="T241" s="19"/>
      <c r="U241" s="19"/>
      <c r="V241" s="19"/>
      <c r="W241" s="19"/>
      <c r="X241" s="19"/>
      <c r="Y241" s="19" t="s">
        <v>101</v>
      </c>
      <c r="Z241" s="19" t="s">
        <v>102</v>
      </c>
      <c r="AA241" s="19" t="s">
        <v>103</v>
      </c>
      <c r="AB241" s="19" t="s">
        <v>4112</v>
      </c>
      <c r="AC241" s="19" t="s">
        <v>4113</v>
      </c>
      <c r="AD241" s="19" t="s">
        <v>4114</v>
      </c>
      <c r="AE241" s="19" t="s">
        <v>4115</v>
      </c>
      <c r="AF241" s="19" t="s">
        <v>4116</v>
      </c>
      <c r="AG241" s="19" t="s">
        <v>3945</v>
      </c>
      <c r="AH241" s="19" t="s">
        <v>110</v>
      </c>
      <c r="AI241" s="19" t="s">
        <v>111</v>
      </c>
      <c r="AJ241" s="19" t="s">
        <v>4117</v>
      </c>
      <c r="AK241" s="19"/>
      <c r="AL241" s="19"/>
      <c r="AM241" s="19" t="s">
        <v>4118</v>
      </c>
      <c r="AN241" s="19" t="s">
        <v>4119</v>
      </c>
      <c r="AO241" s="19" t="s">
        <v>4120</v>
      </c>
      <c r="AP241" s="19" t="s">
        <v>4121</v>
      </c>
      <c r="AQ241" s="19" t="s">
        <v>117</v>
      </c>
      <c r="AR241" s="19" t="s">
        <v>4122</v>
      </c>
      <c r="AS241" s="19" t="s">
        <v>4123</v>
      </c>
      <c r="AT241" s="19" t="s">
        <v>4124</v>
      </c>
      <c r="AU241" s="19" t="s">
        <v>4125</v>
      </c>
      <c r="AV241" s="19" t="s">
        <v>4126</v>
      </c>
      <c r="AW241" s="19" t="s">
        <v>4127</v>
      </c>
      <c r="AX241" s="19" t="s">
        <v>110</v>
      </c>
      <c r="AY241" s="19" t="s">
        <v>4128</v>
      </c>
      <c r="AZ241" s="19" t="s">
        <v>4129</v>
      </c>
      <c r="BA241" s="20">
        <v>43059</v>
      </c>
      <c r="BB241" s="19" t="s">
        <v>2253</v>
      </c>
      <c r="BC241" s="19" t="s">
        <v>4130</v>
      </c>
      <c r="BD241" s="19" t="s">
        <v>4126</v>
      </c>
      <c r="BE241" s="19" t="s">
        <v>130</v>
      </c>
      <c r="BF241" s="19" t="s">
        <v>4131</v>
      </c>
      <c r="BG241" s="19" t="s">
        <v>4132</v>
      </c>
      <c r="BH241" s="19" t="s">
        <v>4133</v>
      </c>
      <c r="BI241" s="19" t="s">
        <v>4133</v>
      </c>
      <c r="BJ241" s="19" t="s">
        <v>2259</v>
      </c>
      <c r="BK241" s="19" t="s">
        <v>4134</v>
      </c>
      <c r="BL241" s="19" t="s">
        <v>4135</v>
      </c>
      <c r="BM241" s="19" t="s">
        <v>135</v>
      </c>
      <c r="BN241" s="21">
        <v>99.004999999999995</v>
      </c>
      <c r="BO241" s="21">
        <v>1514.7764999999999</v>
      </c>
      <c r="BQ241" s="2"/>
      <c r="BR241" s="2"/>
      <c r="BS241" s="2"/>
      <c r="BT241" s="2"/>
      <c r="BU241" s="22"/>
      <c r="BV241" s="2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</row>
    <row r="242" spans="1:95" x14ac:dyDescent="0.25">
      <c r="A242" s="18">
        <v>239</v>
      </c>
      <c r="B242" s="19" t="s">
        <v>4136</v>
      </c>
      <c r="C242" s="19" t="s">
        <v>4137</v>
      </c>
      <c r="D242" s="20">
        <v>46009</v>
      </c>
      <c r="E242" s="20">
        <v>36864</v>
      </c>
      <c r="F242" s="19" t="s">
        <v>4138</v>
      </c>
      <c r="G242" s="19" t="s">
        <v>139</v>
      </c>
      <c r="H242" s="19" t="s">
        <v>94</v>
      </c>
      <c r="I242" s="19"/>
      <c r="J242" s="19"/>
      <c r="K242" s="19"/>
      <c r="L242" s="19" t="s">
        <v>1262</v>
      </c>
      <c r="M242" s="19" t="s">
        <v>1263</v>
      </c>
      <c r="N242" s="19" t="s">
        <v>4139</v>
      </c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 t="s">
        <v>101</v>
      </c>
      <c r="Z242" s="19" t="s">
        <v>102</v>
      </c>
      <c r="AA242" s="19" t="s">
        <v>103</v>
      </c>
      <c r="AB242" s="19" t="s">
        <v>173</v>
      </c>
      <c r="AC242" s="19" t="s">
        <v>174</v>
      </c>
      <c r="AD242" s="19" t="s">
        <v>4140</v>
      </c>
      <c r="AE242" s="19" t="s">
        <v>4141</v>
      </c>
      <c r="AF242" s="19"/>
      <c r="AG242" s="19" t="s">
        <v>4142</v>
      </c>
      <c r="AH242" s="19" t="s">
        <v>376</v>
      </c>
      <c r="AI242" s="19"/>
      <c r="AJ242" s="19" t="s">
        <v>4143</v>
      </c>
      <c r="AK242" s="19"/>
      <c r="AL242" s="19" t="s">
        <v>4144</v>
      </c>
      <c r="AM242" s="19" t="s">
        <v>4145</v>
      </c>
      <c r="AN242" s="19"/>
      <c r="AO242" s="19" t="s">
        <v>154</v>
      </c>
      <c r="AP242" s="19" t="s">
        <v>155</v>
      </c>
      <c r="AQ242" s="19" t="s">
        <v>117</v>
      </c>
      <c r="AR242" s="19" t="s">
        <v>156</v>
      </c>
      <c r="AS242" s="19" t="s">
        <v>157</v>
      </c>
      <c r="AT242" s="19" t="s">
        <v>158</v>
      </c>
      <c r="AU242" s="19"/>
      <c r="AV242" s="19" t="s">
        <v>122</v>
      </c>
      <c r="AW242" s="19"/>
      <c r="AX242" s="19" t="s">
        <v>124</v>
      </c>
      <c r="AY242" s="19" t="s">
        <v>159</v>
      </c>
      <c r="AZ242" s="19" t="s">
        <v>160</v>
      </c>
      <c r="BA242" s="20">
        <v>44676</v>
      </c>
      <c r="BB242" s="19" t="s">
        <v>349</v>
      </c>
      <c r="BC242" s="19" t="s">
        <v>4146</v>
      </c>
      <c r="BD242" s="19" t="s">
        <v>4146</v>
      </c>
      <c r="BE242" s="19" t="s">
        <v>130</v>
      </c>
      <c r="BF242" s="19" t="s">
        <v>4147</v>
      </c>
      <c r="BG242" s="19"/>
      <c r="BH242" s="19" t="s">
        <v>4148</v>
      </c>
      <c r="BI242" s="19" t="s">
        <v>4148</v>
      </c>
      <c r="BJ242" s="19" t="s">
        <v>166</v>
      </c>
      <c r="BK242" s="19" t="s">
        <v>167</v>
      </c>
      <c r="BL242" s="19" t="s">
        <v>168</v>
      </c>
      <c r="BM242" s="19" t="s">
        <v>169</v>
      </c>
      <c r="BN242" s="21">
        <v>3.1739999999999999</v>
      </c>
      <c r="BO242" s="21">
        <v>112.4364108</v>
      </c>
      <c r="BQ242" s="2"/>
      <c r="BR242" s="2"/>
      <c r="BS242" s="2"/>
      <c r="BT242" s="2"/>
      <c r="BU242" s="22"/>
      <c r="BV242" s="2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</row>
    <row r="243" spans="1:95" x14ac:dyDescent="0.25">
      <c r="A243" s="18">
        <v>240</v>
      </c>
      <c r="B243" s="19" t="s">
        <v>4149</v>
      </c>
      <c r="C243" s="19" t="s">
        <v>4150</v>
      </c>
      <c r="D243" s="20">
        <v>46009</v>
      </c>
      <c r="E243" s="20">
        <v>36647</v>
      </c>
      <c r="F243" s="19"/>
      <c r="G243" s="19"/>
      <c r="H243" s="19" t="s">
        <v>94</v>
      </c>
      <c r="I243" s="19"/>
      <c r="J243" s="19"/>
      <c r="K243" s="19"/>
      <c r="L243" s="19" t="s">
        <v>2080</v>
      </c>
      <c r="M243" s="19" t="s">
        <v>141</v>
      </c>
      <c r="N243" s="19" t="s">
        <v>4151</v>
      </c>
      <c r="O243" s="19" t="s">
        <v>100</v>
      </c>
      <c r="P243" s="19"/>
      <c r="Q243" s="19"/>
      <c r="R243" s="19"/>
      <c r="S243" s="19"/>
      <c r="T243" s="19"/>
      <c r="U243" s="19"/>
      <c r="V243" s="19"/>
      <c r="W243" s="19"/>
      <c r="X243" s="19"/>
      <c r="Y243" s="19" t="s">
        <v>101</v>
      </c>
      <c r="Z243" s="19" t="s">
        <v>102</v>
      </c>
      <c r="AA243" s="19" t="s">
        <v>103</v>
      </c>
      <c r="AB243" s="19" t="s">
        <v>4152</v>
      </c>
      <c r="AC243" s="19" t="s">
        <v>4153</v>
      </c>
      <c r="AD243" s="19" t="s">
        <v>4154</v>
      </c>
      <c r="AE243" s="19" t="s">
        <v>4155</v>
      </c>
      <c r="AF243" s="19" t="s">
        <v>4156</v>
      </c>
      <c r="AG243" s="19" t="s">
        <v>4157</v>
      </c>
      <c r="AH243" s="19" t="s">
        <v>757</v>
      </c>
      <c r="AI243" s="19" t="s">
        <v>111</v>
      </c>
      <c r="AJ243" s="19" t="s">
        <v>4158</v>
      </c>
      <c r="AK243" s="19"/>
      <c r="AL243" s="19" t="s">
        <v>4159</v>
      </c>
      <c r="AM243" s="19" t="s">
        <v>4160</v>
      </c>
      <c r="AN243" s="19" t="s">
        <v>4161</v>
      </c>
      <c r="AO243" s="19" t="s">
        <v>2088</v>
      </c>
      <c r="AP243" s="19" t="s">
        <v>2089</v>
      </c>
      <c r="AQ243" s="19" t="s">
        <v>94</v>
      </c>
      <c r="AR243" s="19" t="s">
        <v>2090</v>
      </c>
      <c r="AS243" s="19" t="s">
        <v>2091</v>
      </c>
      <c r="AT243" s="19" t="s">
        <v>2092</v>
      </c>
      <c r="AU243" s="19" t="s">
        <v>2093</v>
      </c>
      <c r="AV243" s="19" t="s">
        <v>122</v>
      </c>
      <c r="AW243" s="19" t="s">
        <v>2094</v>
      </c>
      <c r="AX243" s="19" t="s">
        <v>901</v>
      </c>
      <c r="AY243" s="19" t="s">
        <v>2095</v>
      </c>
      <c r="AZ243" s="19" t="s">
        <v>2096</v>
      </c>
      <c r="BA243" s="20">
        <v>39974</v>
      </c>
      <c r="BB243" s="19" t="s">
        <v>2097</v>
      </c>
      <c r="BC243" s="19" t="s">
        <v>4162</v>
      </c>
      <c r="BD243" s="19" t="s">
        <v>4157</v>
      </c>
      <c r="BE243" s="19" t="s">
        <v>130</v>
      </c>
      <c r="BF243" s="19" t="s">
        <v>4163</v>
      </c>
      <c r="BG243" s="19" t="s">
        <v>4164</v>
      </c>
      <c r="BH243" s="19" t="s">
        <v>4165</v>
      </c>
      <c r="BI243" s="19" t="s">
        <v>4165</v>
      </c>
      <c r="BJ243" s="19" t="s">
        <v>1259</v>
      </c>
      <c r="BK243" s="19" t="s">
        <v>195</v>
      </c>
      <c r="BL243" s="19" t="s">
        <v>122</v>
      </c>
      <c r="BM243" s="19" t="s">
        <v>196</v>
      </c>
      <c r="BN243" s="21">
        <v>46.243000000000002</v>
      </c>
      <c r="BO243" s="21">
        <v>2022.7798032000001</v>
      </c>
      <c r="BQ243" s="2"/>
      <c r="BR243" s="2"/>
      <c r="BS243" s="2"/>
      <c r="BT243" s="2"/>
      <c r="BU243" s="22"/>
      <c r="BV243" s="2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</row>
    <row r="244" spans="1:95" x14ac:dyDescent="0.25">
      <c r="A244" s="18">
        <v>241</v>
      </c>
      <c r="B244" s="19" t="s">
        <v>4166</v>
      </c>
      <c r="C244" s="19" t="s">
        <v>4167</v>
      </c>
      <c r="D244" s="20">
        <v>46009</v>
      </c>
      <c r="E244" s="20">
        <v>32295</v>
      </c>
      <c r="F244" s="19"/>
      <c r="G244" s="19"/>
      <c r="H244" s="19" t="s">
        <v>94</v>
      </c>
      <c r="I244" s="19"/>
      <c r="J244" s="19"/>
      <c r="K244" s="19"/>
      <c r="L244" s="19" t="s">
        <v>687</v>
      </c>
      <c r="M244" s="19" t="s">
        <v>688</v>
      </c>
      <c r="N244" s="19" t="s">
        <v>4168</v>
      </c>
      <c r="O244" s="19" t="s">
        <v>100</v>
      </c>
      <c r="P244" s="19"/>
      <c r="Q244" s="19"/>
      <c r="R244" s="19"/>
      <c r="S244" s="19"/>
      <c r="T244" s="19"/>
      <c r="U244" s="19"/>
      <c r="V244" s="19"/>
      <c r="W244" s="19"/>
      <c r="X244" s="19"/>
      <c r="Y244" s="19" t="s">
        <v>101</v>
      </c>
      <c r="Z244" s="19" t="s">
        <v>102</v>
      </c>
      <c r="AA244" s="19" t="s">
        <v>103</v>
      </c>
      <c r="AB244" s="19" t="s">
        <v>201</v>
      </c>
      <c r="AC244" s="19" t="s">
        <v>202</v>
      </c>
      <c r="AD244" s="19" t="s">
        <v>4169</v>
      </c>
      <c r="AE244" s="19" t="s">
        <v>4170</v>
      </c>
      <c r="AF244" s="19"/>
      <c r="AG244" s="19" t="s">
        <v>1425</v>
      </c>
      <c r="AH244" s="19" t="s">
        <v>149</v>
      </c>
      <c r="AI244" s="19" t="s">
        <v>111</v>
      </c>
      <c r="AJ244" s="19" t="s">
        <v>4171</v>
      </c>
      <c r="AK244" s="19"/>
      <c r="AL244" s="19"/>
      <c r="AM244" s="19" t="s">
        <v>4172</v>
      </c>
      <c r="AN244" s="19" t="s">
        <v>4173</v>
      </c>
      <c r="AO244" s="19" t="s">
        <v>4174</v>
      </c>
      <c r="AP244" s="19" t="s">
        <v>4175</v>
      </c>
      <c r="AQ244" s="19" t="s">
        <v>117</v>
      </c>
      <c r="AR244" s="19" t="s">
        <v>4176</v>
      </c>
      <c r="AS244" s="19" t="s">
        <v>4177</v>
      </c>
      <c r="AT244" s="19" t="s">
        <v>4178</v>
      </c>
      <c r="AU244" s="19" t="s">
        <v>4179</v>
      </c>
      <c r="AV244" s="19" t="s">
        <v>3837</v>
      </c>
      <c r="AW244" s="19" t="s">
        <v>4180</v>
      </c>
      <c r="AX244" s="19" t="s">
        <v>149</v>
      </c>
      <c r="AY244" s="19" t="s">
        <v>4181</v>
      </c>
      <c r="AZ244" s="19" t="s">
        <v>4182</v>
      </c>
      <c r="BA244" s="20">
        <v>39037</v>
      </c>
      <c r="BB244" s="19" t="s">
        <v>363</v>
      </c>
      <c r="BC244" s="19" t="s">
        <v>4183</v>
      </c>
      <c r="BD244" s="19" t="s">
        <v>4184</v>
      </c>
      <c r="BE244" s="19" t="s">
        <v>130</v>
      </c>
      <c r="BF244" s="19" t="s">
        <v>4185</v>
      </c>
      <c r="BG244" s="19" t="s">
        <v>4186</v>
      </c>
      <c r="BH244" s="19" t="s">
        <v>4187</v>
      </c>
      <c r="BI244" s="19" t="s">
        <v>4187</v>
      </c>
      <c r="BJ244" s="19" t="s">
        <v>166</v>
      </c>
      <c r="BK244" s="19" t="s">
        <v>4188</v>
      </c>
      <c r="BL244" s="19" t="s">
        <v>4184</v>
      </c>
      <c r="BM244" s="19" t="s">
        <v>196</v>
      </c>
      <c r="BN244" s="21">
        <v>11.798</v>
      </c>
      <c r="BO244" s="21">
        <v>999.43217600000003</v>
      </c>
      <c r="BQ244" s="2"/>
      <c r="BR244" s="2"/>
      <c r="BS244" s="2"/>
      <c r="BT244" s="2"/>
      <c r="BU244" s="22"/>
      <c r="BV244" s="2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</row>
    <row r="245" spans="1:95" x14ac:dyDescent="0.25">
      <c r="A245" s="18">
        <v>242</v>
      </c>
      <c r="B245" s="19" t="s">
        <v>4189</v>
      </c>
      <c r="C245" s="19" t="s">
        <v>4190</v>
      </c>
      <c r="D245" s="20">
        <v>46010</v>
      </c>
      <c r="E245" s="20">
        <v>34699</v>
      </c>
      <c r="F245" s="19"/>
      <c r="G245" s="19"/>
      <c r="H245" s="19" t="s">
        <v>94</v>
      </c>
      <c r="I245" s="19"/>
      <c r="J245" s="19"/>
      <c r="K245" s="19"/>
      <c r="L245" s="19" t="s">
        <v>140</v>
      </c>
      <c r="M245" s="19" t="s">
        <v>141</v>
      </c>
      <c r="N245" s="19" t="s">
        <v>4191</v>
      </c>
      <c r="O245" s="19" t="s">
        <v>100</v>
      </c>
      <c r="P245" s="19"/>
      <c r="Q245" s="19"/>
      <c r="R245" s="19"/>
      <c r="S245" s="19"/>
      <c r="T245" s="19"/>
      <c r="U245" s="19"/>
      <c r="V245" s="19"/>
      <c r="W245" s="19"/>
      <c r="X245" s="19"/>
      <c r="Y245" s="19" t="s">
        <v>101</v>
      </c>
      <c r="Z245" s="19" t="s">
        <v>102</v>
      </c>
      <c r="AA245" s="19" t="s">
        <v>103</v>
      </c>
      <c r="AB245" s="19" t="s">
        <v>812</v>
      </c>
      <c r="AC245" s="19" t="s">
        <v>813</v>
      </c>
      <c r="AD245" s="19" t="s">
        <v>4192</v>
      </c>
      <c r="AE245" s="19" t="s">
        <v>4193</v>
      </c>
      <c r="AF245" s="19"/>
      <c r="AG245" s="19" t="s">
        <v>4194</v>
      </c>
      <c r="AH245" s="19" t="s">
        <v>3516</v>
      </c>
      <c r="AI245" s="19" t="s">
        <v>111</v>
      </c>
      <c r="AJ245" s="19" t="s">
        <v>4195</v>
      </c>
      <c r="AK245" s="19"/>
      <c r="AL245" s="19"/>
      <c r="AM245" s="19" t="s">
        <v>4196</v>
      </c>
      <c r="AN245" s="19" t="s">
        <v>4197</v>
      </c>
      <c r="AO245" s="19" t="s">
        <v>579</v>
      </c>
      <c r="AP245" s="19" t="s">
        <v>580</v>
      </c>
      <c r="AQ245" s="19" t="s">
        <v>117</v>
      </c>
      <c r="AR245" s="19" t="s">
        <v>581</v>
      </c>
      <c r="AS245" s="19" t="s">
        <v>582</v>
      </c>
      <c r="AT245" s="19" t="s">
        <v>583</v>
      </c>
      <c r="AU245" s="19" t="s">
        <v>584</v>
      </c>
      <c r="AV245" s="19" t="s">
        <v>168</v>
      </c>
      <c r="AW245" s="19" t="s">
        <v>585</v>
      </c>
      <c r="AX245" s="19" t="s">
        <v>262</v>
      </c>
      <c r="AY245" s="19" t="s">
        <v>586</v>
      </c>
      <c r="AZ245" s="19" t="s">
        <v>587</v>
      </c>
      <c r="BA245" s="20">
        <v>44494</v>
      </c>
      <c r="BB245" s="19" t="s">
        <v>331</v>
      </c>
      <c r="BC245" s="19" t="s">
        <v>4198</v>
      </c>
      <c r="BD245" s="19" t="s">
        <v>4199</v>
      </c>
      <c r="BE245" s="19" t="s">
        <v>130</v>
      </c>
      <c r="BF245" s="19" t="s">
        <v>4200</v>
      </c>
      <c r="BG245" s="19"/>
      <c r="BH245" s="19" t="s">
        <v>4201</v>
      </c>
      <c r="BI245" s="19" t="s">
        <v>4201</v>
      </c>
      <c r="BJ245" s="19" t="s">
        <v>194</v>
      </c>
      <c r="BK245" s="19" t="s">
        <v>591</v>
      </c>
      <c r="BL245" s="19" t="s">
        <v>122</v>
      </c>
      <c r="BM245" s="19" t="s">
        <v>592</v>
      </c>
      <c r="BN245" s="21">
        <v>14.779</v>
      </c>
      <c r="BO245" s="21">
        <v>512.38792999999998</v>
      </c>
      <c r="BQ245" s="2"/>
      <c r="BR245" s="2"/>
      <c r="BS245" s="2"/>
      <c r="BT245" s="2"/>
      <c r="BU245" s="22"/>
      <c r="BV245" s="2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</row>
    <row r="246" spans="1:95" x14ac:dyDescent="0.25">
      <c r="A246" s="18">
        <v>243</v>
      </c>
      <c r="B246" s="19" t="s">
        <v>4202</v>
      </c>
      <c r="C246" s="19" t="s">
        <v>4203</v>
      </c>
      <c r="D246" s="20">
        <v>46020</v>
      </c>
      <c r="E246" s="20">
        <v>36800</v>
      </c>
      <c r="F246" s="19"/>
      <c r="G246" s="19"/>
      <c r="H246" s="19" t="s">
        <v>94</v>
      </c>
      <c r="I246" s="19"/>
      <c r="J246" s="19"/>
      <c r="K246" s="19"/>
      <c r="L246" s="19" t="s">
        <v>140</v>
      </c>
      <c r="M246" s="19" t="s">
        <v>141</v>
      </c>
      <c r="N246" s="19" t="s">
        <v>4204</v>
      </c>
      <c r="O246" s="19" t="s">
        <v>100</v>
      </c>
      <c r="P246" s="19"/>
      <c r="Q246" s="19"/>
      <c r="R246" s="19"/>
      <c r="S246" s="19"/>
      <c r="T246" s="19"/>
      <c r="U246" s="19"/>
      <c r="V246" s="19"/>
      <c r="W246" s="19"/>
      <c r="X246" s="19"/>
      <c r="Y246" s="19" t="s">
        <v>101</v>
      </c>
      <c r="Z246" s="19" t="s">
        <v>102</v>
      </c>
      <c r="AA246" s="19" t="s">
        <v>103</v>
      </c>
      <c r="AB246" s="19" t="s">
        <v>1025</v>
      </c>
      <c r="AC246" s="19" t="s">
        <v>1026</v>
      </c>
      <c r="AD246" s="19" t="s">
        <v>4205</v>
      </c>
      <c r="AE246" s="19" t="s">
        <v>4206</v>
      </c>
      <c r="AF246" s="19" t="s">
        <v>4207</v>
      </c>
      <c r="AG246" s="19" t="s">
        <v>4208</v>
      </c>
      <c r="AH246" s="19" t="s">
        <v>231</v>
      </c>
      <c r="AI246" s="19" t="s">
        <v>111</v>
      </c>
      <c r="AJ246" s="19" t="s">
        <v>4209</v>
      </c>
      <c r="AK246" s="19"/>
      <c r="AL246" s="19"/>
      <c r="AM246" s="19" t="s">
        <v>4210</v>
      </c>
      <c r="AN246" s="19" t="s">
        <v>4211</v>
      </c>
      <c r="AO246" s="19" t="s">
        <v>1206</v>
      </c>
      <c r="AP246" s="19" t="s">
        <v>1207</v>
      </c>
      <c r="AQ246" s="19" t="s">
        <v>117</v>
      </c>
      <c r="AR246" s="19" t="s">
        <v>1208</v>
      </c>
      <c r="AS246" s="19" t="s">
        <v>1209</v>
      </c>
      <c r="AT246" s="19" t="s">
        <v>1210</v>
      </c>
      <c r="AU246" s="19" t="s">
        <v>1211</v>
      </c>
      <c r="AV246" s="19" t="s">
        <v>219</v>
      </c>
      <c r="AW246" s="19" t="s">
        <v>1212</v>
      </c>
      <c r="AX246" s="19" t="s">
        <v>124</v>
      </c>
      <c r="AY246" s="19" t="s">
        <v>1213</v>
      </c>
      <c r="AZ246" s="19" t="s">
        <v>1214</v>
      </c>
      <c r="BA246" s="20">
        <v>37560</v>
      </c>
      <c r="BB246" s="19" t="s">
        <v>161</v>
      </c>
      <c r="BC246" s="19" t="s">
        <v>4212</v>
      </c>
      <c r="BD246" s="19" t="s">
        <v>260</v>
      </c>
      <c r="BE246" s="19" t="s">
        <v>130</v>
      </c>
      <c r="BF246" s="19" t="s">
        <v>4213</v>
      </c>
      <c r="BG246" s="19"/>
      <c r="BH246" s="19" t="s">
        <v>4214</v>
      </c>
      <c r="BI246" s="19" t="s">
        <v>4214</v>
      </c>
      <c r="BJ246" s="19" t="s">
        <v>194</v>
      </c>
      <c r="BK246" s="19" t="s">
        <v>591</v>
      </c>
      <c r="BL246" s="19" t="s">
        <v>122</v>
      </c>
      <c r="BM246" s="19" t="s">
        <v>592</v>
      </c>
      <c r="BN246" s="21">
        <v>0</v>
      </c>
      <c r="BO246" s="21">
        <v>0</v>
      </c>
      <c r="BQ246" s="2"/>
      <c r="BR246" s="2"/>
      <c r="BS246" s="2"/>
      <c r="BT246" s="2"/>
      <c r="BU246" s="22"/>
      <c r="BV246" s="2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</row>
    <row r="247" spans="1:95" x14ac:dyDescent="0.25">
      <c r="A247" s="18">
        <v>244</v>
      </c>
      <c r="B247" s="19" t="s">
        <v>4215</v>
      </c>
      <c r="C247" s="19" t="s">
        <v>4216</v>
      </c>
      <c r="D247" s="20">
        <v>46014</v>
      </c>
      <c r="E247" s="20">
        <v>34662</v>
      </c>
      <c r="F247" s="19" t="s">
        <v>4217</v>
      </c>
      <c r="G247" s="19" t="s">
        <v>139</v>
      </c>
      <c r="H247" s="19" t="s">
        <v>94</v>
      </c>
      <c r="I247" s="19"/>
      <c r="J247" s="19"/>
      <c r="K247" s="19"/>
      <c r="L247" s="19" t="s">
        <v>244</v>
      </c>
      <c r="M247" s="19" t="s">
        <v>245</v>
      </c>
      <c r="N247" s="19" t="s">
        <v>4218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 t="s">
        <v>101</v>
      </c>
      <c r="Z247" s="19" t="s">
        <v>102</v>
      </c>
      <c r="AA247" s="19" t="s">
        <v>103</v>
      </c>
      <c r="AB247" s="19" t="s">
        <v>671</v>
      </c>
      <c r="AC247" s="19" t="s">
        <v>672</v>
      </c>
      <c r="AD247" s="19" t="s">
        <v>4219</v>
      </c>
      <c r="AE247" s="19" t="s">
        <v>4220</v>
      </c>
      <c r="AF247" s="19" t="s">
        <v>4221</v>
      </c>
      <c r="AG247" s="19" t="s">
        <v>2655</v>
      </c>
      <c r="AH247" s="19" t="s">
        <v>188</v>
      </c>
      <c r="AI247" s="19" t="s">
        <v>111</v>
      </c>
      <c r="AJ247" s="19" t="s">
        <v>2972</v>
      </c>
      <c r="AK247" s="19"/>
      <c r="AL247" s="19"/>
      <c r="AM247" s="19" t="s">
        <v>4222</v>
      </c>
      <c r="AN247" s="19" t="s">
        <v>4223</v>
      </c>
      <c r="AO247" s="19" t="s">
        <v>255</v>
      </c>
      <c r="AP247" s="19" t="s">
        <v>256</v>
      </c>
      <c r="AQ247" s="19" t="s">
        <v>117</v>
      </c>
      <c r="AR247" s="19" t="s">
        <v>257</v>
      </c>
      <c r="AS247" s="19" t="s">
        <v>258</v>
      </c>
      <c r="AT247" s="19" t="s">
        <v>259</v>
      </c>
      <c r="AU247" s="19" t="s">
        <v>260</v>
      </c>
      <c r="AV247" s="19" t="s">
        <v>260</v>
      </c>
      <c r="AW247" s="19" t="s">
        <v>261</v>
      </c>
      <c r="AX247" s="19" t="s">
        <v>262</v>
      </c>
      <c r="AY247" s="19" t="s">
        <v>263</v>
      </c>
      <c r="AZ247" s="19" t="s">
        <v>264</v>
      </c>
      <c r="BA247" s="20">
        <v>43627</v>
      </c>
      <c r="BB247" s="19" t="s">
        <v>479</v>
      </c>
      <c r="BC247" s="19" t="s">
        <v>1959</v>
      </c>
      <c r="BD247" s="19" t="s">
        <v>1960</v>
      </c>
      <c r="BE247" s="19" t="s">
        <v>130</v>
      </c>
      <c r="BF247" s="19" t="s">
        <v>4224</v>
      </c>
      <c r="BG247" s="19"/>
      <c r="BH247" s="19" t="s">
        <v>1962</v>
      </c>
      <c r="BI247" s="19" t="s">
        <v>1962</v>
      </c>
      <c r="BJ247" s="19" t="s">
        <v>166</v>
      </c>
      <c r="BK247" s="19" t="s">
        <v>167</v>
      </c>
      <c r="BL247" s="19" t="s">
        <v>168</v>
      </c>
      <c r="BM247" s="19" t="s">
        <v>169</v>
      </c>
      <c r="BN247" s="21">
        <v>557.78099999999995</v>
      </c>
      <c r="BO247" s="21">
        <v>25103.3801298</v>
      </c>
      <c r="BQ247" s="2"/>
      <c r="BR247" s="2"/>
      <c r="BS247" s="2"/>
      <c r="BT247" s="2"/>
      <c r="BU247" s="22"/>
      <c r="BV247" s="2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</row>
    <row r="248" spans="1:95" x14ac:dyDescent="0.25">
      <c r="A248" s="18">
        <v>245</v>
      </c>
      <c r="B248" s="19" t="s">
        <v>4225</v>
      </c>
      <c r="C248" s="19" t="s">
        <v>4226</v>
      </c>
      <c r="D248" s="20">
        <v>46015</v>
      </c>
      <c r="E248" s="20">
        <v>35736</v>
      </c>
      <c r="F248" s="19" t="s">
        <v>4227</v>
      </c>
      <c r="G248" s="19" t="s">
        <v>139</v>
      </c>
      <c r="H248" s="19" t="s">
        <v>94</v>
      </c>
      <c r="I248" s="19"/>
      <c r="J248" s="19"/>
      <c r="K248" s="19"/>
      <c r="L248" s="19" t="s">
        <v>244</v>
      </c>
      <c r="M248" s="19" t="s">
        <v>245</v>
      </c>
      <c r="N248" s="19" t="s">
        <v>4228</v>
      </c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 t="s">
        <v>101</v>
      </c>
      <c r="Z248" s="19" t="s">
        <v>102</v>
      </c>
      <c r="AA248" s="19" t="s">
        <v>103</v>
      </c>
      <c r="AB248" s="19" t="s">
        <v>143</v>
      </c>
      <c r="AC248" s="19" t="s">
        <v>144</v>
      </c>
      <c r="AD248" s="19" t="s">
        <v>4229</v>
      </c>
      <c r="AE248" s="19" t="s">
        <v>4230</v>
      </c>
      <c r="AF248" s="19"/>
      <c r="AG248" s="19" t="s">
        <v>4231</v>
      </c>
      <c r="AH248" s="19" t="s">
        <v>327</v>
      </c>
      <c r="AI248" s="19"/>
      <c r="AJ248" s="19" t="s">
        <v>4232</v>
      </c>
      <c r="AK248" s="19"/>
      <c r="AL248" s="19" t="s">
        <v>4233</v>
      </c>
      <c r="AM248" s="19" t="s">
        <v>4234</v>
      </c>
      <c r="AN248" s="19" t="s">
        <v>4235</v>
      </c>
      <c r="AO248" s="19" t="s">
        <v>154</v>
      </c>
      <c r="AP248" s="19" t="s">
        <v>155</v>
      </c>
      <c r="AQ248" s="19" t="s">
        <v>117</v>
      </c>
      <c r="AR248" s="19" t="s">
        <v>156</v>
      </c>
      <c r="AS248" s="19" t="s">
        <v>157</v>
      </c>
      <c r="AT248" s="19" t="s">
        <v>158</v>
      </c>
      <c r="AU248" s="19"/>
      <c r="AV248" s="19" t="s">
        <v>122</v>
      </c>
      <c r="AW248" s="19"/>
      <c r="AX248" s="19" t="s">
        <v>124</v>
      </c>
      <c r="AY248" s="19" t="s">
        <v>159</v>
      </c>
      <c r="AZ248" s="19" t="s">
        <v>160</v>
      </c>
      <c r="BA248" s="20">
        <v>44676</v>
      </c>
      <c r="BB248" s="19" t="s">
        <v>2783</v>
      </c>
      <c r="BC248" s="19" t="s">
        <v>2784</v>
      </c>
      <c r="BD248" s="19" t="s">
        <v>2785</v>
      </c>
      <c r="BE248" s="19" t="s">
        <v>130</v>
      </c>
      <c r="BF248" s="19" t="s">
        <v>4233</v>
      </c>
      <c r="BG248" s="19"/>
      <c r="BH248" s="19" t="s">
        <v>2787</v>
      </c>
      <c r="BI248" s="19" t="s">
        <v>2787</v>
      </c>
      <c r="BJ248" s="19" t="s">
        <v>166</v>
      </c>
      <c r="BK248" s="19" t="s">
        <v>167</v>
      </c>
      <c r="BL248" s="19" t="s">
        <v>168</v>
      </c>
      <c r="BM248" s="19" t="s">
        <v>169</v>
      </c>
      <c r="BN248" s="21">
        <v>0</v>
      </c>
      <c r="BO248" s="21">
        <v>0</v>
      </c>
      <c r="BQ248" s="2"/>
      <c r="BR248" s="2"/>
      <c r="BS248" s="2"/>
      <c r="BT248" s="2"/>
      <c r="BU248" s="22"/>
      <c r="BV248" s="2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</row>
    <row r="249" spans="1:95" x14ac:dyDescent="0.25">
      <c r="A249" s="18">
        <v>246</v>
      </c>
      <c r="B249" s="19" t="s">
        <v>4236</v>
      </c>
      <c r="C249" s="19" t="s">
        <v>4237</v>
      </c>
      <c r="D249" s="20">
        <v>46017</v>
      </c>
      <c r="E249" s="20">
        <v>28770</v>
      </c>
      <c r="F249" s="19"/>
      <c r="G249" s="19"/>
      <c r="H249" s="19" t="s">
        <v>94</v>
      </c>
      <c r="I249" s="19"/>
      <c r="J249" s="19"/>
      <c r="K249" s="19"/>
      <c r="L249" s="19" t="s">
        <v>467</v>
      </c>
      <c r="M249" s="19" t="s">
        <v>468</v>
      </c>
      <c r="N249" s="19" t="s">
        <v>4238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 t="s">
        <v>101</v>
      </c>
      <c r="Z249" s="19" t="s">
        <v>102</v>
      </c>
      <c r="AA249" s="19" t="s">
        <v>103</v>
      </c>
      <c r="AB249" s="19" t="s">
        <v>4239</v>
      </c>
      <c r="AC249" s="19" t="s">
        <v>4240</v>
      </c>
      <c r="AD249" s="19" t="s">
        <v>4241</v>
      </c>
      <c r="AE249" s="19" t="s">
        <v>4242</v>
      </c>
      <c r="AF249" s="19" t="s">
        <v>4243</v>
      </c>
      <c r="AG249" s="19" t="s">
        <v>490</v>
      </c>
      <c r="AH249" s="19" t="s">
        <v>262</v>
      </c>
      <c r="AI249" s="19" t="s">
        <v>111</v>
      </c>
      <c r="AJ249" s="19" t="s">
        <v>525</v>
      </c>
      <c r="AK249" s="19"/>
      <c r="AL249" s="19"/>
      <c r="AM249" s="19" t="s">
        <v>4244</v>
      </c>
      <c r="AN249" s="19" t="s">
        <v>4245</v>
      </c>
      <c r="AO249" s="19" t="s">
        <v>1095</v>
      </c>
      <c r="AP249" s="19" t="s">
        <v>1096</v>
      </c>
      <c r="AQ249" s="19" t="s">
        <v>117</v>
      </c>
      <c r="AR249" s="19" t="s">
        <v>1097</v>
      </c>
      <c r="AS249" s="19" t="s">
        <v>1098</v>
      </c>
      <c r="AT249" s="19" t="s">
        <v>1099</v>
      </c>
      <c r="AU249" s="19" t="s">
        <v>1100</v>
      </c>
      <c r="AV249" s="19" t="s">
        <v>219</v>
      </c>
      <c r="AW249" s="19" t="s">
        <v>1101</v>
      </c>
      <c r="AX249" s="19" t="s">
        <v>124</v>
      </c>
      <c r="AY249" s="19"/>
      <c r="AZ249" s="19" t="s">
        <v>1102</v>
      </c>
      <c r="BA249" s="20">
        <v>40110</v>
      </c>
      <c r="BB249" s="19" t="s">
        <v>444</v>
      </c>
      <c r="BC249" s="19" t="s">
        <v>4246</v>
      </c>
      <c r="BD249" s="19" t="s">
        <v>260</v>
      </c>
      <c r="BE249" s="19" t="s">
        <v>130</v>
      </c>
      <c r="BF249" s="19" t="s">
        <v>4247</v>
      </c>
      <c r="BG249" s="19"/>
      <c r="BH249" s="19" t="s">
        <v>4248</v>
      </c>
      <c r="BI249" s="19" t="s">
        <v>4248</v>
      </c>
      <c r="BJ249" s="19" t="s">
        <v>194</v>
      </c>
      <c r="BK249" s="19" t="s">
        <v>591</v>
      </c>
      <c r="BL249" s="19" t="s">
        <v>122</v>
      </c>
      <c r="BM249" s="19" t="s">
        <v>592</v>
      </c>
      <c r="BN249" s="21">
        <v>36.534999999999997</v>
      </c>
      <c r="BO249" s="21">
        <v>2500.6051935</v>
      </c>
      <c r="BQ249" s="2"/>
      <c r="BR249" s="2"/>
      <c r="BS249" s="2"/>
      <c r="BT249" s="2"/>
      <c r="BU249" s="22"/>
      <c r="BV249" s="2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</row>
    <row r="250" spans="1:95" x14ac:dyDescent="0.25">
      <c r="A250" s="18">
        <v>247</v>
      </c>
      <c r="B250" s="19" t="s">
        <v>4249</v>
      </c>
      <c r="C250" s="19" t="s">
        <v>4250</v>
      </c>
      <c r="D250" s="20">
        <v>46017</v>
      </c>
      <c r="E250" s="20">
        <v>16653</v>
      </c>
      <c r="F250" s="19"/>
      <c r="G250" s="19"/>
      <c r="H250" s="19" t="s">
        <v>94</v>
      </c>
      <c r="I250" s="19"/>
      <c r="J250" s="19" t="s">
        <v>95</v>
      </c>
      <c r="K250" s="19" t="s">
        <v>96</v>
      </c>
      <c r="L250" s="19" t="s">
        <v>244</v>
      </c>
      <c r="M250" s="19" t="s">
        <v>245</v>
      </c>
      <c r="N250" s="19" t="s">
        <v>4251</v>
      </c>
      <c r="O250" s="19" t="s">
        <v>100</v>
      </c>
      <c r="P250" s="19"/>
      <c r="Q250" s="19"/>
      <c r="R250" s="19"/>
      <c r="S250" s="19"/>
      <c r="T250" s="19"/>
      <c r="U250" s="19"/>
      <c r="V250" s="19"/>
      <c r="W250" s="19"/>
      <c r="X250" s="19"/>
      <c r="Y250" s="19" t="s">
        <v>101</v>
      </c>
      <c r="Z250" s="19" t="s">
        <v>102</v>
      </c>
      <c r="AA250" s="19" t="s">
        <v>103</v>
      </c>
      <c r="AB250" s="19" t="s">
        <v>387</v>
      </c>
      <c r="AC250" s="19" t="s">
        <v>388</v>
      </c>
      <c r="AD250" s="19" t="s">
        <v>4252</v>
      </c>
      <c r="AE250" s="19" t="s">
        <v>4253</v>
      </c>
      <c r="AF250" s="19"/>
      <c r="AG250" s="19" t="s">
        <v>4254</v>
      </c>
      <c r="AH250" s="19" t="s">
        <v>677</v>
      </c>
      <c r="AI250" s="19" t="s">
        <v>111</v>
      </c>
      <c r="AJ250" s="19" t="s">
        <v>4255</v>
      </c>
      <c r="AK250" s="19"/>
      <c r="AL250" s="19"/>
      <c r="AM250" s="19" t="s">
        <v>4256</v>
      </c>
      <c r="AN250" s="19" t="s">
        <v>4257</v>
      </c>
      <c r="AO250" s="19" t="s">
        <v>1077</v>
      </c>
      <c r="AP250" s="19" t="s">
        <v>1077</v>
      </c>
      <c r="AQ250" s="19" t="s">
        <v>117</v>
      </c>
      <c r="AR250" s="19"/>
      <c r="AS250" s="19" t="s">
        <v>1078</v>
      </c>
      <c r="AT250" s="19"/>
      <c r="AU250" s="19"/>
      <c r="AV250" s="19"/>
      <c r="AW250" s="19" t="s">
        <v>1079</v>
      </c>
      <c r="AX250" s="19"/>
      <c r="AY250" s="19"/>
      <c r="AZ250" s="19"/>
      <c r="BA250" s="20">
        <v>38627</v>
      </c>
      <c r="BB250" s="19" t="s">
        <v>1342</v>
      </c>
      <c r="BC250" s="19" t="s">
        <v>4258</v>
      </c>
      <c r="BD250" s="19" t="s">
        <v>4259</v>
      </c>
      <c r="BE250" s="19" t="s">
        <v>130</v>
      </c>
      <c r="BF250" s="19" t="s">
        <v>4260</v>
      </c>
      <c r="BG250" s="19"/>
      <c r="BH250" s="19" t="s">
        <v>4261</v>
      </c>
      <c r="BI250" s="19" t="s">
        <v>4261</v>
      </c>
      <c r="BJ250" s="19" t="s">
        <v>166</v>
      </c>
      <c r="BK250" s="19" t="s">
        <v>195</v>
      </c>
      <c r="BL250" s="19" t="s">
        <v>122</v>
      </c>
      <c r="BM250" s="19" t="s">
        <v>196</v>
      </c>
      <c r="BN250" s="21">
        <v>284.762</v>
      </c>
      <c r="BO250" s="21">
        <v>604706.34510000004</v>
      </c>
      <c r="BQ250" s="2"/>
      <c r="BR250" s="2"/>
      <c r="BS250" s="2"/>
      <c r="BT250" s="2"/>
      <c r="BU250" s="22"/>
      <c r="BV250" s="2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</row>
    <row r="251" spans="1:95" x14ac:dyDescent="0.25">
      <c r="A251" s="18">
        <v>248</v>
      </c>
      <c r="B251" s="19" t="s">
        <v>4262</v>
      </c>
      <c r="C251" s="19" t="s">
        <v>4263</v>
      </c>
      <c r="D251" s="20">
        <v>46022</v>
      </c>
      <c r="E251" s="20">
        <v>29421</v>
      </c>
      <c r="F251" s="19"/>
      <c r="G251" s="19"/>
      <c r="H251" s="19" t="s">
        <v>94</v>
      </c>
      <c r="I251" s="19"/>
      <c r="J251" s="19"/>
      <c r="K251" s="19"/>
      <c r="L251" s="19" t="s">
        <v>140</v>
      </c>
      <c r="M251" s="19" t="s">
        <v>141</v>
      </c>
      <c r="N251" s="19" t="s">
        <v>4264</v>
      </c>
      <c r="O251" s="19" t="s">
        <v>100</v>
      </c>
      <c r="P251" s="19"/>
      <c r="Q251" s="19"/>
      <c r="R251" s="19"/>
      <c r="S251" s="19"/>
      <c r="T251" s="19"/>
      <c r="U251" s="19"/>
      <c r="V251" s="19"/>
      <c r="W251" s="19"/>
      <c r="X251" s="19"/>
      <c r="Y251" s="19" t="s">
        <v>101</v>
      </c>
      <c r="Z251" s="19" t="s">
        <v>102</v>
      </c>
      <c r="AA251" s="19" t="s">
        <v>103</v>
      </c>
      <c r="AB251" s="19" t="s">
        <v>1372</v>
      </c>
      <c r="AC251" s="19" t="s">
        <v>1373</v>
      </c>
      <c r="AD251" s="19" t="s">
        <v>4265</v>
      </c>
      <c r="AE251" s="19" t="s">
        <v>4266</v>
      </c>
      <c r="AF251" s="19" t="s">
        <v>4267</v>
      </c>
      <c r="AG251" s="19" t="s">
        <v>4268</v>
      </c>
      <c r="AH251" s="19" t="s">
        <v>1015</v>
      </c>
      <c r="AI251" s="19" t="s">
        <v>111</v>
      </c>
      <c r="AJ251" s="19" t="s">
        <v>4269</v>
      </c>
      <c r="AK251" s="19"/>
      <c r="AL251" s="19"/>
      <c r="AM251" s="19" t="s">
        <v>4270</v>
      </c>
      <c r="AN251" s="19" t="s">
        <v>4271</v>
      </c>
      <c r="AO251" s="19" t="s">
        <v>579</v>
      </c>
      <c r="AP251" s="19" t="s">
        <v>580</v>
      </c>
      <c r="AQ251" s="19" t="s">
        <v>117</v>
      </c>
      <c r="AR251" s="19" t="s">
        <v>581</v>
      </c>
      <c r="AS251" s="19" t="s">
        <v>582</v>
      </c>
      <c r="AT251" s="19" t="s">
        <v>583</v>
      </c>
      <c r="AU251" s="19" t="s">
        <v>584</v>
      </c>
      <c r="AV251" s="19" t="s">
        <v>168</v>
      </c>
      <c r="AW251" s="19" t="s">
        <v>585</v>
      </c>
      <c r="AX251" s="19" t="s">
        <v>262</v>
      </c>
      <c r="AY251" s="19" t="s">
        <v>586</v>
      </c>
      <c r="AZ251" s="19" t="s">
        <v>587</v>
      </c>
      <c r="BA251" s="20">
        <v>44494</v>
      </c>
      <c r="BB251" s="19" t="s">
        <v>331</v>
      </c>
      <c r="BC251" s="19" t="s">
        <v>4272</v>
      </c>
      <c r="BD251" s="19" t="s">
        <v>4273</v>
      </c>
      <c r="BE251" s="19" t="s">
        <v>130</v>
      </c>
      <c r="BF251" s="19" t="s">
        <v>4274</v>
      </c>
      <c r="BG251" s="19"/>
      <c r="BH251" s="19" t="s">
        <v>4275</v>
      </c>
      <c r="BI251" s="19" t="s">
        <v>4275</v>
      </c>
      <c r="BJ251" s="19" t="s">
        <v>194</v>
      </c>
      <c r="BK251" s="19" t="s">
        <v>591</v>
      </c>
      <c r="BL251" s="19" t="s">
        <v>122</v>
      </c>
      <c r="BM251" s="19" t="s">
        <v>592</v>
      </c>
      <c r="BN251" s="21">
        <v>25.84</v>
      </c>
      <c r="BO251" s="21">
        <v>999.96148800000003</v>
      </c>
      <c r="BQ251" s="2"/>
      <c r="BR251" s="2"/>
      <c r="BS251" s="2"/>
      <c r="BT251" s="2"/>
      <c r="BU251" s="22"/>
      <c r="BV251" s="2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</row>
    <row r="252" spans="1:95" x14ac:dyDescent="0.25">
      <c r="A252" s="18">
        <v>249</v>
      </c>
      <c r="B252" s="19" t="s">
        <v>4276</v>
      </c>
      <c r="C252" s="19" t="s">
        <v>4277</v>
      </c>
      <c r="D252" s="20">
        <v>46022</v>
      </c>
      <c r="E252" s="20">
        <v>36029</v>
      </c>
      <c r="F252" s="19"/>
      <c r="G252" s="19"/>
      <c r="H252" s="19" t="s">
        <v>94</v>
      </c>
      <c r="I252" s="19"/>
      <c r="J252" s="19"/>
      <c r="K252" s="19"/>
      <c r="L252" s="19" t="s">
        <v>140</v>
      </c>
      <c r="M252" s="19" t="s">
        <v>141</v>
      </c>
      <c r="N252" s="19" t="s">
        <v>4278</v>
      </c>
      <c r="O252" s="19" t="s">
        <v>100</v>
      </c>
      <c r="P252" s="19"/>
      <c r="Q252" s="19"/>
      <c r="R252" s="19"/>
      <c r="S252" s="19"/>
      <c r="T252" s="19"/>
      <c r="U252" s="19"/>
      <c r="V252" s="19"/>
      <c r="W252" s="19"/>
      <c r="X252" s="19"/>
      <c r="Y252" s="19" t="s">
        <v>101</v>
      </c>
      <c r="Z252" s="19" t="s">
        <v>102</v>
      </c>
      <c r="AA252" s="19" t="s">
        <v>103</v>
      </c>
      <c r="AB252" s="19" t="s">
        <v>173</v>
      </c>
      <c r="AC252" s="19" t="s">
        <v>174</v>
      </c>
      <c r="AD252" s="19" t="s">
        <v>4279</v>
      </c>
      <c r="AE252" s="19" t="s">
        <v>4280</v>
      </c>
      <c r="AF252" s="19" t="s">
        <v>4281</v>
      </c>
      <c r="AG252" s="19" t="s">
        <v>2071</v>
      </c>
      <c r="AH252" s="19" t="s">
        <v>188</v>
      </c>
      <c r="AI252" s="19" t="s">
        <v>111</v>
      </c>
      <c r="AJ252" s="19" t="s">
        <v>4282</v>
      </c>
      <c r="AK252" s="19"/>
      <c r="AL252" s="19"/>
      <c r="AM252" s="19" t="s">
        <v>4283</v>
      </c>
      <c r="AN252" s="19" t="s">
        <v>4284</v>
      </c>
      <c r="AO252" s="19" t="s">
        <v>181</v>
      </c>
      <c r="AP252" s="19" t="s">
        <v>182</v>
      </c>
      <c r="AQ252" s="19" t="s">
        <v>117</v>
      </c>
      <c r="AR252" s="19" t="s">
        <v>183</v>
      </c>
      <c r="AS252" s="19" t="s">
        <v>184</v>
      </c>
      <c r="AT252" s="19" t="s">
        <v>185</v>
      </c>
      <c r="AU252" s="19"/>
      <c r="AV252" s="19" t="s">
        <v>186</v>
      </c>
      <c r="AW252" s="19" t="s">
        <v>187</v>
      </c>
      <c r="AX252" s="19" t="s">
        <v>188</v>
      </c>
      <c r="AY252" s="19"/>
      <c r="AZ252" s="19" t="s">
        <v>189</v>
      </c>
      <c r="BA252" s="20">
        <v>44673</v>
      </c>
      <c r="BB252" s="19" t="s">
        <v>161</v>
      </c>
      <c r="BC252" s="19" t="s">
        <v>4285</v>
      </c>
      <c r="BD252" s="19" t="s">
        <v>365</v>
      </c>
      <c r="BE252" s="19" t="s">
        <v>130</v>
      </c>
      <c r="BF252" s="19" t="s">
        <v>4286</v>
      </c>
      <c r="BG252" s="19"/>
      <c r="BH252" s="19" t="s">
        <v>4287</v>
      </c>
      <c r="BI252" s="19" t="s">
        <v>4287</v>
      </c>
      <c r="BJ252" s="19" t="s">
        <v>194</v>
      </c>
      <c r="BK252" s="19" t="s">
        <v>195</v>
      </c>
      <c r="BL252" s="19" t="s">
        <v>122</v>
      </c>
      <c r="BM252" s="19" t="s">
        <v>196</v>
      </c>
      <c r="BN252" s="21">
        <v>2.823</v>
      </c>
      <c r="BO252" s="21">
        <v>100.00251660000001</v>
      </c>
      <c r="BQ252" s="2"/>
      <c r="BR252" s="2"/>
      <c r="BS252" s="2"/>
      <c r="BT252" s="2"/>
      <c r="BU252" s="22"/>
      <c r="BV252" s="2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</row>
    <row r="253" spans="1:95" x14ac:dyDescent="0.25">
      <c r="A253" s="18">
        <v>250</v>
      </c>
      <c r="B253" s="19" t="s">
        <v>4288</v>
      </c>
      <c r="C253" s="19" t="s">
        <v>4289</v>
      </c>
      <c r="D253" s="20">
        <v>46022</v>
      </c>
      <c r="E253" s="20">
        <v>24863</v>
      </c>
      <c r="F253" s="19"/>
      <c r="G253" s="19"/>
      <c r="H253" s="19" t="s">
        <v>94</v>
      </c>
      <c r="I253" s="19"/>
      <c r="J253" s="19" t="s">
        <v>287</v>
      </c>
      <c r="K253" s="19" t="s">
        <v>288</v>
      </c>
      <c r="L253" s="19" t="s">
        <v>97</v>
      </c>
      <c r="M253" s="19" t="s">
        <v>98</v>
      </c>
      <c r="N253" s="19" t="s">
        <v>4290</v>
      </c>
      <c r="O253" s="19" t="s">
        <v>100</v>
      </c>
      <c r="P253" s="19"/>
      <c r="Q253" s="19"/>
      <c r="R253" s="19"/>
      <c r="S253" s="19"/>
      <c r="T253" s="19"/>
      <c r="U253" s="19"/>
      <c r="V253" s="19"/>
      <c r="W253" s="19"/>
      <c r="X253" s="19"/>
      <c r="Y253" s="19" t="s">
        <v>101</v>
      </c>
      <c r="Z253" s="19" t="s">
        <v>102</v>
      </c>
      <c r="AA253" s="19" t="s">
        <v>103</v>
      </c>
      <c r="AB253" s="19" t="s">
        <v>1222</v>
      </c>
      <c r="AC253" s="19" t="s">
        <v>1223</v>
      </c>
      <c r="AD253" s="19" t="s">
        <v>4291</v>
      </c>
      <c r="AE253" s="19" t="s">
        <v>4292</v>
      </c>
      <c r="AF253" s="19" t="s">
        <v>4293</v>
      </c>
      <c r="AG253" s="19" t="s">
        <v>4294</v>
      </c>
      <c r="AH253" s="19" t="s">
        <v>298</v>
      </c>
      <c r="AI253" s="19" t="s">
        <v>111</v>
      </c>
      <c r="AJ253" s="19" t="s">
        <v>4295</v>
      </c>
      <c r="AK253" s="19"/>
      <c r="AL253" s="19"/>
      <c r="AM253" s="19" t="s">
        <v>4296</v>
      </c>
      <c r="AN253" s="19" t="s">
        <v>4297</v>
      </c>
      <c r="AO253" s="19" t="s">
        <v>4298</v>
      </c>
      <c r="AP253" s="19" t="s">
        <v>4299</v>
      </c>
      <c r="AQ253" s="19" t="s">
        <v>117</v>
      </c>
      <c r="AR253" s="19" t="s">
        <v>4300</v>
      </c>
      <c r="AS253" s="19" t="s">
        <v>4301</v>
      </c>
      <c r="AT253" s="19"/>
      <c r="AU253" s="19"/>
      <c r="AV253" s="19" t="s">
        <v>4302</v>
      </c>
      <c r="AW253" s="19" t="s">
        <v>4295</v>
      </c>
      <c r="AX253" s="19" t="s">
        <v>298</v>
      </c>
      <c r="AY253" s="19" t="s">
        <v>4303</v>
      </c>
      <c r="AZ253" s="19" t="s">
        <v>4304</v>
      </c>
      <c r="BA253" s="20">
        <v>45470</v>
      </c>
      <c r="BB253" s="19" t="s">
        <v>312</v>
      </c>
      <c r="BC253" s="19" t="s">
        <v>4305</v>
      </c>
      <c r="BD253" s="19" t="s">
        <v>4294</v>
      </c>
      <c r="BE253" s="19" t="s">
        <v>130</v>
      </c>
      <c r="BF253" s="19" t="s">
        <v>4306</v>
      </c>
      <c r="BG253" s="19" t="s">
        <v>4307</v>
      </c>
      <c r="BH253" s="19" t="s">
        <v>4308</v>
      </c>
      <c r="BI253" s="19" t="s">
        <v>4308</v>
      </c>
      <c r="BJ253" s="19" t="s">
        <v>166</v>
      </c>
      <c r="BK253" s="19" t="s">
        <v>4309</v>
      </c>
      <c r="BL253" s="19" t="s">
        <v>4302</v>
      </c>
      <c r="BM253" s="19" t="s">
        <v>135</v>
      </c>
      <c r="BN253" s="21">
        <v>0</v>
      </c>
      <c r="BO253" s="21">
        <v>0</v>
      </c>
      <c r="BQ253" s="2"/>
      <c r="BR253" s="2"/>
      <c r="BS253" s="2"/>
      <c r="BT253" s="2"/>
      <c r="BU253" s="22"/>
      <c r="BV253" s="2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</row>
    <row r="254" spans="1:95" x14ac:dyDescent="0.25">
      <c r="A254" s="18">
        <v>251</v>
      </c>
      <c r="B254" s="19" t="s">
        <v>4310</v>
      </c>
      <c r="C254" s="19" t="s">
        <v>4311</v>
      </c>
      <c r="D254" s="20">
        <v>45992</v>
      </c>
      <c r="E254" s="20">
        <v>32582</v>
      </c>
      <c r="F254" s="19"/>
      <c r="G254" s="19"/>
      <c r="H254" s="19" t="s">
        <v>94</v>
      </c>
      <c r="I254" s="19"/>
      <c r="J254" s="19"/>
      <c r="K254" s="19"/>
      <c r="L254" s="19" t="s">
        <v>4312</v>
      </c>
      <c r="M254" s="19" t="s">
        <v>4313</v>
      </c>
      <c r="N254" s="19" t="s">
        <v>4314</v>
      </c>
      <c r="O254" s="19" t="s">
        <v>100</v>
      </c>
      <c r="P254" s="19"/>
      <c r="Q254" s="19"/>
      <c r="R254" s="19"/>
      <c r="S254" s="19"/>
      <c r="T254" s="19"/>
      <c r="U254" s="19"/>
      <c r="V254" s="19"/>
      <c r="W254" s="19"/>
      <c r="X254" s="19"/>
      <c r="Y254" s="19" t="s">
        <v>101</v>
      </c>
      <c r="Z254" s="19" t="s">
        <v>102</v>
      </c>
      <c r="AA254" s="19" t="s">
        <v>103</v>
      </c>
      <c r="AB254" s="19" t="s">
        <v>3678</v>
      </c>
      <c r="AC254" s="19" t="s">
        <v>3679</v>
      </c>
      <c r="AD254" s="19" t="s">
        <v>4315</v>
      </c>
      <c r="AE254" s="19" t="s">
        <v>4316</v>
      </c>
      <c r="AF254" s="19" t="s">
        <v>4317</v>
      </c>
      <c r="AG254" s="19" t="s">
        <v>3311</v>
      </c>
      <c r="AH254" s="19" t="s">
        <v>231</v>
      </c>
      <c r="AI254" s="19" t="s">
        <v>111</v>
      </c>
      <c r="AJ254" s="19" t="s">
        <v>4318</v>
      </c>
      <c r="AK254" s="19"/>
      <c r="AL254" s="19"/>
      <c r="AM254" s="19" t="s">
        <v>4319</v>
      </c>
      <c r="AN254" s="19" t="s">
        <v>4320</v>
      </c>
      <c r="AO254" s="19" t="s">
        <v>4321</v>
      </c>
      <c r="AP254" s="19" t="s">
        <v>4322</v>
      </c>
      <c r="AQ254" s="19" t="s">
        <v>117</v>
      </c>
      <c r="AR254" s="19" t="s">
        <v>4323</v>
      </c>
      <c r="AS254" s="19" t="s">
        <v>4324</v>
      </c>
      <c r="AT254" s="19" t="s">
        <v>4325</v>
      </c>
      <c r="AU254" s="19"/>
      <c r="AV254" s="19" t="s">
        <v>1225</v>
      </c>
      <c r="AW254" s="19" t="s">
        <v>1227</v>
      </c>
      <c r="AX254" s="19" t="s">
        <v>1226</v>
      </c>
      <c r="AY254" s="19" t="s">
        <v>4326</v>
      </c>
      <c r="AZ254" s="19" t="s">
        <v>4327</v>
      </c>
      <c r="BA254" s="20">
        <v>45967</v>
      </c>
      <c r="BB254" s="19" t="s">
        <v>479</v>
      </c>
      <c r="BC254" s="19" t="s">
        <v>4328</v>
      </c>
      <c r="BD254" s="19" t="s">
        <v>277</v>
      </c>
      <c r="BE254" s="19" t="s">
        <v>130</v>
      </c>
      <c r="BF254" s="19" t="s">
        <v>4329</v>
      </c>
      <c r="BG254" s="19" t="s">
        <v>4330</v>
      </c>
      <c r="BH254" s="19" t="s">
        <v>4331</v>
      </c>
      <c r="BI254" s="19" t="s">
        <v>4331</v>
      </c>
      <c r="BJ254" s="19" t="s">
        <v>2259</v>
      </c>
      <c r="BK254" s="19" t="s">
        <v>2444</v>
      </c>
      <c r="BL254" s="19" t="s">
        <v>2445</v>
      </c>
      <c r="BM254" s="19" t="s">
        <v>592</v>
      </c>
      <c r="BN254" s="21">
        <v>499.97500000000002</v>
      </c>
      <c r="BO254" s="21">
        <v>5069.7465000000002</v>
      </c>
      <c r="BQ254" s="2"/>
      <c r="BR254" s="2"/>
      <c r="BS254" s="2"/>
      <c r="BT254" s="2"/>
      <c r="BU254" s="22"/>
      <c r="BV254" s="2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</row>
    <row r="255" spans="1:95" x14ac:dyDescent="0.25">
      <c r="A255" s="18">
        <v>252</v>
      </c>
      <c r="B255" s="19" t="s">
        <v>4332</v>
      </c>
      <c r="C255" s="19" t="s">
        <v>4333</v>
      </c>
      <c r="D255" s="20">
        <v>46000</v>
      </c>
      <c r="E255" s="20">
        <v>30768</v>
      </c>
      <c r="F255" s="19" t="s">
        <v>4334</v>
      </c>
      <c r="G255" s="19" t="s">
        <v>139</v>
      </c>
      <c r="H255" s="19" t="s">
        <v>94</v>
      </c>
      <c r="I255" s="19"/>
      <c r="J255" s="19"/>
      <c r="K255" s="19"/>
      <c r="L255" s="19" t="s">
        <v>687</v>
      </c>
      <c r="M255" s="19" t="s">
        <v>688</v>
      </c>
      <c r="N255" s="19" t="s">
        <v>4335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 t="s">
        <v>101</v>
      </c>
      <c r="Z255" s="19" t="s">
        <v>102</v>
      </c>
      <c r="AA255" s="19" t="s">
        <v>103</v>
      </c>
      <c r="AB255" s="19" t="s">
        <v>4336</v>
      </c>
      <c r="AC255" s="19" t="s">
        <v>4337</v>
      </c>
      <c r="AD255" s="19" t="s">
        <v>4338</v>
      </c>
      <c r="AE255" s="19" t="s">
        <v>4339</v>
      </c>
      <c r="AF255" s="19"/>
      <c r="AG255" s="19" t="s">
        <v>4340</v>
      </c>
      <c r="AH255" s="19" t="s">
        <v>124</v>
      </c>
      <c r="AI255" s="19" t="s">
        <v>111</v>
      </c>
      <c r="AJ255" s="19" t="s">
        <v>4341</v>
      </c>
      <c r="AK255" s="19"/>
      <c r="AL255" s="19"/>
      <c r="AM255" s="19" t="s">
        <v>4342</v>
      </c>
      <c r="AN255" s="19" t="s">
        <v>4343</v>
      </c>
      <c r="AO255" s="19" t="s">
        <v>4344</v>
      </c>
      <c r="AP255" s="19" t="s">
        <v>4345</v>
      </c>
      <c r="AQ255" s="19" t="s">
        <v>117</v>
      </c>
      <c r="AR255" s="19" t="s">
        <v>4346</v>
      </c>
      <c r="AS255" s="19" t="s">
        <v>4347</v>
      </c>
      <c r="AT255" s="19" t="s">
        <v>4348</v>
      </c>
      <c r="AU255" s="19" t="s">
        <v>4349</v>
      </c>
      <c r="AV255" s="19" t="s">
        <v>122</v>
      </c>
      <c r="AW255" s="19" t="s">
        <v>2094</v>
      </c>
      <c r="AX255" s="19" t="s">
        <v>124</v>
      </c>
      <c r="AY255" s="19" t="s">
        <v>4350</v>
      </c>
      <c r="AZ255" s="19" t="s">
        <v>4351</v>
      </c>
      <c r="BA255" s="20">
        <v>43419</v>
      </c>
      <c r="BB255" s="19" t="s">
        <v>331</v>
      </c>
      <c r="BC255" s="19" t="s">
        <v>4352</v>
      </c>
      <c r="BD255" s="19" t="s">
        <v>4352</v>
      </c>
      <c r="BE255" s="19" t="s">
        <v>130</v>
      </c>
      <c r="BF255" s="19" t="s">
        <v>4353</v>
      </c>
      <c r="BG255" s="19"/>
      <c r="BH255" s="19" t="s">
        <v>4354</v>
      </c>
      <c r="BI255" s="19" t="s">
        <v>4354</v>
      </c>
      <c r="BJ255" s="19" t="s">
        <v>166</v>
      </c>
      <c r="BK255" s="19" t="s">
        <v>907</v>
      </c>
      <c r="BL255" s="19" t="s">
        <v>122</v>
      </c>
      <c r="BM255" s="19" t="s">
        <v>592</v>
      </c>
      <c r="BN255" s="21">
        <v>158.00399999999999</v>
      </c>
      <c r="BO255" s="21">
        <v>20453.728402799999</v>
      </c>
      <c r="BQ255" s="2"/>
      <c r="BR255" s="2"/>
      <c r="BS255" s="2"/>
      <c r="BT255" s="2"/>
      <c r="BU255" s="22"/>
      <c r="BV255" s="2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</row>
    <row r="256" spans="1:95" x14ac:dyDescent="0.25">
      <c r="A256" s="18">
        <v>253</v>
      </c>
      <c r="B256" s="19" t="s">
        <v>4355</v>
      </c>
      <c r="C256" s="19" t="s">
        <v>4356</v>
      </c>
      <c r="D256" s="20">
        <v>45995</v>
      </c>
      <c r="E256" s="20">
        <v>28245</v>
      </c>
      <c r="F256" s="19"/>
      <c r="G256" s="19"/>
      <c r="H256" s="19" t="s">
        <v>94</v>
      </c>
      <c r="I256" s="19"/>
      <c r="J256" s="19"/>
      <c r="K256" s="19"/>
      <c r="L256" s="19" t="s">
        <v>467</v>
      </c>
      <c r="M256" s="19" t="s">
        <v>468</v>
      </c>
      <c r="N256" s="19" t="s">
        <v>4357</v>
      </c>
      <c r="O256" s="19" t="s">
        <v>100</v>
      </c>
      <c r="P256" s="19"/>
      <c r="Q256" s="19"/>
      <c r="R256" s="19"/>
      <c r="S256" s="19"/>
      <c r="T256" s="19"/>
      <c r="U256" s="19"/>
      <c r="V256" s="19"/>
      <c r="W256" s="19"/>
      <c r="X256" s="19"/>
      <c r="Y256" s="19" t="s">
        <v>101</v>
      </c>
      <c r="Z256" s="19" t="s">
        <v>102</v>
      </c>
      <c r="AA256" s="19" t="s">
        <v>103</v>
      </c>
      <c r="AB256" s="19" t="s">
        <v>1496</v>
      </c>
      <c r="AC256" s="19" t="s">
        <v>1497</v>
      </c>
      <c r="AD256" s="19" t="s">
        <v>4358</v>
      </c>
      <c r="AE256" s="19" t="s">
        <v>4359</v>
      </c>
      <c r="AF256" s="19" t="s">
        <v>4360</v>
      </c>
      <c r="AG256" s="19" t="s">
        <v>1766</v>
      </c>
      <c r="AH256" s="19" t="s">
        <v>327</v>
      </c>
      <c r="AI256" s="19" t="s">
        <v>111</v>
      </c>
      <c r="AJ256" s="19" t="s">
        <v>4361</v>
      </c>
      <c r="AK256" s="19"/>
      <c r="AL256" s="19"/>
      <c r="AM256" s="19" t="s">
        <v>4362</v>
      </c>
      <c r="AN256" s="19" t="s">
        <v>4363</v>
      </c>
      <c r="AO256" s="19" t="s">
        <v>2797</v>
      </c>
      <c r="AP256" s="19" t="s">
        <v>1034</v>
      </c>
      <c r="AQ256" s="19" t="s">
        <v>94</v>
      </c>
      <c r="AR256" s="19" t="s">
        <v>1035</v>
      </c>
      <c r="AS256" s="19" t="s">
        <v>2798</v>
      </c>
      <c r="AT256" s="19" t="s">
        <v>2799</v>
      </c>
      <c r="AU256" s="19" t="s">
        <v>2800</v>
      </c>
      <c r="AV256" s="19" t="s">
        <v>2800</v>
      </c>
      <c r="AW256" s="19" t="s">
        <v>1755</v>
      </c>
      <c r="AX256" s="19" t="s">
        <v>188</v>
      </c>
      <c r="AY256" s="19" t="s">
        <v>2801</v>
      </c>
      <c r="AZ256" s="19" t="s">
        <v>2802</v>
      </c>
      <c r="BA256" s="20">
        <v>45467</v>
      </c>
      <c r="BB256" s="19" t="s">
        <v>331</v>
      </c>
      <c r="BC256" s="19" t="s">
        <v>4364</v>
      </c>
      <c r="BD256" s="19" t="s">
        <v>1766</v>
      </c>
      <c r="BE256" s="19" t="s">
        <v>130</v>
      </c>
      <c r="BF256" s="19" t="s">
        <v>4365</v>
      </c>
      <c r="BG256" s="19"/>
      <c r="BH256" s="19" t="s">
        <v>4366</v>
      </c>
      <c r="BI256" s="19" t="s">
        <v>4366</v>
      </c>
      <c r="BJ256" s="19" t="s">
        <v>194</v>
      </c>
      <c r="BK256" s="19" t="s">
        <v>1043</v>
      </c>
      <c r="BL256" s="19" t="s">
        <v>1044</v>
      </c>
      <c r="BM256" s="19" t="s">
        <v>1045</v>
      </c>
      <c r="BN256" s="21">
        <v>4.9249999999999998</v>
      </c>
      <c r="BO256" s="21">
        <v>983.27625</v>
      </c>
      <c r="BQ256" s="2"/>
      <c r="BR256" s="2"/>
      <c r="BS256" s="2"/>
      <c r="BT256" s="2"/>
      <c r="BU256" s="22"/>
      <c r="BV256" s="2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</row>
    <row r="257" spans="1:95" x14ac:dyDescent="0.25">
      <c r="A257" s="18">
        <v>254</v>
      </c>
      <c r="B257" s="19" t="s">
        <v>4367</v>
      </c>
      <c r="C257" s="19" t="s">
        <v>4368</v>
      </c>
      <c r="D257" s="20">
        <v>45995</v>
      </c>
      <c r="E257" s="20">
        <v>36665</v>
      </c>
      <c r="F257" s="19"/>
      <c r="G257" s="19"/>
      <c r="H257" s="19" t="s">
        <v>94</v>
      </c>
      <c r="I257" s="19"/>
      <c r="J257" s="19" t="s">
        <v>287</v>
      </c>
      <c r="K257" s="19" t="s">
        <v>288</v>
      </c>
      <c r="L257" s="19"/>
      <c r="M257" s="19"/>
      <c r="N257" s="19" t="s">
        <v>4369</v>
      </c>
      <c r="O257" s="19" t="s">
        <v>100</v>
      </c>
      <c r="P257" s="19"/>
      <c r="Q257" s="19"/>
      <c r="R257" s="19"/>
      <c r="S257" s="19"/>
      <c r="T257" s="19"/>
      <c r="U257" s="19"/>
      <c r="V257" s="19"/>
      <c r="W257" s="19"/>
      <c r="X257" s="19"/>
      <c r="Y257" s="19" t="s">
        <v>101</v>
      </c>
      <c r="Z257" s="19" t="s">
        <v>102</v>
      </c>
      <c r="AA257" s="19" t="s">
        <v>103</v>
      </c>
      <c r="AB257" s="19" t="s">
        <v>789</v>
      </c>
      <c r="AC257" s="19" t="s">
        <v>790</v>
      </c>
      <c r="AD257" s="19" t="s">
        <v>4370</v>
      </c>
      <c r="AE257" s="19" t="s">
        <v>4371</v>
      </c>
      <c r="AF257" s="19"/>
      <c r="AG257" s="19" t="s">
        <v>4372</v>
      </c>
      <c r="AH257" s="19" t="s">
        <v>262</v>
      </c>
      <c r="AI257" s="19" t="s">
        <v>111</v>
      </c>
      <c r="AJ257" s="19" t="s">
        <v>4373</v>
      </c>
      <c r="AK257" s="19" t="s">
        <v>4374</v>
      </c>
      <c r="AL257" s="19" t="s">
        <v>4374</v>
      </c>
      <c r="AM257" s="19" t="s">
        <v>4375</v>
      </c>
      <c r="AN257" s="19" t="s">
        <v>4376</v>
      </c>
      <c r="AO257" s="19" t="s">
        <v>4377</v>
      </c>
      <c r="AP257" s="19" t="s">
        <v>4378</v>
      </c>
      <c r="AQ257" s="19" t="s">
        <v>117</v>
      </c>
      <c r="AR257" s="19" t="s">
        <v>4379</v>
      </c>
      <c r="AS257" s="19" t="s">
        <v>4380</v>
      </c>
      <c r="AT257" s="19" t="s">
        <v>4381</v>
      </c>
      <c r="AU257" s="19" t="s">
        <v>4382</v>
      </c>
      <c r="AV257" s="19" t="s">
        <v>4382</v>
      </c>
      <c r="AW257" s="19" t="s">
        <v>4383</v>
      </c>
      <c r="AX257" s="19" t="s">
        <v>4384</v>
      </c>
      <c r="AY257" s="19" t="s">
        <v>4385</v>
      </c>
      <c r="AZ257" s="19" t="s">
        <v>4386</v>
      </c>
      <c r="BA257" s="20">
        <v>44753</v>
      </c>
      <c r="BB257" s="19" t="s">
        <v>1002</v>
      </c>
      <c r="BC257" s="19" t="s">
        <v>4387</v>
      </c>
      <c r="BD257" s="19" t="s">
        <v>4372</v>
      </c>
      <c r="BE257" s="19" t="s">
        <v>130</v>
      </c>
      <c r="BF257" s="19" t="s">
        <v>4388</v>
      </c>
      <c r="BG257" s="19" t="s">
        <v>4389</v>
      </c>
      <c r="BH257" s="19" t="s">
        <v>4390</v>
      </c>
      <c r="BI257" s="19" t="s">
        <v>4390</v>
      </c>
      <c r="BJ257" s="19" t="s">
        <v>931</v>
      </c>
      <c r="BK257" s="19" t="s">
        <v>4391</v>
      </c>
      <c r="BL257" s="19" t="s">
        <v>4392</v>
      </c>
      <c r="BM257" s="19" t="s">
        <v>169</v>
      </c>
      <c r="BN257" s="21">
        <v>50.298999999999999</v>
      </c>
      <c r="BO257" s="21">
        <v>998.93813999999998</v>
      </c>
      <c r="BQ257" s="2"/>
      <c r="BR257" s="2"/>
      <c r="BS257" s="2"/>
      <c r="BT257" s="2"/>
      <c r="BU257" s="22"/>
      <c r="BV257" s="2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</row>
    <row r="258" spans="1:95" x14ac:dyDescent="0.25">
      <c r="A258" s="18">
        <v>255</v>
      </c>
      <c r="B258" s="19" t="s">
        <v>4393</v>
      </c>
      <c r="C258" s="19" t="s">
        <v>4394</v>
      </c>
      <c r="D258" s="20">
        <v>45996</v>
      </c>
      <c r="E258" s="20">
        <v>34669</v>
      </c>
      <c r="F258" s="19"/>
      <c r="G258" s="19"/>
      <c r="H258" s="19" t="s">
        <v>94</v>
      </c>
      <c r="I258" s="19"/>
      <c r="J258" s="19"/>
      <c r="K258" s="19"/>
      <c r="L258" s="19" t="s">
        <v>1368</v>
      </c>
      <c r="M258" s="19" t="s">
        <v>468</v>
      </c>
      <c r="N258" s="19" t="s">
        <v>4395</v>
      </c>
      <c r="O258" s="19" t="s">
        <v>100</v>
      </c>
      <c r="P258" s="19"/>
      <c r="Q258" s="19"/>
      <c r="R258" s="19"/>
      <c r="S258" s="19"/>
      <c r="T258" s="19"/>
      <c r="U258" s="19"/>
      <c r="V258" s="19"/>
      <c r="W258" s="19"/>
      <c r="X258" s="19"/>
      <c r="Y258" s="19" t="s">
        <v>101</v>
      </c>
      <c r="Z258" s="19" t="s">
        <v>102</v>
      </c>
      <c r="AA258" s="19" t="s">
        <v>103</v>
      </c>
      <c r="AB258" s="19" t="s">
        <v>4396</v>
      </c>
      <c r="AC258" s="19" t="s">
        <v>4397</v>
      </c>
      <c r="AD258" s="19" t="s">
        <v>4398</v>
      </c>
      <c r="AE258" s="19" t="s">
        <v>4399</v>
      </c>
      <c r="AF258" s="19"/>
      <c r="AG258" s="19" t="s">
        <v>4400</v>
      </c>
      <c r="AH258" s="19" t="s">
        <v>262</v>
      </c>
      <c r="AI258" s="19" t="s">
        <v>111</v>
      </c>
      <c r="AJ258" s="19" t="s">
        <v>4401</v>
      </c>
      <c r="AK258" s="19"/>
      <c r="AL258" s="19"/>
      <c r="AM258" s="19" t="s">
        <v>4402</v>
      </c>
      <c r="AN258" s="19" t="s">
        <v>4403</v>
      </c>
      <c r="AO258" s="19" t="s">
        <v>4404</v>
      </c>
      <c r="AP258" s="19" t="s">
        <v>4405</v>
      </c>
      <c r="AQ258" s="19" t="s">
        <v>94</v>
      </c>
      <c r="AR258" s="19" t="s">
        <v>4406</v>
      </c>
      <c r="AS258" s="19" t="s">
        <v>4407</v>
      </c>
      <c r="AT258" s="19" t="s">
        <v>4408</v>
      </c>
      <c r="AU258" s="19"/>
      <c r="AV258" s="19" t="s">
        <v>260</v>
      </c>
      <c r="AW258" s="19" t="s">
        <v>4409</v>
      </c>
      <c r="AX258" s="19" t="s">
        <v>262</v>
      </c>
      <c r="AY258" s="19" t="s">
        <v>4410</v>
      </c>
      <c r="AZ258" s="19" t="s">
        <v>4411</v>
      </c>
      <c r="BA258" s="20">
        <v>45475</v>
      </c>
      <c r="BB258" s="19" t="s">
        <v>2575</v>
      </c>
      <c r="BC258" s="19" t="s">
        <v>4412</v>
      </c>
      <c r="BD258" s="19" t="s">
        <v>4412</v>
      </c>
      <c r="BE258" s="19" t="s">
        <v>130</v>
      </c>
      <c r="BF258" s="19" t="s">
        <v>4413</v>
      </c>
      <c r="BG258" s="19"/>
      <c r="BH258" s="19" t="s">
        <v>4414</v>
      </c>
      <c r="BI258" s="19" t="s">
        <v>4414</v>
      </c>
      <c r="BJ258" s="19" t="s">
        <v>194</v>
      </c>
      <c r="BK258" s="19" t="s">
        <v>167</v>
      </c>
      <c r="BL258" s="19" t="s">
        <v>168</v>
      </c>
      <c r="BM258" s="19" t="s">
        <v>169</v>
      </c>
      <c r="BN258" s="21">
        <v>58.771000000000001</v>
      </c>
      <c r="BO258" s="21">
        <v>1009.1979807</v>
      </c>
      <c r="BQ258" s="2"/>
      <c r="BR258" s="2"/>
      <c r="BS258" s="2"/>
      <c r="BT258" s="2"/>
      <c r="BU258" s="22"/>
      <c r="BV258" s="2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</row>
    <row r="259" spans="1:95" x14ac:dyDescent="0.25">
      <c r="A259" s="18">
        <v>256</v>
      </c>
      <c r="B259" s="19" t="s">
        <v>4415</v>
      </c>
      <c r="C259" s="19" t="s">
        <v>4416</v>
      </c>
      <c r="D259" s="20">
        <v>46001</v>
      </c>
      <c r="E259" s="20">
        <v>31932</v>
      </c>
      <c r="F259" s="19"/>
      <c r="G259" s="19"/>
      <c r="H259" s="19" t="s">
        <v>94</v>
      </c>
      <c r="I259" s="19"/>
      <c r="J259" s="19"/>
      <c r="K259" s="19"/>
      <c r="L259" s="19" t="s">
        <v>467</v>
      </c>
      <c r="M259" s="19" t="s">
        <v>468</v>
      </c>
      <c r="N259" s="19" t="s">
        <v>4417</v>
      </c>
      <c r="O259" s="19" t="s">
        <v>100</v>
      </c>
      <c r="P259" s="19"/>
      <c r="Q259" s="19"/>
      <c r="R259" s="19"/>
      <c r="S259" s="19"/>
      <c r="T259" s="19"/>
      <c r="U259" s="19"/>
      <c r="V259" s="19"/>
      <c r="W259" s="19"/>
      <c r="X259" s="19"/>
      <c r="Y259" s="19" t="s">
        <v>101</v>
      </c>
      <c r="Z259" s="19" t="s">
        <v>102</v>
      </c>
      <c r="AA259" s="19" t="s">
        <v>103</v>
      </c>
      <c r="AB259" s="19" t="s">
        <v>3307</v>
      </c>
      <c r="AC259" s="19" t="s">
        <v>3308</v>
      </c>
      <c r="AD259" s="19" t="s">
        <v>4418</v>
      </c>
      <c r="AE259" s="19" t="s">
        <v>4419</v>
      </c>
      <c r="AF259" s="19" t="s">
        <v>4420</v>
      </c>
      <c r="AG259" s="19" t="s">
        <v>514</v>
      </c>
      <c r="AH259" s="19" t="s">
        <v>515</v>
      </c>
      <c r="AI259" s="19" t="s">
        <v>111</v>
      </c>
      <c r="AJ259" s="19" t="s">
        <v>4420</v>
      </c>
      <c r="AK259" s="19"/>
      <c r="AL259" s="19"/>
      <c r="AM259" s="19" t="s">
        <v>4421</v>
      </c>
      <c r="AN259" s="19" t="s">
        <v>4422</v>
      </c>
      <c r="AO259" s="19" t="s">
        <v>835</v>
      </c>
      <c r="AP259" s="19" t="s">
        <v>836</v>
      </c>
      <c r="AQ259" s="19" t="s">
        <v>117</v>
      </c>
      <c r="AR259" s="19" t="s">
        <v>837</v>
      </c>
      <c r="AS259" s="19" t="s">
        <v>838</v>
      </c>
      <c r="AT259" s="19" t="s">
        <v>839</v>
      </c>
      <c r="AU259" s="19" t="s">
        <v>840</v>
      </c>
      <c r="AV259" s="19" t="s">
        <v>841</v>
      </c>
      <c r="AW259" s="19"/>
      <c r="AX259" s="19" t="s">
        <v>707</v>
      </c>
      <c r="AY259" s="19" t="s">
        <v>842</v>
      </c>
      <c r="AZ259" s="19" t="s">
        <v>843</v>
      </c>
      <c r="BA259" s="20">
        <v>45453</v>
      </c>
      <c r="BB259" s="19" t="s">
        <v>1487</v>
      </c>
      <c r="BC259" s="19" t="s">
        <v>4423</v>
      </c>
      <c r="BD259" s="19" t="s">
        <v>514</v>
      </c>
      <c r="BE259" s="19" t="s">
        <v>130</v>
      </c>
      <c r="BF259" s="19" t="s">
        <v>4424</v>
      </c>
      <c r="BG259" s="19"/>
      <c r="BH259" s="19" t="s">
        <v>4425</v>
      </c>
      <c r="BI259" s="19" t="s">
        <v>4425</v>
      </c>
      <c r="BJ259" s="19" t="s">
        <v>194</v>
      </c>
      <c r="BK259" s="19" t="s">
        <v>195</v>
      </c>
      <c r="BL259" s="19" t="s">
        <v>122</v>
      </c>
      <c r="BM259" s="19" t="s">
        <v>196</v>
      </c>
      <c r="BN259" s="21">
        <v>110.04300000000001</v>
      </c>
      <c r="BO259" s="21">
        <v>10635.336825300001</v>
      </c>
      <c r="BQ259" s="2"/>
      <c r="BR259" s="2"/>
      <c r="BS259" s="2"/>
      <c r="BT259" s="2"/>
      <c r="BU259" s="22"/>
      <c r="BV259" s="2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</row>
    <row r="260" spans="1:95" x14ac:dyDescent="0.25">
      <c r="A260" s="18">
        <v>257</v>
      </c>
      <c r="B260" s="19" t="s">
        <v>4426</v>
      </c>
      <c r="C260" s="19" t="s">
        <v>4427</v>
      </c>
      <c r="D260" s="20">
        <v>46006</v>
      </c>
      <c r="E260" s="20">
        <v>26828</v>
      </c>
      <c r="F260" s="19" t="s">
        <v>4428</v>
      </c>
      <c r="G260" s="19" t="s">
        <v>139</v>
      </c>
      <c r="H260" s="19" t="s">
        <v>94</v>
      </c>
      <c r="I260" s="19"/>
      <c r="J260" s="19"/>
      <c r="K260" s="19"/>
      <c r="L260" s="19" t="s">
        <v>140</v>
      </c>
      <c r="M260" s="19" t="s">
        <v>141</v>
      </c>
      <c r="N260" s="19" t="s">
        <v>4429</v>
      </c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 t="s">
        <v>101</v>
      </c>
      <c r="Z260" s="19" t="s">
        <v>102</v>
      </c>
      <c r="AA260" s="19" t="s">
        <v>103</v>
      </c>
      <c r="AB260" s="19" t="s">
        <v>173</v>
      </c>
      <c r="AC260" s="19" t="s">
        <v>174</v>
      </c>
      <c r="AD260" s="19" t="s">
        <v>4430</v>
      </c>
      <c r="AE260" s="19" t="s">
        <v>4431</v>
      </c>
      <c r="AF260" s="19"/>
      <c r="AG260" s="19" t="s">
        <v>4432</v>
      </c>
      <c r="AH260" s="19" t="s">
        <v>942</v>
      </c>
      <c r="AI260" s="19"/>
      <c r="AJ260" s="19" t="s">
        <v>4433</v>
      </c>
      <c r="AK260" s="19"/>
      <c r="AL260" s="19" t="s">
        <v>4434</v>
      </c>
      <c r="AM260" s="19" t="s">
        <v>4435</v>
      </c>
      <c r="AN260" s="19" t="s">
        <v>4436</v>
      </c>
      <c r="AO260" s="19" t="s">
        <v>154</v>
      </c>
      <c r="AP260" s="19" t="s">
        <v>155</v>
      </c>
      <c r="AQ260" s="19" t="s">
        <v>117</v>
      </c>
      <c r="AR260" s="19" t="s">
        <v>156</v>
      </c>
      <c r="AS260" s="19" t="s">
        <v>157</v>
      </c>
      <c r="AT260" s="19" t="s">
        <v>158</v>
      </c>
      <c r="AU260" s="19"/>
      <c r="AV260" s="19" t="s">
        <v>122</v>
      </c>
      <c r="AW260" s="19"/>
      <c r="AX260" s="19" t="s">
        <v>124</v>
      </c>
      <c r="AY260" s="19" t="s">
        <v>159</v>
      </c>
      <c r="AZ260" s="19" t="s">
        <v>160</v>
      </c>
      <c r="BA260" s="20">
        <v>44676</v>
      </c>
      <c r="BB260" s="19" t="s">
        <v>349</v>
      </c>
      <c r="BC260" s="19" t="s">
        <v>4437</v>
      </c>
      <c r="BD260" s="19" t="s">
        <v>4438</v>
      </c>
      <c r="BE260" s="19" t="s">
        <v>130</v>
      </c>
      <c r="BF260" s="19" t="s">
        <v>4439</v>
      </c>
      <c r="BG260" s="19"/>
      <c r="BH260" s="19" t="s">
        <v>4440</v>
      </c>
      <c r="BI260" s="19" t="s">
        <v>4440</v>
      </c>
      <c r="BJ260" s="19" t="s">
        <v>166</v>
      </c>
      <c r="BK260" s="19" t="s">
        <v>167</v>
      </c>
      <c r="BL260" s="19" t="s">
        <v>168</v>
      </c>
      <c r="BM260" s="19" t="s">
        <v>169</v>
      </c>
      <c r="BN260" s="21">
        <v>3308.6060000000002</v>
      </c>
      <c r="BO260" s="21">
        <v>117204.7206652</v>
      </c>
      <c r="BQ260" s="2"/>
      <c r="BR260" s="2"/>
      <c r="BS260" s="2"/>
      <c r="BT260" s="2"/>
      <c r="BU260" s="22"/>
      <c r="BV260" s="2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</row>
    <row r="261" spans="1:95" x14ac:dyDescent="0.25">
      <c r="A261" s="18">
        <v>258</v>
      </c>
      <c r="B261" s="19" t="s">
        <v>4441</v>
      </c>
      <c r="C261" s="19" t="s">
        <v>4442</v>
      </c>
      <c r="D261" s="20">
        <v>46006</v>
      </c>
      <c r="E261" s="20">
        <v>34680</v>
      </c>
      <c r="F261" s="19"/>
      <c r="G261" s="19"/>
      <c r="H261" s="19" t="s">
        <v>94</v>
      </c>
      <c r="I261" s="19"/>
      <c r="J261" s="19"/>
      <c r="K261" s="19"/>
      <c r="L261" s="19" t="s">
        <v>140</v>
      </c>
      <c r="M261" s="19" t="s">
        <v>141</v>
      </c>
      <c r="N261" s="19" t="s">
        <v>4443</v>
      </c>
      <c r="O261" s="19" t="s">
        <v>100</v>
      </c>
      <c r="P261" s="19"/>
      <c r="Q261" s="19"/>
      <c r="R261" s="19"/>
      <c r="S261" s="19"/>
      <c r="T261" s="19"/>
      <c r="U261" s="19"/>
      <c r="V261" s="19"/>
      <c r="W261" s="19"/>
      <c r="X261" s="19"/>
      <c r="Y261" s="19" t="s">
        <v>101</v>
      </c>
      <c r="Z261" s="19" t="s">
        <v>102</v>
      </c>
      <c r="AA261" s="19" t="s">
        <v>103</v>
      </c>
      <c r="AB261" s="19" t="s">
        <v>292</v>
      </c>
      <c r="AC261" s="19" t="s">
        <v>293</v>
      </c>
      <c r="AD261" s="19" t="s">
        <v>4444</v>
      </c>
      <c r="AE261" s="19" t="s">
        <v>4445</v>
      </c>
      <c r="AF261" s="19"/>
      <c r="AG261" s="19" t="s">
        <v>4446</v>
      </c>
      <c r="AH261" s="19" t="s">
        <v>124</v>
      </c>
      <c r="AI261" s="19" t="s">
        <v>111</v>
      </c>
      <c r="AJ261" s="19" t="s">
        <v>1839</v>
      </c>
      <c r="AK261" s="19"/>
      <c r="AL261" s="19"/>
      <c r="AM261" s="19" t="s">
        <v>4447</v>
      </c>
      <c r="AN261" s="19" t="s">
        <v>4448</v>
      </c>
      <c r="AO261" s="19" t="s">
        <v>208</v>
      </c>
      <c r="AP261" s="19" t="s">
        <v>209</v>
      </c>
      <c r="AQ261" s="19" t="s">
        <v>117</v>
      </c>
      <c r="AR261" s="19" t="s">
        <v>210</v>
      </c>
      <c r="AS261" s="19" t="s">
        <v>211</v>
      </c>
      <c r="AT261" s="19" t="s">
        <v>212</v>
      </c>
      <c r="AU261" s="19" t="s">
        <v>213</v>
      </c>
      <c r="AV261" s="19" t="s">
        <v>214</v>
      </c>
      <c r="AW261" s="19" t="s">
        <v>215</v>
      </c>
      <c r="AX261" s="19" t="s">
        <v>149</v>
      </c>
      <c r="AY261" s="19" t="s">
        <v>216</v>
      </c>
      <c r="AZ261" s="19" t="s">
        <v>217</v>
      </c>
      <c r="BA261" s="20">
        <v>35521</v>
      </c>
      <c r="BB261" s="19" t="s">
        <v>312</v>
      </c>
      <c r="BC261" s="19" t="s">
        <v>4449</v>
      </c>
      <c r="BD261" s="19" t="s">
        <v>4450</v>
      </c>
      <c r="BE261" s="19" t="s">
        <v>130</v>
      </c>
      <c r="BF261" s="19" t="s">
        <v>4451</v>
      </c>
      <c r="BG261" s="19"/>
      <c r="BH261" s="19" t="s">
        <v>4452</v>
      </c>
      <c r="BI261" s="19" t="s">
        <v>4452</v>
      </c>
      <c r="BJ261" s="19" t="s">
        <v>194</v>
      </c>
      <c r="BK261" s="19" t="s">
        <v>3715</v>
      </c>
      <c r="BL261" s="19" t="s">
        <v>122</v>
      </c>
      <c r="BM261" s="19" t="s">
        <v>196</v>
      </c>
      <c r="BN261" s="21">
        <v>61.61</v>
      </c>
      <c r="BO261" s="21">
        <v>1014.316235</v>
      </c>
      <c r="BQ261" s="2"/>
      <c r="BR261" s="2"/>
      <c r="BS261" s="2"/>
      <c r="BT261" s="2"/>
      <c r="BU261" s="22"/>
      <c r="BV261" s="2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</row>
    <row r="262" spans="1:95" x14ac:dyDescent="0.25">
      <c r="A262" s="18">
        <v>259</v>
      </c>
      <c r="B262" s="19" t="s">
        <v>4453</v>
      </c>
      <c r="C262" s="19" t="s">
        <v>4454</v>
      </c>
      <c r="D262" s="20">
        <v>46007</v>
      </c>
      <c r="E262" s="20">
        <v>26865</v>
      </c>
      <c r="F262" s="19" t="s">
        <v>4455</v>
      </c>
      <c r="G262" s="19" t="s">
        <v>139</v>
      </c>
      <c r="H262" s="19" t="s">
        <v>94</v>
      </c>
      <c r="I262" s="19"/>
      <c r="J262" s="19"/>
      <c r="K262" s="19"/>
      <c r="L262" s="19" t="s">
        <v>244</v>
      </c>
      <c r="M262" s="19" t="s">
        <v>245</v>
      </c>
      <c r="N262" s="19" t="s">
        <v>4456</v>
      </c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 t="s">
        <v>101</v>
      </c>
      <c r="Z262" s="19" t="s">
        <v>102</v>
      </c>
      <c r="AA262" s="19" t="s">
        <v>103</v>
      </c>
      <c r="AB262" s="19" t="s">
        <v>173</v>
      </c>
      <c r="AC262" s="19" t="s">
        <v>174</v>
      </c>
      <c r="AD262" s="19" t="s">
        <v>4457</v>
      </c>
      <c r="AE262" s="19" t="s">
        <v>4458</v>
      </c>
      <c r="AF262" s="19" t="s">
        <v>4459</v>
      </c>
      <c r="AG262" s="19" t="s">
        <v>1585</v>
      </c>
      <c r="AH262" s="19" t="s">
        <v>262</v>
      </c>
      <c r="AI262" s="19" t="s">
        <v>111</v>
      </c>
      <c r="AJ262" s="19" t="s">
        <v>4460</v>
      </c>
      <c r="AK262" s="19"/>
      <c r="AL262" s="19"/>
      <c r="AM262" s="19" t="s">
        <v>4461</v>
      </c>
      <c r="AN262" s="19" t="s">
        <v>4462</v>
      </c>
      <c r="AO262" s="19" t="s">
        <v>255</v>
      </c>
      <c r="AP262" s="19" t="s">
        <v>256</v>
      </c>
      <c r="AQ262" s="19" t="s">
        <v>117</v>
      </c>
      <c r="AR262" s="19" t="s">
        <v>257</v>
      </c>
      <c r="AS262" s="19" t="s">
        <v>258</v>
      </c>
      <c r="AT262" s="19" t="s">
        <v>259</v>
      </c>
      <c r="AU262" s="19" t="s">
        <v>260</v>
      </c>
      <c r="AV262" s="19" t="s">
        <v>260</v>
      </c>
      <c r="AW262" s="19" t="s">
        <v>261</v>
      </c>
      <c r="AX262" s="19" t="s">
        <v>262</v>
      </c>
      <c r="AY262" s="19" t="s">
        <v>263</v>
      </c>
      <c r="AZ262" s="19" t="s">
        <v>264</v>
      </c>
      <c r="BA262" s="20">
        <v>43627</v>
      </c>
      <c r="BB262" s="19" t="s">
        <v>331</v>
      </c>
      <c r="BC262" s="19" t="s">
        <v>4463</v>
      </c>
      <c r="BD262" s="19" t="s">
        <v>1585</v>
      </c>
      <c r="BE262" s="19" t="s">
        <v>130</v>
      </c>
      <c r="BF262" s="19" t="s">
        <v>4464</v>
      </c>
      <c r="BG262" s="19"/>
      <c r="BH262" s="19" t="s">
        <v>4465</v>
      </c>
      <c r="BI262" s="19" t="s">
        <v>4465</v>
      </c>
      <c r="BJ262" s="19" t="s">
        <v>166</v>
      </c>
      <c r="BK262" s="19" t="s">
        <v>167</v>
      </c>
      <c r="BL262" s="19" t="s">
        <v>168</v>
      </c>
      <c r="BM262" s="19" t="s">
        <v>169</v>
      </c>
      <c r="BN262" s="21">
        <v>331.06700000000001</v>
      </c>
      <c r="BO262" s="21">
        <v>11727.7836214</v>
      </c>
      <c r="BQ262" s="2"/>
      <c r="BR262" s="2"/>
      <c r="BS262" s="2"/>
      <c r="BT262" s="2"/>
      <c r="BU262" s="22"/>
      <c r="BV262" s="2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</row>
    <row r="263" spans="1:95" x14ac:dyDescent="0.25">
      <c r="A263" s="18">
        <v>260</v>
      </c>
      <c r="B263" s="19" t="s">
        <v>4466</v>
      </c>
      <c r="C263" s="19" t="s">
        <v>4467</v>
      </c>
      <c r="D263" s="20">
        <v>46007</v>
      </c>
      <c r="E263" s="20">
        <v>38749</v>
      </c>
      <c r="F263" s="19" t="s">
        <v>4468</v>
      </c>
      <c r="G263" s="19" t="s">
        <v>139</v>
      </c>
      <c r="H263" s="19" t="s">
        <v>94</v>
      </c>
      <c r="I263" s="19"/>
      <c r="J263" s="19"/>
      <c r="K263" s="19"/>
      <c r="L263" s="19" t="s">
        <v>244</v>
      </c>
      <c r="M263" s="19" t="s">
        <v>245</v>
      </c>
      <c r="N263" s="19" t="s">
        <v>4469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 t="s">
        <v>101</v>
      </c>
      <c r="Z263" s="19" t="s">
        <v>102</v>
      </c>
      <c r="AA263" s="19" t="s">
        <v>103</v>
      </c>
      <c r="AB263" s="19" t="s">
        <v>173</v>
      </c>
      <c r="AC263" s="19" t="s">
        <v>174</v>
      </c>
      <c r="AD263" s="19" t="s">
        <v>4470</v>
      </c>
      <c r="AE263" s="19" t="s">
        <v>4471</v>
      </c>
      <c r="AF263" s="19" t="s">
        <v>4472</v>
      </c>
      <c r="AG263" s="19" t="s">
        <v>4473</v>
      </c>
      <c r="AH263" s="19" t="s">
        <v>262</v>
      </c>
      <c r="AI263" s="19"/>
      <c r="AJ263" s="19" t="s">
        <v>4474</v>
      </c>
      <c r="AK263" s="19"/>
      <c r="AL263" s="19"/>
      <c r="AM263" s="19" t="s">
        <v>4475</v>
      </c>
      <c r="AN263" s="19" t="s">
        <v>4476</v>
      </c>
      <c r="AO263" s="19" t="s">
        <v>255</v>
      </c>
      <c r="AP263" s="19" t="s">
        <v>256</v>
      </c>
      <c r="AQ263" s="19" t="s">
        <v>117</v>
      </c>
      <c r="AR263" s="19" t="s">
        <v>257</v>
      </c>
      <c r="AS263" s="19" t="s">
        <v>258</v>
      </c>
      <c r="AT263" s="19" t="s">
        <v>259</v>
      </c>
      <c r="AU263" s="19" t="s">
        <v>260</v>
      </c>
      <c r="AV263" s="19" t="s">
        <v>260</v>
      </c>
      <c r="AW263" s="19" t="s">
        <v>261</v>
      </c>
      <c r="AX263" s="19" t="s">
        <v>262</v>
      </c>
      <c r="AY263" s="19" t="s">
        <v>263</v>
      </c>
      <c r="AZ263" s="19" t="s">
        <v>264</v>
      </c>
      <c r="BA263" s="20">
        <v>43627</v>
      </c>
      <c r="BB263" s="19" t="s">
        <v>331</v>
      </c>
      <c r="BC263" s="19" t="s">
        <v>4477</v>
      </c>
      <c r="BD263" s="19" t="s">
        <v>4478</v>
      </c>
      <c r="BE263" s="19" t="s">
        <v>130</v>
      </c>
      <c r="BF263" s="19" t="s">
        <v>4479</v>
      </c>
      <c r="BG263" s="19"/>
      <c r="BH263" s="19" t="s">
        <v>4480</v>
      </c>
      <c r="BI263" s="19" t="s">
        <v>4480</v>
      </c>
      <c r="BJ263" s="19" t="s">
        <v>166</v>
      </c>
      <c r="BK263" s="19" t="s">
        <v>167</v>
      </c>
      <c r="BL263" s="19" t="s">
        <v>168</v>
      </c>
      <c r="BM263" s="19" t="s">
        <v>169</v>
      </c>
      <c r="BN263" s="21">
        <v>827.66600000000005</v>
      </c>
      <c r="BO263" s="21">
        <v>29319.405917200002</v>
      </c>
      <c r="BQ263" s="2"/>
      <c r="BR263" s="2"/>
      <c r="BS263" s="2"/>
      <c r="BT263" s="2"/>
      <c r="BU263" s="22"/>
      <c r="BV263" s="2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</row>
    <row r="264" spans="1:95" x14ac:dyDescent="0.25">
      <c r="A264" s="18">
        <v>261</v>
      </c>
      <c r="B264" s="19" t="s">
        <v>4481</v>
      </c>
      <c r="C264" s="19" t="s">
        <v>4482</v>
      </c>
      <c r="D264" s="20">
        <v>46008</v>
      </c>
      <c r="E264" s="20">
        <v>30137</v>
      </c>
      <c r="F264" s="19" t="s">
        <v>4483</v>
      </c>
      <c r="G264" s="19" t="s">
        <v>139</v>
      </c>
      <c r="H264" s="19" t="s">
        <v>94</v>
      </c>
      <c r="I264" s="19"/>
      <c r="J264" s="19"/>
      <c r="K264" s="19"/>
      <c r="L264" s="19" t="s">
        <v>244</v>
      </c>
      <c r="M264" s="19" t="s">
        <v>245</v>
      </c>
      <c r="N264" s="19" t="s">
        <v>4484</v>
      </c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 t="s">
        <v>101</v>
      </c>
      <c r="Z264" s="19" t="s">
        <v>102</v>
      </c>
      <c r="AA264" s="19" t="s">
        <v>103</v>
      </c>
      <c r="AB264" s="19" t="s">
        <v>4485</v>
      </c>
      <c r="AC264" s="19" t="s">
        <v>4486</v>
      </c>
      <c r="AD264" s="19" t="s">
        <v>4487</v>
      </c>
      <c r="AE264" s="19"/>
      <c r="AF264" s="19"/>
      <c r="AG264" s="19" t="s">
        <v>3020</v>
      </c>
      <c r="AH264" s="19" t="s">
        <v>110</v>
      </c>
      <c r="AI264" s="19" t="s">
        <v>111</v>
      </c>
      <c r="AJ264" s="19" t="s">
        <v>4488</v>
      </c>
      <c r="AK264" s="19"/>
      <c r="AL264" s="19"/>
      <c r="AM264" s="19" t="s">
        <v>4489</v>
      </c>
      <c r="AN264" s="19" t="s">
        <v>4490</v>
      </c>
      <c r="AO264" s="19" t="s">
        <v>255</v>
      </c>
      <c r="AP264" s="19" t="s">
        <v>256</v>
      </c>
      <c r="AQ264" s="19" t="s">
        <v>117</v>
      </c>
      <c r="AR264" s="19" t="s">
        <v>257</v>
      </c>
      <c r="AS264" s="19" t="s">
        <v>258</v>
      </c>
      <c r="AT264" s="19" t="s">
        <v>259</v>
      </c>
      <c r="AU264" s="19" t="s">
        <v>260</v>
      </c>
      <c r="AV264" s="19" t="s">
        <v>260</v>
      </c>
      <c r="AW264" s="19" t="s">
        <v>261</v>
      </c>
      <c r="AX264" s="19" t="s">
        <v>262</v>
      </c>
      <c r="AY264" s="19" t="s">
        <v>263</v>
      </c>
      <c r="AZ264" s="19" t="s">
        <v>264</v>
      </c>
      <c r="BA264" s="20">
        <v>43627</v>
      </c>
      <c r="BB264" s="19" t="s">
        <v>363</v>
      </c>
      <c r="BC264" s="19" t="s">
        <v>4491</v>
      </c>
      <c r="BD264" s="19" t="s">
        <v>4491</v>
      </c>
      <c r="BE264" s="19" t="s">
        <v>130</v>
      </c>
      <c r="BF264" s="19" t="s">
        <v>4492</v>
      </c>
      <c r="BG264" s="19"/>
      <c r="BH264" s="19" t="s">
        <v>4493</v>
      </c>
      <c r="BI264" s="19" t="s">
        <v>4493</v>
      </c>
      <c r="BJ264" s="19" t="s">
        <v>166</v>
      </c>
      <c r="BK264" s="19" t="s">
        <v>167</v>
      </c>
      <c r="BL264" s="19" t="s">
        <v>168</v>
      </c>
      <c r="BM264" s="19" t="s">
        <v>169</v>
      </c>
      <c r="BN264" s="21">
        <v>8.4979999999999993</v>
      </c>
      <c r="BO264" s="21">
        <v>1003.4548874</v>
      </c>
      <c r="BQ264" s="2"/>
      <c r="BR264" s="2"/>
      <c r="BS264" s="2"/>
      <c r="BT264" s="2"/>
      <c r="BU264" s="22"/>
      <c r="BV264" s="2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</row>
    <row r="265" spans="1:95" x14ac:dyDescent="0.25">
      <c r="A265" s="18">
        <v>262</v>
      </c>
      <c r="B265" s="19" t="s">
        <v>4494</v>
      </c>
      <c r="C265" s="19" t="s">
        <v>4495</v>
      </c>
      <c r="D265" s="20">
        <v>46008</v>
      </c>
      <c r="E265" s="20">
        <v>35740</v>
      </c>
      <c r="F265" s="19" t="s">
        <v>4496</v>
      </c>
      <c r="G265" s="19" t="s">
        <v>139</v>
      </c>
      <c r="H265" s="19" t="s">
        <v>94</v>
      </c>
      <c r="I265" s="19"/>
      <c r="J265" s="19"/>
      <c r="K265" s="19"/>
      <c r="L265" s="19" t="s">
        <v>244</v>
      </c>
      <c r="M265" s="19" t="s">
        <v>245</v>
      </c>
      <c r="N265" s="19" t="s">
        <v>4497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 t="s">
        <v>101</v>
      </c>
      <c r="Z265" s="19" t="s">
        <v>102</v>
      </c>
      <c r="AA265" s="19" t="s">
        <v>103</v>
      </c>
      <c r="AB265" s="19" t="s">
        <v>671</v>
      </c>
      <c r="AC265" s="19" t="s">
        <v>672</v>
      </c>
      <c r="AD265" s="19" t="s">
        <v>4498</v>
      </c>
      <c r="AE265" s="19" t="s">
        <v>4499</v>
      </c>
      <c r="AF265" s="19"/>
      <c r="AG265" s="19" t="s">
        <v>4500</v>
      </c>
      <c r="AH265" s="19" t="s">
        <v>707</v>
      </c>
      <c r="AI265" s="19"/>
      <c r="AJ265" s="19" t="s">
        <v>4501</v>
      </c>
      <c r="AK265" s="19"/>
      <c r="AL265" s="19"/>
      <c r="AM265" s="19" t="s">
        <v>4502</v>
      </c>
      <c r="AN265" s="19" t="s">
        <v>4503</v>
      </c>
      <c r="AO265" s="19" t="s">
        <v>255</v>
      </c>
      <c r="AP265" s="19" t="s">
        <v>256</v>
      </c>
      <c r="AQ265" s="19" t="s">
        <v>117</v>
      </c>
      <c r="AR265" s="19" t="s">
        <v>257</v>
      </c>
      <c r="AS265" s="19" t="s">
        <v>258</v>
      </c>
      <c r="AT265" s="19" t="s">
        <v>259</v>
      </c>
      <c r="AU265" s="19" t="s">
        <v>260</v>
      </c>
      <c r="AV265" s="19" t="s">
        <v>260</v>
      </c>
      <c r="AW265" s="19" t="s">
        <v>261</v>
      </c>
      <c r="AX265" s="19" t="s">
        <v>262</v>
      </c>
      <c r="AY265" s="19" t="s">
        <v>263</v>
      </c>
      <c r="AZ265" s="19" t="s">
        <v>264</v>
      </c>
      <c r="BA265" s="20">
        <v>43627</v>
      </c>
      <c r="BB265" s="19" t="s">
        <v>1670</v>
      </c>
      <c r="BC265" s="19" t="s">
        <v>4504</v>
      </c>
      <c r="BD265" s="19" t="s">
        <v>4504</v>
      </c>
      <c r="BE265" s="19" t="s">
        <v>130</v>
      </c>
      <c r="BF265" s="19" t="s">
        <v>4505</v>
      </c>
      <c r="BG265" s="19"/>
      <c r="BH265" s="19" t="s">
        <v>4506</v>
      </c>
      <c r="BI265" s="19" t="s">
        <v>4506</v>
      </c>
      <c r="BJ265" s="19" t="s">
        <v>166</v>
      </c>
      <c r="BK265" s="19" t="s">
        <v>167</v>
      </c>
      <c r="BL265" s="19" t="s">
        <v>168</v>
      </c>
      <c r="BM265" s="19" t="s">
        <v>169</v>
      </c>
      <c r="BN265" s="21">
        <v>83547.73</v>
      </c>
      <c r="BO265" s="21">
        <v>3760132.4268339998</v>
      </c>
      <c r="BQ265" s="2"/>
      <c r="BR265" s="2"/>
      <c r="BS265" s="2"/>
      <c r="BT265" s="2"/>
      <c r="BU265" s="22"/>
      <c r="BV265" s="2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</row>
    <row r="266" spans="1:95" x14ac:dyDescent="0.25">
      <c r="A266" s="18">
        <v>263</v>
      </c>
      <c r="B266" s="19" t="s">
        <v>4507</v>
      </c>
      <c r="C266" s="19" t="s">
        <v>4508</v>
      </c>
      <c r="D266" s="20">
        <v>46008</v>
      </c>
      <c r="E266" s="20">
        <v>36866</v>
      </c>
      <c r="F266" s="19"/>
      <c r="G266" s="19"/>
      <c r="H266" s="19" t="s">
        <v>94</v>
      </c>
      <c r="I266" s="19"/>
      <c r="J266" s="19"/>
      <c r="K266" s="19"/>
      <c r="L266" s="19" t="s">
        <v>244</v>
      </c>
      <c r="M266" s="19" t="s">
        <v>245</v>
      </c>
      <c r="N266" s="19" t="s">
        <v>4509</v>
      </c>
      <c r="O266" s="19" t="s">
        <v>100</v>
      </c>
      <c r="P266" s="19"/>
      <c r="Q266" s="19"/>
      <c r="R266" s="19"/>
      <c r="S266" s="19"/>
      <c r="T266" s="19"/>
      <c r="U266" s="19"/>
      <c r="V266" s="19"/>
      <c r="W266" s="19"/>
      <c r="X266" s="19"/>
      <c r="Y266" s="19" t="s">
        <v>101</v>
      </c>
      <c r="Z266" s="19" t="s">
        <v>102</v>
      </c>
      <c r="AA266" s="19" t="s">
        <v>103</v>
      </c>
      <c r="AB266" s="19" t="s">
        <v>247</v>
      </c>
      <c r="AC266" s="19" t="s">
        <v>248</v>
      </c>
      <c r="AD266" s="19" t="s">
        <v>4510</v>
      </c>
      <c r="AE266" s="19" t="s">
        <v>4511</v>
      </c>
      <c r="AF266" s="19"/>
      <c r="AG266" s="19" t="s">
        <v>4512</v>
      </c>
      <c r="AH266" s="19" t="s">
        <v>298</v>
      </c>
      <c r="AI266" s="19" t="s">
        <v>111</v>
      </c>
      <c r="AJ266" s="19" t="s">
        <v>4513</v>
      </c>
      <c r="AK266" s="19"/>
      <c r="AL266" s="19"/>
      <c r="AM266" s="19" t="s">
        <v>4514</v>
      </c>
      <c r="AN266" s="19" t="s">
        <v>4515</v>
      </c>
      <c r="AO266" s="19" t="s">
        <v>255</v>
      </c>
      <c r="AP266" s="19" t="s">
        <v>256</v>
      </c>
      <c r="AQ266" s="19" t="s">
        <v>117</v>
      </c>
      <c r="AR266" s="19" t="s">
        <v>257</v>
      </c>
      <c r="AS266" s="19" t="s">
        <v>258</v>
      </c>
      <c r="AT266" s="19" t="s">
        <v>259</v>
      </c>
      <c r="AU266" s="19" t="s">
        <v>260</v>
      </c>
      <c r="AV266" s="19" t="s">
        <v>260</v>
      </c>
      <c r="AW266" s="19" t="s">
        <v>261</v>
      </c>
      <c r="AX266" s="19" t="s">
        <v>262</v>
      </c>
      <c r="AY266" s="19" t="s">
        <v>263</v>
      </c>
      <c r="AZ266" s="19" t="s">
        <v>264</v>
      </c>
      <c r="BA266" s="20">
        <v>43627</v>
      </c>
      <c r="BB266" s="19" t="s">
        <v>363</v>
      </c>
      <c r="BC266" s="19" t="s">
        <v>4516</v>
      </c>
      <c r="BD266" s="19" t="s">
        <v>4516</v>
      </c>
      <c r="BE266" s="19" t="s">
        <v>130</v>
      </c>
      <c r="BF266" s="19" t="s">
        <v>4517</v>
      </c>
      <c r="BG266" s="19"/>
      <c r="BH266" s="19" t="s">
        <v>4518</v>
      </c>
      <c r="BI266" s="19" t="s">
        <v>4518</v>
      </c>
      <c r="BJ266" s="19" t="s">
        <v>194</v>
      </c>
      <c r="BK266" s="19" t="s">
        <v>195</v>
      </c>
      <c r="BL266" s="19" t="s">
        <v>122</v>
      </c>
      <c r="BM266" s="19" t="s">
        <v>196</v>
      </c>
      <c r="BN266" s="21">
        <v>0</v>
      </c>
      <c r="BO266" s="21">
        <v>0</v>
      </c>
      <c r="BQ266" s="2"/>
      <c r="BR266" s="2"/>
      <c r="BS266" s="2"/>
      <c r="BT266" s="2"/>
      <c r="BU266" s="22"/>
      <c r="BV266" s="2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</row>
    <row r="267" spans="1:95" x14ac:dyDescent="0.25">
      <c r="A267" s="18">
        <v>264</v>
      </c>
      <c r="B267" s="19" t="s">
        <v>4519</v>
      </c>
      <c r="C267" s="19" t="s">
        <v>4520</v>
      </c>
      <c r="D267" s="20">
        <v>46009</v>
      </c>
      <c r="E267" s="20">
        <v>36702</v>
      </c>
      <c r="F267" s="19" t="s">
        <v>4521</v>
      </c>
      <c r="G267" s="19" t="s">
        <v>139</v>
      </c>
      <c r="H267" s="19" t="s">
        <v>94</v>
      </c>
      <c r="I267" s="19"/>
      <c r="J267" s="19"/>
      <c r="K267" s="19"/>
      <c r="L267" s="19" t="s">
        <v>101</v>
      </c>
      <c r="M267" s="19" t="s">
        <v>290</v>
      </c>
      <c r="N267" s="19" t="s">
        <v>4522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 t="s">
        <v>101</v>
      </c>
      <c r="Z267" s="19" t="s">
        <v>102</v>
      </c>
      <c r="AA267" s="19" t="s">
        <v>103</v>
      </c>
      <c r="AB267" s="19" t="s">
        <v>173</v>
      </c>
      <c r="AC267" s="19" t="s">
        <v>174</v>
      </c>
      <c r="AD267" s="19" t="s">
        <v>4523</v>
      </c>
      <c r="AE267" s="19" t="s">
        <v>4524</v>
      </c>
      <c r="AF267" s="19" t="s">
        <v>4525</v>
      </c>
      <c r="AG267" s="19" t="s">
        <v>4526</v>
      </c>
      <c r="AH267" s="19" t="s">
        <v>376</v>
      </c>
      <c r="AI267" s="19"/>
      <c r="AJ267" s="19" t="s">
        <v>4527</v>
      </c>
      <c r="AK267" s="19"/>
      <c r="AL267" s="19" t="s">
        <v>4528</v>
      </c>
      <c r="AM267" s="19" t="s">
        <v>4529</v>
      </c>
      <c r="AN267" s="19" t="s">
        <v>4530</v>
      </c>
      <c r="AO267" s="19" t="s">
        <v>154</v>
      </c>
      <c r="AP267" s="19" t="s">
        <v>155</v>
      </c>
      <c r="AQ267" s="19" t="s">
        <v>117</v>
      </c>
      <c r="AR267" s="19" t="s">
        <v>156</v>
      </c>
      <c r="AS267" s="19" t="s">
        <v>157</v>
      </c>
      <c r="AT267" s="19" t="s">
        <v>158</v>
      </c>
      <c r="AU267" s="19"/>
      <c r="AV267" s="19" t="s">
        <v>122</v>
      </c>
      <c r="AW267" s="19"/>
      <c r="AX267" s="19" t="s">
        <v>124</v>
      </c>
      <c r="AY267" s="19" t="s">
        <v>159</v>
      </c>
      <c r="AZ267" s="19" t="s">
        <v>160</v>
      </c>
      <c r="BA267" s="20">
        <v>44676</v>
      </c>
      <c r="BB267" s="19" t="s">
        <v>265</v>
      </c>
      <c r="BC267" s="19" t="s">
        <v>4531</v>
      </c>
      <c r="BD267" s="19" t="s">
        <v>4526</v>
      </c>
      <c r="BE267" s="19" t="s">
        <v>130</v>
      </c>
      <c r="BF267" s="19" t="s">
        <v>4532</v>
      </c>
      <c r="BG267" s="19"/>
      <c r="BH267" s="19" t="s">
        <v>4533</v>
      </c>
      <c r="BI267" s="19" t="s">
        <v>4533</v>
      </c>
      <c r="BJ267" s="19" t="s">
        <v>166</v>
      </c>
      <c r="BK267" s="19" t="s">
        <v>167</v>
      </c>
      <c r="BL267" s="19" t="s">
        <v>168</v>
      </c>
      <c r="BM267" s="19" t="s">
        <v>169</v>
      </c>
      <c r="BN267" s="21">
        <v>6.3490000000000002</v>
      </c>
      <c r="BO267" s="21">
        <v>224.9082458</v>
      </c>
      <c r="BQ267" s="2"/>
      <c r="BR267" s="2"/>
      <c r="BS267" s="2"/>
      <c r="BT267" s="2"/>
      <c r="BU267" s="22"/>
      <c r="BV267" s="2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</row>
    <row r="268" spans="1:95" x14ac:dyDescent="0.25">
      <c r="A268" s="18">
        <v>265</v>
      </c>
      <c r="B268" s="19" t="s">
        <v>4534</v>
      </c>
      <c r="C268" s="19" t="s">
        <v>4535</v>
      </c>
      <c r="D268" s="20">
        <v>46009</v>
      </c>
      <c r="E268" s="20">
        <v>27912</v>
      </c>
      <c r="F268" s="19"/>
      <c r="G268" s="19"/>
      <c r="H268" s="19" t="s">
        <v>94</v>
      </c>
      <c r="I268" s="19"/>
      <c r="J268" s="19"/>
      <c r="K268" s="19"/>
      <c r="L268" s="19" t="s">
        <v>289</v>
      </c>
      <c r="M268" s="19" t="s">
        <v>290</v>
      </c>
      <c r="N268" s="19" t="s">
        <v>4536</v>
      </c>
      <c r="O268" s="19" t="s">
        <v>100</v>
      </c>
      <c r="P268" s="19"/>
      <c r="Q268" s="19"/>
      <c r="R268" s="19"/>
      <c r="S268" s="19"/>
      <c r="T268" s="19"/>
      <c r="U268" s="19"/>
      <c r="V268" s="19"/>
      <c r="W268" s="19"/>
      <c r="X268" s="19"/>
      <c r="Y268" s="19" t="s">
        <v>101</v>
      </c>
      <c r="Z268" s="19" t="s">
        <v>102</v>
      </c>
      <c r="AA268" s="19" t="s">
        <v>103</v>
      </c>
      <c r="AB268" s="19" t="s">
        <v>487</v>
      </c>
      <c r="AC268" s="19" t="s">
        <v>488</v>
      </c>
      <c r="AD268" s="19" t="s">
        <v>4537</v>
      </c>
      <c r="AE268" s="19"/>
      <c r="AF268" s="19"/>
      <c r="AG268" s="19" t="s">
        <v>490</v>
      </c>
      <c r="AH268" s="19" t="s">
        <v>262</v>
      </c>
      <c r="AI268" s="19" t="s">
        <v>111</v>
      </c>
      <c r="AJ268" s="19" t="s">
        <v>4538</v>
      </c>
      <c r="AK268" s="19"/>
      <c r="AL268" s="19"/>
      <c r="AM268" s="19" t="s">
        <v>4539</v>
      </c>
      <c r="AN268" s="19" t="s">
        <v>4540</v>
      </c>
      <c r="AO268" s="19" t="s">
        <v>494</v>
      </c>
      <c r="AP268" s="19" t="s">
        <v>495</v>
      </c>
      <c r="AQ268" s="19" t="s">
        <v>117</v>
      </c>
      <c r="AR268" s="19" t="s">
        <v>496</v>
      </c>
      <c r="AS268" s="19" t="s">
        <v>497</v>
      </c>
      <c r="AT268" s="19" t="s">
        <v>498</v>
      </c>
      <c r="AU268" s="19" t="s">
        <v>499</v>
      </c>
      <c r="AV268" s="19" t="s">
        <v>168</v>
      </c>
      <c r="AW268" s="19" t="s">
        <v>500</v>
      </c>
      <c r="AX268" s="19" t="s">
        <v>262</v>
      </c>
      <c r="AY268" s="19" t="s">
        <v>501</v>
      </c>
      <c r="AZ268" s="19" t="s">
        <v>502</v>
      </c>
      <c r="BA268" s="20">
        <v>45832</v>
      </c>
      <c r="BB268" s="19" t="s">
        <v>265</v>
      </c>
      <c r="BC268" s="19" t="s">
        <v>4541</v>
      </c>
      <c r="BD268" s="19" t="s">
        <v>260</v>
      </c>
      <c r="BE268" s="19" t="s">
        <v>130</v>
      </c>
      <c r="BF268" s="19" t="s">
        <v>4542</v>
      </c>
      <c r="BG268" s="19"/>
      <c r="BH268" s="19" t="s">
        <v>4543</v>
      </c>
      <c r="BI268" s="19" t="s">
        <v>4543</v>
      </c>
      <c r="BJ268" s="19" t="s">
        <v>166</v>
      </c>
      <c r="BK268" s="19" t="s">
        <v>167</v>
      </c>
      <c r="BL268" s="19" t="s">
        <v>168</v>
      </c>
      <c r="BM268" s="19" t="s">
        <v>169</v>
      </c>
      <c r="BN268" s="21">
        <v>0.23100000000000001</v>
      </c>
      <c r="BO268" s="21">
        <v>100.02457080000001</v>
      </c>
      <c r="BQ268" s="2"/>
      <c r="BR268" s="2"/>
      <c r="BS268" s="2"/>
      <c r="BT268" s="2"/>
      <c r="BU268" s="22"/>
      <c r="BV268" s="2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</row>
    <row r="269" spans="1:95" x14ac:dyDescent="0.25">
      <c r="A269" s="18">
        <v>266</v>
      </c>
      <c r="B269" s="19" t="s">
        <v>4544</v>
      </c>
      <c r="C269" s="19" t="s">
        <v>4545</v>
      </c>
      <c r="D269" s="20">
        <v>46010</v>
      </c>
      <c r="E269" s="20">
        <v>37277</v>
      </c>
      <c r="F269" s="19"/>
      <c r="G269" s="19"/>
      <c r="H269" s="19" t="s">
        <v>94</v>
      </c>
      <c r="I269" s="19"/>
      <c r="J269" s="19"/>
      <c r="K269" s="19"/>
      <c r="L269" s="19" t="s">
        <v>140</v>
      </c>
      <c r="M269" s="19" t="s">
        <v>141</v>
      </c>
      <c r="N269" s="19" t="s">
        <v>4546</v>
      </c>
      <c r="O269" s="19" t="s">
        <v>100</v>
      </c>
      <c r="P269" s="19"/>
      <c r="Q269" s="19"/>
      <c r="R269" s="19"/>
      <c r="S269" s="19"/>
      <c r="T269" s="19"/>
      <c r="U269" s="19"/>
      <c r="V269" s="19"/>
      <c r="W269" s="19"/>
      <c r="X269" s="19"/>
      <c r="Y269" s="19" t="s">
        <v>101</v>
      </c>
      <c r="Z269" s="19" t="s">
        <v>102</v>
      </c>
      <c r="AA269" s="19" t="s">
        <v>103</v>
      </c>
      <c r="AB269" s="19" t="s">
        <v>173</v>
      </c>
      <c r="AC269" s="19" t="s">
        <v>174</v>
      </c>
      <c r="AD269" s="19" t="s">
        <v>4547</v>
      </c>
      <c r="AE269" s="19" t="s">
        <v>4548</v>
      </c>
      <c r="AF269" s="19" t="s">
        <v>4549</v>
      </c>
      <c r="AG269" s="19" t="s">
        <v>2571</v>
      </c>
      <c r="AH269" s="19" t="s">
        <v>110</v>
      </c>
      <c r="AI269" s="19" t="s">
        <v>111</v>
      </c>
      <c r="AJ269" s="19" t="s">
        <v>4550</v>
      </c>
      <c r="AK269" s="19"/>
      <c r="AL269" s="19"/>
      <c r="AM269" s="19" t="s">
        <v>4551</v>
      </c>
      <c r="AN269" s="19" t="s">
        <v>4552</v>
      </c>
      <c r="AO269" s="19" t="s">
        <v>181</v>
      </c>
      <c r="AP269" s="19" t="s">
        <v>182</v>
      </c>
      <c r="AQ269" s="19" t="s">
        <v>117</v>
      </c>
      <c r="AR269" s="19" t="s">
        <v>183</v>
      </c>
      <c r="AS269" s="19" t="s">
        <v>184</v>
      </c>
      <c r="AT269" s="19" t="s">
        <v>185</v>
      </c>
      <c r="AU269" s="19"/>
      <c r="AV269" s="19" t="s">
        <v>186</v>
      </c>
      <c r="AW269" s="19" t="s">
        <v>187</v>
      </c>
      <c r="AX269" s="19" t="s">
        <v>188</v>
      </c>
      <c r="AY269" s="19"/>
      <c r="AZ269" s="19" t="s">
        <v>189</v>
      </c>
      <c r="BA269" s="20">
        <v>44673</v>
      </c>
      <c r="BB269" s="19" t="s">
        <v>1388</v>
      </c>
      <c r="BC269" s="19" t="s">
        <v>4553</v>
      </c>
      <c r="BD269" s="19" t="s">
        <v>4554</v>
      </c>
      <c r="BE269" s="19" t="s">
        <v>130</v>
      </c>
      <c r="BF269" s="19" t="s">
        <v>4555</v>
      </c>
      <c r="BG269" s="19"/>
      <c r="BH269" s="19" t="s">
        <v>4556</v>
      </c>
      <c r="BI269" s="19" t="s">
        <v>4556</v>
      </c>
      <c r="BJ269" s="19" t="s">
        <v>194</v>
      </c>
      <c r="BK269" s="19" t="s">
        <v>195</v>
      </c>
      <c r="BL269" s="19" t="s">
        <v>122</v>
      </c>
      <c r="BM269" s="19" t="s">
        <v>196</v>
      </c>
      <c r="BN269" s="21">
        <v>40.314</v>
      </c>
      <c r="BO269" s="21">
        <v>1428.0911988</v>
      </c>
      <c r="BQ269" s="2"/>
      <c r="BR269" s="2"/>
      <c r="BS269" s="2"/>
      <c r="BT269" s="2"/>
      <c r="BU269" s="22"/>
      <c r="BV269" s="2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</row>
    <row r="270" spans="1:95" x14ac:dyDescent="0.25">
      <c r="A270" s="18">
        <v>267</v>
      </c>
      <c r="B270" s="19" t="s">
        <v>4557</v>
      </c>
      <c r="C270" s="19" t="s">
        <v>4558</v>
      </c>
      <c r="D270" s="20">
        <v>46010</v>
      </c>
      <c r="E270" s="20">
        <v>25938</v>
      </c>
      <c r="F270" s="19"/>
      <c r="G270" s="19"/>
      <c r="H270" s="19" t="s">
        <v>94</v>
      </c>
      <c r="I270" s="19"/>
      <c r="J270" s="19"/>
      <c r="K270" s="19"/>
      <c r="L270" s="19" t="s">
        <v>244</v>
      </c>
      <c r="M270" s="19" t="s">
        <v>245</v>
      </c>
      <c r="N270" s="19" t="s">
        <v>4559</v>
      </c>
      <c r="O270" s="19" t="s">
        <v>100</v>
      </c>
      <c r="P270" s="19"/>
      <c r="Q270" s="19"/>
      <c r="R270" s="19"/>
      <c r="S270" s="19"/>
      <c r="T270" s="19"/>
      <c r="U270" s="19"/>
      <c r="V270" s="19"/>
      <c r="W270" s="19"/>
      <c r="X270" s="19"/>
      <c r="Y270" s="19" t="s">
        <v>101</v>
      </c>
      <c r="Z270" s="19" t="s">
        <v>102</v>
      </c>
      <c r="AA270" s="19" t="s">
        <v>103</v>
      </c>
      <c r="AB270" s="19" t="s">
        <v>292</v>
      </c>
      <c r="AC270" s="19" t="s">
        <v>293</v>
      </c>
      <c r="AD270" s="19" t="s">
        <v>4560</v>
      </c>
      <c r="AE270" s="19" t="s">
        <v>4561</v>
      </c>
      <c r="AF270" s="19"/>
      <c r="AG270" s="19" t="s">
        <v>277</v>
      </c>
      <c r="AH270" s="19" t="s">
        <v>124</v>
      </c>
      <c r="AI270" s="19" t="s">
        <v>111</v>
      </c>
      <c r="AJ270" s="19" t="s">
        <v>4562</v>
      </c>
      <c r="AK270" s="19"/>
      <c r="AL270" s="19"/>
      <c r="AM270" s="19" t="s">
        <v>4563</v>
      </c>
      <c r="AN270" s="19" t="s">
        <v>4564</v>
      </c>
      <c r="AO270" s="19" t="s">
        <v>208</v>
      </c>
      <c r="AP270" s="19" t="s">
        <v>209</v>
      </c>
      <c r="AQ270" s="19" t="s">
        <v>117</v>
      </c>
      <c r="AR270" s="19" t="s">
        <v>210</v>
      </c>
      <c r="AS270" s="19" t="s">
        <v>211</v>
      </c>
      <c r="AT270" s="19" t="s">
        <v>212</v>
      </c>
      <c r="AU270" s="19" t="s">
        <v>213</v>
      </c>
      <c r="AV270" s="19" t="s">
        <v>214</v>
      </c>
      <c r="AW270" s="19" t="s">
        <v>215</v>
      </c>
      <c r="AX270" s="19" t="s">
        <v>149</v>
      </c>
      <c r="AY270" s="19" t="s">
        <v>216</v>
      </c>
      <c r="AZ270" s="19" t="s">
        <v>217</v>
      </c>
      <c r="BA270" s="20">
        <v>35521</v>
      </c>
      <c r="BB270" s="19" t="s">
        <v>349</v>
      </c>
      <c r="BC270" s="19" t="s">
        <v>4565</v>
      </c>
      <c r="BD270" s="19" t="s">
        <v>1460</v>
      </c>
      <c r="BE270" s="19" t="s">
        <v>130</v>
      </c>
      <c r="BF270" s="19" t="s">
        <v>4566</v>
      </c>
      <c r="BG270" s="19"/>
      <c r="BH270" s="19" t="s">
        <v>4567</v>
      </c>
      <c r="BI270" s="19" t="s">
        <v>4567</v>
      </c>
      <c r="BJ270" s="19" t="s">
        <v>1259</v>
      </c>
      <c r="BK270" s="19" t="s">
        <v>1491</v>
      </c>
      <c r="BL270" s="19" t="s">
        <v>122</v>
      </c>
      <c r="BM270" s="19" t="s">
        <v>196</v>
      </c>
      <c r="BN270" s="21">
        <v>1536.8050000000001</v>
      </c>
      <c r="BO270" s="21">
        <v>25301.189117499998</v>
      </c>
      <c r="BQ270" s="2"/>
      <c r="BR270" s="2"/>
      <c r="BS270" s="2"/>
      <c r="BT270" s="2"/>
      <c r="BU270" s="22"/>
      <c r="BV270" s="2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</row>
    <row r="271" spans="1:95" x14ac:dyDescent="0.25">
      <c r="A271" s="18">
        <v>268</v>
      </c>
      <c r="B271" s="19" t="s">
        <v>4568</v>
      </c>
      <c r="C271" s="19" t="s">
        <v>4569</v>
      </c>
      <c r="D271" s="20">
        <v>46020</v>
      </c>
      <c r="E271" s="20">
        <v>37861</v>
      </c>
      <c r="F271" s="19" t="s">
        <v>4570</v>
      </c>
      <c r="G271" s="19" t="s">
        <v>139</v>
      </c>
      <c r="H271" s="19" t="s">
        <v>94</v>
      </c>
      <c r="I271" s="19"/>
      <c r="J271" s="19"/>
      <c r="K271" s="19"/>
      <c r="L271" s="19" t="s">
        <v>244</v>
      </c>
      <c r="M271" s="19" t="s">
        <v>245</v>
      </c>
      <c r="N271" s="19" t="s">
        <v>4571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 t="s">
        <v>101</v>
      </c>
      <c r="Z271" s="19" t="s">
        <v>102</v>
      </c>
      <c r="AA271" s="19" t="s">
        <v>103</v>
      </c>
      <c r="AB271" s="19" t="s">
        <v>143</v>
      </c>
      <c r="AC271" s="19" t="s">
        <v>144</v>
      </c>
      <c r="AD271" s="19" t="s">
        <v>4572</v>
      </c>
      <c r="AE271" s="19" t="s">
        <v>4573</v>
      </c>
      <c r="AF271" s="19" t="s">
        <v>4574</v>
      </c>
      <c r="AG271" s="19" t="s">
        <v>4575</v>
      </c>
      <c r="AH271" s="19" t="s">
        <v>344</v>
      </c>
      <c r="AI271" s="19"/>
      <c r="AJ271" s="19" t="s">
        <v>4576</v>
      </c>
      <c r="AK271" s="19"/>
      <c r="AL271" s="19"/>
      <c r="AM271" s="19" t="s">
        <v>4577</v>
      </c>
      <c r="AN271" s="19" t="s">
        <v>4578</v>
      </c>
      <c r="AO271" s="19" t="s">
        <v>255</v>
      </c>
      <c r="AP271" s="19" t="s">
        <v>256</v>
      </c>
      <c r="AQ271" s="19" t="s">
        <v>117</v>
      </c>
      <c r="AR271" s="19" t="s">
        <v>257</v>
      </c>
      <c r="AS271" s="19" t="s">
        <v>258</v>
      </c>
      <c r="AT271" s="19" t="s">
        <v>259</v>
      </c>
      <c r="AU271" s="19" t="s">
        <v>260</v>
      </c>
      <c r="AV271" s="19" t="s">
        <v>260</v>
      </c>
      <c r="AW271" s="19" t="s">
        <v>261</v>
      </c>
      <c r="AX271" s="19" t="s">
        <v>262</v>
      </c>
      <c r="AY271" s="19" t="s">
        <v>263</v>
      </c>
      <c r="AZ271" s="19" t="s">
        <v>264</v>
      </c>
      <c r="BA271" s="20">
        <v>43627</v>
      </c>
      <c r="BB271" s="19" t="s">
        <v>3301</v>
      </c>
      <c r="BC271" s="19" t="s">
        <v>4579</v>
      </c>
      <c r="BD271" s="19" t="s">
        <v>4294</v>
      </c>
      <c r="BE271" s="19" t="s">
        <v>130</v>
      </c>
      <c r="BF271" s="19" t="s">
        <v>4580</v>
      </c>
      <c r="BG271" s="19"/>
      <c r="BH271" s="19" t="s">
        <v>4581</v>
      </c>
      <c r="BI271" s="19" t="s">
        <v>4581</v>
      </c>
      <c r="BJ271" s="19" t="s">
        <v>166</v>
      </c>
      <c r="BK271" s="19" t="s">
        <v>167</v>
      </c>
      <c r="BL271" s="19" t="s">
        <v>168</v>
      </c>
      <c r="BM271" s="19" t="s">
        <v>169</v>
      </c>
      <c r="BN271" s="21">
        <v>2.68</v>
      </c>
      <c r="BO271" s="21">
        <v>102.0812</v>
      </c>
      <c r="BQ271" s="2"/>
      <c r="BR271" s="2"/>
      <c r="BS271" s="2"/>
      <c r="BT271" s="2"/>
      <c r="BU271" s="22"/>
      <c r="BV271" s="2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</row>
    <row r="272" spans="1:95" x14ac:dyDescent="0.25">
      <c r="A272" s="18">
        <v>269</v>
      </c>
      <c r="B272" s="19" t="s">
        <v>4582</v>
      </c>
      <c r="C272" s="19" t="s">
        <v>4583</v>
      </c>
      <c r="D272" s="20">
        <v>46015</v>
      </c>
      <c r="E272" s="20">
        <v>29752</v>
      </c>
      <c r="F272" s="19" t="s">
        <v>4584</v>
      </c>
      <c r="G272" s="19" t="s">
        <v>139</v>
      </c>
      <c r="H272" s="19" t="s">
        <v>94</v>
      </c>
      <c r="I272" s="19"/>
      <c r="J272" s="19"/>
      <c r="K272" s="19"/>
      <c r="L272" s="19" t="s">
        <v>244</v>
      </c>
      <c r="M272" s="19" t="s">
        <v>245</v>
      </c>
      <c r="N272" s="19" t="s">
        <v>4585</v>
      </c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 t="s">
        <v>101</v>
      </c>
      <c r="Z272" s="19" t="s">
        <v>102</v>
      </c>
      <c r="AA272" s="19" t="s">
        <v>103</v>
      </c>
      <c r="AB272" s="19" t="s">
        <v>143</v>
      </c>
      <c r="AC272" s="19" t="s">
        <v>144</v>
      </c>
      <c r="AD272" s="19" t="s">
        <v>4586</v>
      </c>
      <c r="AE272" s="19" t="s">
        <v>4587</v>
      </c>
      <c r="AF272" s="19" t="s">
        <v>1079</v>
      </c>
      <c r="AG272" s="19" t="s">
        <v>4588</v>
      </c>
      <c r="AH272" s="19" t="s">
        <v>757</v>
      </c>
      <c r="AI272" s="19" t="s">
        <v>111</v>
      </c>
      <c r="AJ272" s="19" t="s">
        <v>4589</v>
      </c>
      <c r="AK272" s="19"/>
      <c r="AL272" s="19"/>
      <c r="AM272" s="19" t="s">
        <v>4590</v>
      </c>
      <c r="AN272" s="19" t="s">
        <v>4591</v>
      </c>
      <c r="AO272" s="19" t="s">
        <v>255</v>
      </c>
      <c r="AP272" s="19" t="s">
        <v>256</v>
      </c>
      <c r="AQ272" s="19" t="s">
        <v>117</v>
      </c>
      <c r="AR272" s="19" t="s">
        <v>257</v>
      </c>
      <c r="AS272" s="19" t="s">
        <v>258</v>
      </c>
      <c r="AT272" s="19" t="s">
        <v>259</v>
      </c>
      <c r="AU272" s="19" t="s">
        <v>260</v>
      </c>
      <c r="AV272" s="19" t="s">
        <v>260</v>
      </c>
      <c r="AW272" s="19" t="s">
        <v>261</v>
      </c>
      <c r="AX272" s="19" t="s">
        <v>262</v>
      </c>
      <c r="AY272" s="19" t="s">
        <v>263</v>
      </c>
      <c r="AZ272" s="19" t="s">
        <v>264</v>
      </c>
      <c r="BA272" s="20">
        <v>43627</v>
      </c>
      <c r="BB272" s="19" t="s">
        <v>331</v>
      </c>
      <c r="BC272" s="19" t="s">
        <v>4592</v>
      </c>
      <c r="BD272" s="19" t="s">
        <v>4592</v>
      </c>
      <c r="BE272" s="19" t="s">
        <v>130</v>
      </c>
      <c r="BF272" s="19" t="s">
        <v>4593</v>
      </c>
      <c r="BG272" s="19"/>
      <c r="BH272" s="19" t="s">
        <v>4594</v>
      </c>
      <c r="BI272" s="19" t="s">
        <v>4594</v>
      </c>
      <c r="BJ272" s="19" t="s">
        <v>166</v>
      </c>
      <c r="BK272" s="19" t="s">
        <v>167</v>
      </c>
      <c r="BL272" s="19" t="s">
        <v>168</v>
      </c>
      <c r="BM272" s="19" t="s">
        <v>169</v>
      </c>
      <c r="BN272" s="21">
        <v>13.353999999999999</v>
      </c>
      <c r="BO272" s="21">
        <v>508.65386000000001</v>
      </c>
      <c r="BQ272" s="2"/>
      <c r="BR272" s="2"/>
      <c r="BS272" s="2"/>
      <c r="BT272" s="2"/>
      <c r="BU272" s="22"/>
      <c r="BV272" s="2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</row>
    <row r="273" spans="1:95" x14ac:dyDescent="0.25">
      <c r="A273" s="18">
        <v>270</v>
      </c>
      <c r="B273" s="19" t="s">
        <v>4595</v>
      </c>
      <c r="C273" s="19" t="s">
        <v>4596</v>
      </c>
      <c r="D273" s="20">
        <v>46015</v>
      </c>
      <c r="E273" s="20">
        <v>37147</v>
      </c>
      <c r="F273" s="19"/>
      <c r="G273" s="19"/>
      <c r="H273" s="19" t="s">
        <v>94</v>
      </c>
      <c r="I273" s="19"/>
      <c r="J273" s="19"/>
      <c r="K273" s="19"/>
      <c r="L273" s="19" t="s">
        <v>244</v>
      </c>
      <c r="M273" s="19" t="s">
        <v>245</v>
      </c>
      <c r="N273" s="19" t="s">
        <v>4597</v>
      </c>
      <c r="O273" s="19" t="s">
        <v>100</v>
      </c>
      <c r="P273" s="19"/>
      <c r="Q273" s="19"/>
      <c r="R273" s="19"/>
      <c r="S273" s="19"/>
      <c r="T273" s="19"/>
      <c r="U273" s="19"/>
      <c r="V273" s="19"/>
      <c r="W273" s="19"/>
      <c r="X273" s="19"/>
      <c r="Y273" s="19" t="s">
        <v>101</v>
      </c>
      <c r="Z273" s="19" t="s">
        <v>102</v>
      </c>
      <c r="AA273" s="19" t="s">
        <v>103</v>
      </c>
      <c r="AB273" s="19" t="s">
        <v>402</v>
      </c>
      <c r="AC273" s="19" t="s">
        <v>403</v>
      </c>
      <c r="AD273" s="19" t="s">
        <v>4598</v>
      </c>
      <c r="AE273" s="19" t="s">
        <v>4599</v>
      </c>
      <c r="AF273" s="19" t="s">
        <v>4600</v>
      </c>
      <c r="AG273" s="19" t="s">
        <v>4601</v>
      </c>
      <c r="AH273" s="19" t="s">
        <v>515</v>
      </c>
      <c r="AI273" s="19" t="s">
        <v>111</v>
      </c>
      <c r="AJ273" s="19" t="s">
        <v>4602</v>
      </c>
      <c r="AK273" s="19"/>
      <c r="AL273" s="19"/>
      <c r="AM273" s="19" t="s">
        <v>4603</v>
      </c>
      <c r="AN273" s="19" t="s">
        <v>4604</v>
      </c>
      <c r="AO273" s="19" t="s">
        <v>1206</v>
      </c>
      <c r="AP273" s="19" t="s">
        <v>1207</v>
      </c>
      <c r="AQ273" s="19" t="s">
        <v>117</v>
      </c>
      <c r="AR273" s="19" t="s">
        <v>1208</v>
      </c>
      <c r="AS273" s="19" t="s">
        <v>1209</v>
      </c>
      <c r="AT273" s="19" t="s">
        <v>1210</v>
      </c>
      <c r="AU273" s="19" t="s">
        <v>1211</v>
      </c>
      <c r="AV273" s="19" t="s">
        <v>219</v>
      </c>
      <c r="AW273" s="19" t="s">
        <v>1212</v>
      </c>
      <c r="AX273" s="19" t="s">
        <v>124</v>
      </c>
      <c r="AY273" s="19" t="s">
        <v>1213</v>
      </c>
      <c r="AZ273" s="19" t="s">
        <v>1214</v>
      </c>
      <c r="BA273" s="20">
        <v>37560</v>
      </c>
      <c r="BB273" s="19" t="s">
        <v>161</v>
      </c>
      <c r="BC273" s="19" t="s">
        <v>4605</v>
      </c>
      <c r="BD273" s="19" t="s">
        <v>4606</v>
      </c>
      <c r="BE273" s="19" t="s">
        <v>130</v>
      </c>
      <c r="BF273" s="19" t="s">
        <v>4607</v>
      </c>
      <c r="BG273" s="19"/>
      <c r="BH273" s="19" t="s">
        <v>4608</v>
      </c>
      <c r="BI273" s="19" t="s">
        <v>4608</v>
      </c>
      <c r="BJ273" s="19" t="s">
        <v>194</v>
      </c>
      <c r="BK273" s="19" t="s">
        <v>591</v>
      </c>
      <c r="BL273" s="19" t="s">
        <v>122</v>
      </c>
      <c r="BM273" s="19" t="s">
        <v>592</v>
      </c>
      <c r="BN273" s="21">
        <v>2.6429999999999998</v>
      </c>
      <c r="BO273" s="21">
        <v>5004.0711899999997</v>
      </c>
      <c r="BQ273" s="2"/>
      <c r="BR273" s="2"/>
      <c r="BS273" s="2"/>
      <c r="BT273" s="2"/>
      <c r="BU273" s="22"/>
      <c r="BV273" s="2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</row>
    <row r="274" spans="1:95" x14ac:dyDescent="0.25">
      <c r="A274" s="18">
        <v>271</v>
      </c>
      <c r="B274" s="19" t="s">
        <v>4609</v>
      </c>
      <c r="C274" s="19" t="s">
        <v>4610</v>
      </c>
      <c r="D274" s="20">
        <v>46015</v>
      </c>
      <c r="E274" s="20">
        <v>24799</v>
      </c>
      <c r="F274" s="19"/>
      <c r="G274" s="19"/>
      <c r="H274" s="19" t="s">
        <v>94</v>
      </c>
      <c r="I274" s="19"/>
      <c r="J274" s="19" t="s">
        <v>287</v>
      </c>
      <c r="K274" s="19" t="s">
        <v>288</v>
      </c>
      <c r="L274" s="19" t="s">
        <v>140</v>
      </c>
      <c r="M274" s="19" t="s">
        <v>141</v>
      </c>
      <c r="N274" s="19" t="s">
        <v>4611</v>
      </c>
      <c r="O274" s="19" t="s">
        <v>100</v>
      </c>
      <c r="P274" s="19"/>
      <c r="Q274" s="19"/>
      <c r="R274" s="19"/>
      <c r="S274" s="19"/>
      <c r="T274" s="19"/>
      <c r="U274" s="19"/>
      <c r="V274" s="19"/>
      <c r="W274" s="19"/>
      <c r="X274" s="19"/>
      <c r="Y274" s="19" t="s">
        <v>101</v>
      </c>
      <c r="Z274" s="19" t="s">
        <v>102</v>
      </c>
      <c r="AA274" s="19" t="s">
        <v>103</v>
      </c>
      <c r="AB274" s="19" t="s">
        <v>850</v>
      </c>
      <c r="AC274" s="19" t="s">
        <v>851</v>
      </c>
      <c r="AD274" s="19" t="s">
        <v>4612</v>
      </c>
      <c r="AE274" s="19"/>
      <c r="AF274" s="19"/>
      <c r="AG274" s="19" t="s">
        <v>109</v>
      </c>
      <c r="AH274" s="19" t="s">
        <v>110</v>
      </c>
      <c r="AI274" s="19" t="s">
        <v>111</v>
      </c>
      <c r="AJ274" s="19" t="s">
        <v>4613</v>
      </c>
      <c r="AK274" s="19"/>
      <c r="AL274" s="19"/>
      <c r="AM274" s="19" t="s">
        <v>4614</v>
      </c>
      <c r="AN274" s="19" t="s">
        <v>4615</v>
      </c>
      <c r="AO274" s="19" t="s">
        <v>4616</v>
      </c>
      <c r="AP274" s="19" t="s">
        <v>2089</v>
      </c>
      <c r="AQ274" s="19" t="s">
        <v>117</v>
      </c>
      <c r="AR274" s="19" t="s">
        <v>2090</v>
      </c>
      <c r="AS274" s="19" t="s">
        <v>2091</v>
      </c>
      <c r="AT274" s="19" t="s">
        <v>2092</v>
      </c>
      <c r="AU274" s="19" t="s">
        <v>2093</v>
      </c>
      <c r="AV274" s="19" t="s">
        <v>122</v>
      </c>
      <c r="AW274" s="19" t="s">
        <v>2094</v>
      </c>
      <c r="AX274" s="19" t="s">
        <v>901</v>
      </c>
      <c r="AY274" s="19" t="s">
        <v>2095</v>
      </c>
      <c r="AZ274" s="19" t="s">
        <v>2096</v>
      </c>
      <c r="BA274" s="20">
        <v>37075</v>
      </c>
      <c r="BB274" s="19" t="s">
        <v>4617</v>
      </c>
      <c r="BC274" s="19" t="s">
        <v>4618</v>
      </c>
      <c r="BD274" s="19" t="s">
        <v>4619</v>
      </c>
      <c r="BE274" s="19" t="s">
        <v>130</v>
      </c>
      <c r="BF274" s="19" t="s">
        <v>4620</v>
      </c>
      <c r="BG274" s="19" t="s">
        <v>4621</v>
      </c>
      <c r="BH274" s="19" t="s">
        <v>4622</v>
      </c>
      <c r="BI274" s="19" t="s">
        <v>4622</v>
      </c>
      <c r="BJ274" s="19" t="s">
        <v>166</v>
      </c>
      <c r="BK274" s="19" t="s">
        <v>134</v>
      </c>
      <c r="BL274" s="19" t="s">
        <v>109</v>
      </c>
      <c r="BM274" s="19" t="s">
        <v>135</v>
      </c>
      <c r="BN274" s="21">
        <v>4.5439999999999996</v>
      </c>
      <c r="BO274" s="21">
        <v>499.79455999999999</v>
      </c>
      <c r="BQ274" s="2"/>
      <c r="BR274" s="2"/>
      <c r="BS274" s="2"/>
      <c r="BT274" s="2"/>
      <c r="BU274" s="22"/>
      <c r="BV274" s="2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</row>
    <row r="275" spans="1:95" x14ac:dyDescent="0.25">
      <c r="A275" s="18">
        <v>272</v>
      </c>
      <c r="B275" s="19" t="s">
        <v>4623</v>
      </c>
      <c r="C275" s="19" t="s">
        <v>4624</v>
      </c>
      <c r="D275" s="20">
        <v>46017</v>
      </c>
      <c r="E275" s="20">
        <v>36520</v>
      </c>
      <c r="F275" s="19" t="s">
        <v>4625</v>
      </c>
      <c r="G275" s="19" t="s">
        <v>139</v>
      </c>
      <c r="H275" s="19" t="s">
        <v>94</v>
      </c>
      <c r="I275" s="19"/>
      <c r="J275" s="19"/>
      <c r="K275" s="19"/>
      <c r="L275" s="19" t="s">
        <v>244</v>
      </c>
      <c r="M275" s="19" t="s">
        <v>245</v>
      </c>
      <c r="N275" s="19" t="s">
        <v>4626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 t="s">
        <v>101</v>
      </c>
      <c r="Z275" s="19" t="s">
        <v>102</v>
      </c>
      <c r="AA275" s="19" t="s">
        <v>103</v>
      </c>
      <c r="AB275" s="19" t="s">
        <v>173</v>
      </c>
      <c r="AC275" s="19" t="s">
        <v>174</v>
      </c>
      <c r="AD275" s="19" t="s">
        <v>4627</v>
      </c>
      <c r="AE275" s="19" t="s">
        <v>4628</v>
      </c>
      <c r="AF275" s="19" t="s">
        <v>4629</v>
      </c>
      <c r="AG275" s="19" t="s">
        <v>514</v>
      </c>
      <c r="AH275" s="19" t="s">
        <v>515</v>
      </c>
      <c r="AI275" s="19" t="s">
        <v>111</v>
      </c>
      <c r="AJ275" s="19" t="s">
        <v>4630</v>
      </c>
      <c r="AK275" s="19"/>
      <c r="AL275" s="19"/>
      <c r="AM275" s="19" t="s">
        <v>4631</v>
      </c>
      <c r="AN275" s="19" t="s">
        <v>4632</v>
      </c>
      <c r="AO275" s="19" t="s">
        <v>255</v>
      </c>
      <c r="AP275" s="19" t="s">
        <v>256</v>
      </c>
      <c r="AQ275" s="19" t="s">
        <v>117</v>
      </c>
      <c r="AR275" s="19" t="s">
        <v>257</v>
      </c>
      <c r="AS275" s="19" t="s">
        <v>258</v>
      </c>
      <c r="AT275" s="19" t="s">
        <v>259</v>
      </c>
      <c r="AU275" s="19" t="s">
        <v>260</v>
      </c>
      <c r="AV275" s="19" t="s">
        <v>260</v>
      </c>
      <c r="AW275" s="19" t="s">
        <v>261</v>
      </c>
      <c r="AX275" s="19" t="s">
        <v>262</v>
      </c>
      <c r="AY275" s="19" t="s">
        <v>263</v>
      </c>
      <c r="AZ275" s="19" t="s">
        <v>264</v>
      </c>
      <c r="BA275" s="20">
        <v>43627</v>
      </c>
      <c r="BB275" s="19" t="s">
        <v>638</v>
      </c>
      <c r="BC275" s="19" t="s">
        <v>4633</v>
      </c>
      <c r="BD275" s="19" t="s">
        <v>514</v>
      </c>
      <c r="BE275" s="19" t="s">
        <v>130</v>
      </c>
      <c r="BF275" s="19" t="s">
        <v>4634</v>
      </c>
      <c r="BG275" s="19"/>
      <c r="BH275" s="19" t="s">
        <v>4635</v>
      </c>
      <c r="BI275" s="19" t="s">
        <v>4635</v>
      </c>
      <c r="BJ275" s="19" t="s">
        <v>166</v>
      </c>
      <c r="BK275" s="19" t="s">
        <v>167</v>
      </c>
      <c r="BL275" s="19" t="s">
        <v>168</v>
      </c>
      <c r="BM275" s="19" t="s">
        <v>169</v>
      </c>
      <c r="BN275" s="21">
        <v>13.957000000000001</v>
      </c>
      <c r="BO275" s="21">
        <v>494.41555940000001</v>
      </c>
      <c r="BQ275" s="2"/>
      <c r="BR275" s="2"/>
      <c r="BS275" s="2"/>
      <c r="BT275" s="2"/>
      <c r="BU275" s="22"/>
      <c r="BV275" s="2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</row>
    <row r="276" spans="1:95" x14ac:dyDescent="0.25">
      <c r="A276" s="18">
        <v>273</v>
      </c>
      <c r="B276" s="19" t="s">
        <v>4636</v>
      </c>
      <c r="C276" s="19" t="s">
        <v>4637</v>
      </c>
      <c r="D276" s="20">
        <v>46017</v>
      </c>
      <c r="E276" s="20">
        <v>36032</v>
      </c>
      <c r="F276" s="19" t="s">
        <v>4638</v>
      </c>
      <c r="G276" s="19" t="s">
        <v>139</v>
      </c>
      <c r="H276" s="19" t="s">
        <v>94</v>
      </c>
      <c r="I276" s="19"/>
      <c r="J276" s="19"/>
      <c r="K276" s="19"/>
      <c r="L276" s="19" t="s">
        <v>244</v>
      </c>
      <c r="M276" s="19" t="s">
        <v>245</v>
      </c>
      <c r="N276" s="19" t="s">
        <v>4639</v>
      </c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 t="s">
        <v>101</v>
      </c>
      <c r="Z276" s="19" t="s">
        <v>102</v>
      </c>
      <c r="AA276" s="19" t="s">
        <v>103</v>
      </c>
      <c r="AB276" s="19" t="s">
        <v>143</v>
      </c>
      <c r="AC276" s="19" t="s">
        <v>144</v>
      </c>
      <c r="AD276" s="19" t="s">
        <v>4640</v>
      </c>
      <c r="AE276" s="19" t="s">
        <v>4641</v>
      </c>
      <c r="AF276" s="19"/>
      <c r="AG276" s="19" t="s">
        <v>4642</v>
      </c>
      <c r="AH276" s="19" t="s">
        <v>3516</v>
      </c>
      <c r="AI276" s="19" t="s">
        <v>111</v>
      </c>
      <c r="AJ276" s="19" t="s">
        <v>4643</v>
      </c>
      <c r="AK276" s="19"/>
      <c r="AL276" s="19" t="s">
        <v>4644</v>
      </c>
      <c r="AM276" s="19" t="s">
        <v>4645</v>
      </c>
      <c r="AN276" s="19"/>
      <c r="AO276" s="19" t="s">
        <v>154</v>
      </c>
      <c r="AP276" s="19" t="s">
        <v>155</v>
      </c>
      <c r="AQ276" s="19" t="s">
        <v>117</v>
      </c>
      <c r="AR276" s="19" t="s">
        <v>156</v>
      </c>
      <c r="AS276" s="19" t="s">
        <v>157</v>
      </c>
      <c r="AT276" s="19" t="s">
        <v>158</v>
      </c>
      <c r="AU276" s="19"/>
      <c r="AV276" s="19" t="s">
        <v>122</v>
      </c>
      <c r="AW276" s="19"/>
      <c r="AX276" s="19" t="s">
        <v>124</v>
      </c>
      <c r="AY276" s="19" t="s">
        <v>159</v>
      </c>
      <c r="AZ276" s="19" t="s">
        <v>160</v>
      </c>
      <c r="BA276" s="20">
        <v>44676</v>
      </c>
      <c r="BB276" s="19" t="s">
        <v>331</v>
      </c>
      <c r="BC276" s="19" t="s">
        <v>4646</v>
      </c>
      <c r="BD276" s="19" t="s">
        <v>4647</v>
      </c>
      <c r="BE276" s="19" t="s">
        <v>130</v>
      </c>
      <c r="BF276" s="19" t="s">
        <v>4648</v>
      </c>
      <c r="BG276" s="19"/>
      <c r="BH276" s="19" t="s">
        <v>4649</v>
      </c>
      <c r="BI276" s="19" t="s">
        <v>4649</v>
      </c>
      <c r="BJ276" s="19" t="s">
        <v>166</v>
      </c>
      <c r="BK276" s="19" t="s">
        <v>167</v>
      </c>
      <c r="BL276" s="19" t="s">
        <v>168</v>
      </c>
      <c r="BM276" s="19" t="s">
        <v>169</v>
      </c>
      <c r="BN276" s="21">
        <v>53.459000000000003</v>
      </c>
      <c r="BO276" s="21">
        <v>2036.2533100000001</v>
      </c>
      <c r="BQ276" s="2"/>
      <c r="BR276" s="2"/>
      <c r="BS276" s="2"/>
      <c r="BT276" s="2"/>
      <c r="BU276" s="22"/>
      <c r="BV276" s="2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</row>
    <row r="277" spans="1:95" x14ac:dyDescent="0.25">
      <c r="A277" s="18">
        <v>274</v>
      </c>
      <c r="B277" s="19" t="s">
        <v>4650</v>
      </c>
      <c r="C277" s="19" t="s">
        <v>4651</v>
      </c>
      <c r="D277" s="20">
        <v>46022</v>
      </c>
      <c r="E277" s="20">
        <v>31695</v>
      </c>
      <c r="F277" s="19"/>
      <c r="G277" s="19"/>
      <c r="H277" s="19" t="s">
        <v>94</v>
      </c>
      <c r="I277" s="19"/>
      <c r="J277" s="19"/>
      <c r="K277" s="19"/>
      <c r="L277" s="19" t="s">
        <v>97</v>
      </c>
      <c r="M277" s="19" t="s">
        <v>98</v>
      </c>
      <c r="N277" s="19" t="s">
        <v>4652</v>
      </c>
      <c r="O277" s="19" t="s">
        <v>100</v>
      </c>
      <c r="P277" s="19"/>
      <c r="Q277" s="19"/>
      <c r="R277" s="19"/>
      <c r="S277" s="19"/>
      <c r="T277" s="19"/>
      <c r="U277" s="19"/>
      <c r="V277" s="19"/>
      <c r="W277" s="19"/>
      <c r="X277" s="19"/>
      <c r="Y277" s="19" t="s">
        <v>101</v>
      </c>
      <c r="Z277" s="19" t="s">
        <v>102</v>
      </c>
      <c r="AA277" s="19" t="s">
        <v>103</v>
      </c>
      <c r="AB277" s="19" t="s">
        <v>1744</v>
      </c>
      <c r="AC277" s="19" t="s">
        <v>1745</v>
      </c>
      <c r="AD277" s="19" t="s">
        <v>4653</v>
      </c>
      <c r="AE277" s="19" t="s">
        <v>4654</v>
      </c>
      <c r="AF277" s="19"/>
      <c r="AG277" s="19" t="s">
        <v>3837</v>
      </c>
      <c r="AH277" s="19" t="s">
        <v>149</v>
      </c>
      <c r="AI277" s="19" t="s">
        <v>111</v>
      </c>
      <c r="AJ277" s="19" t="s">
        <v>4655</v>
      </c>
      <c r="AK277" s="19"/>
      <c r="AL277" s="19"/>
      <c r="AM277" s="19" t="s">
        <v>4656</v>
      </c>
      <c r="AN277" s="19" t="s">
        <v>4657</v>
      </c>
      <c r="AO277" s="19" t="s">
        <v>835</v>
      </c>
      <c r="AP277" s="19" t="s">
        <v>836</v>
      </c>
      <c r="AQ277" s="19" t="s">
        <v>117</v>
      </c>
      <c r="AR277" s="19" t="s">
        <v>837</v>
      </c>
      <c r="AS277" s="19" t="s">
        <v>838</v>
      </c>
      <c r="AT277" s="19" t="s">
        <v>839</v>
      </c>
      <c r="AU277" s="19" t="s">
        <v>840</v>
      </c>
      <c r="AV277" s="19" t="s">
        <v>841</v>
      </c>
      <c r="AW277" s="19"/>
      <c r="AX277" s="19" t="s">
        <v>707</v>
      </c>
      <c r="AY277" s="19" t="s">
        <v>842</v>
      </c>
      <c r="AZ277" s="19" t="s">
        <v>843</v>
      </c>
      <c r="BA277" s="20">
        <v>45453</v>
      </c>
      <c r="BB277" s="19" t="s">
        <v>161</v>
      </c>
      <c r="BC277" s="19" t="s">
        <v>4658</v>
      </c>
      <c r="BD277" s="19" t="s">
        <v>148</v>
      </c>
      <c r="BE277" s="19" t="s">
        <v>130</v>
      </c>
      <c r="BF277" s="19" t="s">
        <v>4659</v>
      </c>
      <c r="BG277" s="19"/>
      <c r="BH277" s="19" t="s">
        <v>4660</v>
      </c>
      <c r="BI277" s="19" t="s">
        <v>4660</v>
      </c>
      <c r="BJ277" s="19" t="s">
        <v>194</v>
      </c>
      <c r="BK277" s="19" t="s">
        <v>195</v>
      </c>
      <c r="BL277" s="19" t="s">
        <v>122</v>
      </c>
      <c r="BM277" s="19" t="s">
        <v>196</v>
      </c>
      <c r="BN277" s="21">
        <v>3.9769999999999999</v>
      </c>
      <c r="BO277" s="21">
        <v>99.990927099999993</v>
      </c>
      <c r="BQ277" s="2"/>
      <c r="BR277" s="2"/>
      <c r="BS277" s="2"/>
      <c r="BT277" s="2"/>
      <c r="BU277" s="22"/>
      <c r="BV277" s="2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</row>
    <row r="278" spans="1:95" x14ac:dyDescent="0.25">
      <c r="A278" s="18">
        <v>275</v>
      </c>
      <c r="B278" s="19" t="s">
        <v>4661</v>
      </c>
      <c r="C278" s="19" t="s">
        <v>4662</v>
      </c>
      <c r="D278" s="20">
        <v>46022</v>
      </c>
      <c r="E278" s="20">
        <v>38175</v>
      </c>
      <c r="F278" s="19"/>
      <c r="G278" s="19"/>
      <c r="H278" s="19" t="s">
        <v>94</v>
      </c>
      <c r="I278" s="19"/>
      <c r="J278" s="19"/>
      <c r="K278" s="19"/>
      <c r="L278" s="19" t="s">
        <v>1262</v>
      </c>
      <c r="M278" s="19" t="s">
        <v>1263</v>
      </c>
      <c r="N278" s="19" t="s">
        <v>4663</v>
      </c>
      <c r="O278" s="19" t="s">
        <v>100</v>
      </c>
      <c r="P278" s="19"/>
      <c r="Q278" s="19"/>
      <c r="R278" s="19"/>
      <c r="S278" s="19"/>
      <c r="T278" s="19"/>
      <c r="U278" s="19"/>
      <c r="V278" s="19"/>
      <c r="W278" s="19"/>
      <c r="X278" s="19"/>
      <c r="Y278" s="19" t="s">
        <v>101</v>
      </c>
      <c r="Z278" s="19" t="s">
        <v>102</v>
      </c>
      <c r="AA278" s="19" t="s">
        <v>103</v>
      </c>
      <c r="AB278" s="19" t="s">
        <v>1744</v>
      </c>
      <c r="AC278" s="19" t="s">
        <v>1745</v>
      </c>
      <c r="AD278" s="19" t="s">
        <v>4664</v>
      </c>
      <c r="AE278" s="19" t="s">
        <v>4665</v>
      </c>
      <c r="AF278" s="19" t="s">
        <v>4666</v>
      </c>
      <c r="AG278" s="19" t="s">
        <v>2071</v>
      </c>
      <c r="AH278" s="19" t="s">
        <v>188</v>
      </c>
      <c r="AI278" s="19" t="s">
        <v>111</v>
      </c>
      <c r="AJ278" s="19" t="s">
        <v>4282</v>
      </c>
      <c r="AK278" s="19"/>
      <c r="AL278" s="19"/>
      <c r="AM278" s="19" t="s">
        <v>4667</v>
      </c>
      <c r="AN278" s="19" t="s">
        <v>4668</v>
      </c>
      <c r="AO278" s="19" t="s">
        <v>835</v>
      </c>
      <c r="AP278" s="19" t="s">
        <v>836</v>
      </c>
      <c r="AQ278" s="19" t="s">
        <v>117</v>
      </c>
      <c r="AR278" s="19" t="s">
        <v>837</v>
      </c>
      <c r="AS278" s="19" t="s">
        <v>838</v>
      </c>
      <c r="AT278" s="19" t="s">
        <v>839</v>
      </c>
      <c r="AU278" s="19" t="s">
        <v>840</v>
      </c>
      <c r="AV278" s="19" t="s">
        <v>841</v>
      </c>
      <c r="AW278" s="19"/>
      <c r="AX278" s="19" t="s">
        <v>707</v>
      </c>
      <c r="AY278" s="19" t="s">
        <v>842</v>
      </c>
      <c r="AZ278" s="19" t="s">
        <v>843</v>
      </c>
      <c r="BA278" s="20">
        <v>45453</v>
      </c>
      <c r="BB278" s="19" t="s">
        <v>331</v>
      </c>
      <c r="BC278" s="19" t="s">
        <v>4669</v>
      </c>
      <c r="BD278" s="19" t="s">
        <v>481</v>
      </c>
      <c r="BE278" s="19" t="s">
        <v>130</v>
      </c>
      <c r="BF278" s="19" t="s">
        <v>4670</v>
      </c>
      <c r="BG278" s="19"/>
      <c r="BH278" s="19" t="s">
        <v>4671</v>
      </c>
      <c r="BI278" s="19" t="s">
        <v>4671</v>
      </c>
      <c r="BJ278" s="19" t="s">
        <v>194</v>
      </c>
      <c r="BK278" s="19" t="s">
        <v>195</v>
      </c>
      <c r="BL278" s="19" t="s">
        <v>122</v>
      </c>
      <c r="BM278" s="19" t="s">
        <v>196</v>
      </c>
      <c r="BN278" s="21">
        <v>41.76</v>
      </c>
      <c r="BO278" s="21">
        <v>1049.942448</v>
      </c>
      <c r="BQ278" s="2"/>
      <c r="BR278" s="2"/>
      <c r="BS278" s="2"/>
      <c r="BT278" s="2"/>
      <c r="BU278" s="22"/>
      <c r="BV278" s="2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</row>
    <row r="279" spans="1:95" x14ac:dyDescent="0.25">
      <c r="A279" s="18">
        <v>276</v>
      </c>
      <c r="B279" s="19" t="s">
        <v>4672</v>
      </c>
      <c r="C279" s="19" t="s">
        <v>4673</v>
      </c>
      <c r="D279" s="20">
        <v>46022</v>
      </c>
      <c r="E279" s="20">
        <v>32874</v>
      </c>
      <c r="F279" s="19"/>
      <c r="G279" s="19"/>
      <c r="H279" s="19" t="s">
        <v>94</v>
      </c>
      <c r="I279" s="19"/>
      <c r="J279" s="19" t="s">
        <v>2625</v>
      </c>
      <c r="K279" s="19" t="s">
        <v>2626</v>
      </c>
      <c r="L279" s="19" t="s">
        <v>687</v>
      </c>
      <c r="M279" s="19" t="s">
        <v>688</v>
      </c>
      <c r="N279" s="19" t="s">
        <v>4674</v>
      </c>
      <c r="O279" s="19" t="s">
        <v>100</v>
      </c>
      <c r="P279" s="19"/>
      <c r="Q279" s="19"/>
      <c r="R279" s="19"/>
      <c r="S279" s="19"/>
      <c r="T279" s="19"/>
      <c r="U279" s="19"/>
      <c r="V279" s="19"/>
      <c r="W279" s="19"/>
      <c r="X279" s="19"/>
      <c r="Y279" s="19" t="s">
        <v>101</v>
      </c>
      <c r="Z279" s="19" t="s">
        <v>102</v>
      </c>
      <c r="AA279" s="19" t="s">
        <v>103</v>
      </c>
      <c r="AB279" s="19" t="s">
        <v>402</v>
      </c>
      <c r="AC279" s="19" t="s">
        <v>403</v>
      </c>
      <c r="AD279" s="19" t="s">
        <v>4675</v>
      </c>
      <c r="AE279" s="19" t="s">
        <v>4676</v>
      </c>
      <c r="AF279" s="19"/>
      <c r="AG279" s="19" t="s">
        <v>4677</v>
      </c>
      <c r="AH279" s="19" t="s">
        <v>124</v>
      </c>
      <c r="AI279" s="19" t="s">
        <v>111</v>
      </c>
      <c r="AJ279" s="19" t="s">
        <v>4678</v>
      </c>
      <c r="AK279" s="19"/>
      <c r="AL279" s="19"/>
      <c r="AM279" s="19" t="s">
        <v>4679</v>
      </c>
      <c r="AN279" s="19" t="s">
        <v>4680</v>
      </c>
      <c r="AO279" s="19" t="s">
        <v>4681</v>
      </c>
      <c r="AP279" s="19" t="s">
        <v>4682</v>
      </c>
      <c r="AQ279" s="19" t="s">
        <v>117</v>
      </c>
      <c r="AR279" s="19" t="s">
        <v>4683</v>
      </c>
      <c r="AS279" s="19" t="s">
        <v>4684</v>
      </c>
      <c r="AT279" s="19" t="s">
        <v>4685</v>
      </c>
      <c r="AU279" s="19"/>
      <c r="AV279" s="19" t="s">
        <v>1955</v>
      </c>
      <c r="AW279" s="19" t="s">
        <v>4686</v>
      </c>
      <c r="AX279" s="19" t="s">
        <v>901</v>
      </c>
      <c r="AY279" s="19" t="s">
        <v>4687</v>
      </c>
      <c r="AZ279" s="19" t="s">
        <v>4688</v>
      </c>
      <c r="BA279" s="20">
        <v>45908</v>
      </c>
      <c r="BB279" s="19" t="s">
        <v>781</v>
      </c>
      <c r="BC279" s="19" t="s">
        <v>4689</v>
      </c>
      <c r="BD279" s="19" t="s">
        <v>4689</v>
      </c>
      <c r="BE279" s="19" t="s">
        <v>130</v>
      </c>
      <c r="BF279" s="19" t="s">
        <v>4690</v>
      </c>
      <c r="BG279" s="19" t="s">
        <v>4691</v>
      </c>
      <c r="BH279" s="19" t="s">
        <v>4692</v>
      </c>
      <c r="BI279" s="19" t="s">
        <v>4692</v>
      </c>
      <c r="BJ279" s="19" t="s">
        <v>166</v>
      </c>
      <c r="BK279" s="19" t="s">
        <v>4693</v>
      </c>
      <c r="BL279" s="19" t="s">
        <v>1955</v>
      </c>
      <c r="BM279" s="19" t="s">
        <v>196</v>
      </c>
      <c r="BN279" s="21">
        <v>0</v>
      </c>
      <c r="BO279" s="21">
        <v>0</v>
      </c>
      <c r="BQ279" s="2"/>
      <c r="BR279" s="2"/>
      <c r="BS279" s="2"/>
      <c r="BT279" s="2"/>
      <c r="BU279" s="22"/>
      <c r="BV279" s="2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</row>
    <row r="280" spans="1:95" x14ac:dyDescent="0.25">
      <c r="A280" s="18">
        <v>277</v>
      </c>
      <c r="B280" s="19" t="s">
        <v>4694</v>
      </c>
      <c r="C280" s="19" t="s">
        <v>4695</v>
      </c>
      <c r="D280" s="20">
        <v>45992</v>
      </c>
      <c r="E280" s="20">
        <v>37170</v>
      </c>
      <c r="F280" s="19" t="s">
        <v>4696</v>
      </c>
      <c r="G280" s="19" t="s">
        <v>139</v>
      </c>
      <c r="H280" s="19" t="s">
        <v>94</v>
      </c>
      <c r="I280" s="19"/>
      <c r="J280" s="19"/>
      <c r="K280" s="19"/>
      <c r="L280" s="19" t="s">
        <v>244</v>
      </c>
      <c r="M280" s="19" t="s">
        <v>245</v>
      </c>
      <c r="N280" s="19" t="s">
        <v>4697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 t="s">
        <v>101</v>
      </c>
      <c r="Z280" s="19" t="s">
        <v>102</v>
      </c>
      <c r="AA280" s="19" t="s">
        <v>103</v>
      </c>
      <c r="AB280" s="19" t="s">
        <v>143</v>
      </c>
      <c r="AC280" s="19" t="s">
        <v>144</v>
      </c>
      <c r="AD280" s="19" t="s">
        <v>4698</v>
      </c>
      <c r="AE280" s="19" t="s">
        <v>2858</v>
      </c>
      <c r="AF280" s="19"/>
      <c r="AG280" s="19" t="s">
        <v>4699</v>
      </c>
      <c r="AH280" s="19" t="s">
        <v>2860</v>
      </c>
      <c r="AI280" s="19" t="s">
        <v>111</v>
      </c>
      <c r="AJ280" s="19" t="s">
        <v>4700</v>
      </c>
      <c r="AK280" s="19"/>
      <c r="AL280" s="19" t="s">
        <v>4701</v>
      </c>
      <c r="AM280" s="19" t="s">
        <v>4702</v>
      </c>
      <c r="AN280" s="19" t="s">
        <v>4703</v>
      </c>
      <c r="AO280" s="19" t="s">
        <v>154</v>
      </c>
      <c r="AP280" s="19" t="s">
        <v>155</v>
      </c>
      <c r="AQ280" s="19" t="s">
        <v>117</v>
      </c>
      <c r="AR280" s="19" t="s">
        <v>156</v>
      </c>
      <c r="AS280" s="19" t="s">
        <v>157</v>
      </c>
      <c r="AT280" s="19" t="s">
        <v>158</v>
      </c>
      <c r="AU280" s="19"/>
      <c r="AV280" s="19" t="s">
        <v>122</v>
      </c>
      <c r="AW280" s="19"/>
      <c r="AX280" s="19" t="s">
        <v>124</v>
      </c>
      <c r="AY280" s="19" t="s">
        <v>159</v>
      </c>
      <c r="AZ280" s="19" t="s">
        <v>160</v>
      </c>
      <c r="BA280" s="20">
        <v>44676</v>
      </c>
      <c r="BB280" s="19" t="s">
        <v>1388</v>
      </c>
      <c r="BC280" s="19" t="s">
        <v>4704</v>
      </c>
      <c r="BD280" s="19" t="s">
        <v>4699</v>
      </c>
      <c r="BE280" s="19" t="s">
        <v>130</v>
      </c>
      <c r="BF280" s="19" t="s">
        <v>4705</v>
      </c>
      <c r="BG280" s="19"/>
      <c r="BH280" s="19" t="s">
        <v>4706</v>
      </c>
      <c r="BI280" s="19" t="s">
        <v>4706</v>
      </c>
      <c r="BJ280" s="19" t="s">
        <v>166</v>
      </c>
      <c r="BK280" s="19" t="s">
        <v>167</v>
      </c>
      <c r="BL280" s="19" t="s">
        <v>168</v>
      </c>
      <c r="BM280" s="19" t="s">
        <v>169</v>
      </c>
      <c r="BN280" s="21">
        <v>2.653</v>
      </c>
      <c r="BO280" s="21">
        <v>101.05277</v>
      </c>
      <c r="BQ280" s="2"/>
      <c r="BR280" s="2"/>
      <c r="BS280" s="2"/>
      <c r="BT280" s="2"/>
      <c r="BU280" s="22"/>
      <c r="BV280" s="2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</row>
    <row r="281" spans="1:95" x14ac:dyDescent="0.25">
      <c r="A281" s="18">
        <v>278</v>
      </c>
      <c r="B281" s="19" t="s">
        <v>4707</v>
      </c>
      <c r="C281" s="19" t="s">
        <v>4708</v>
      </c>
      <c r="D281" s="20">
        <v>45992</v>
      </c>
      <c r="E281" s="20">
        <v>36140</v>
      </c>
      <c r="F281" s="19" t="s">
        <v>4709</v>
      </c>
      <c r="G281" s="19" t="s">
        <v>139</v>
      </c>
      <c r="H281" s="19" t="s">
        <v>94</v>
      </c>
      <c r="I281" s="19"/>
      <c r="J281" s="19"/>
      <c r="K281" s="19"/>
      <c r="L281" s="19" t="s">
        <v>244</v>
      </c>
      <c r="M281" s="19" t="s">
        <v>245</v>
      </c>
      <c r="N281" s="19" t="s">
        <v>4710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 t="s">
        <v>101</v>
      </c>
      <c r="Z281" s="19" t="s">
        <v>102</v>
      </c>
      <c r="AA281" s="19" t="s">
        <v>103</v>
      </c>
      <c r="AB281" s="19" t="s">
        <v>143</v>
      </c>
      <c r="AC281" s="19" t="s">
        <v>144</v>
      </c>
      <c r="AD281" s="19" t="s">
        <v>4711</v>
      </c>
      <c r="AE281" s="19" t="s">
        <v>4712</v>
      </c>
      <c r="AF281" s="19" t="s">
        <v>4713</v>
      </c>
      <c r="AG281" s="19" t="s">
        <v>4714</v>
      </c>
      <c r="AH281" s="19" t="s">
        <v>327</v>
      </c>
      <c r="AI281" s="19" t="s">
        <v>111</v>
      </c>
      <c r="AJ281" s="19" t="s">
        <v>4715</v>
      </c>
      <c r="AK281" s="19"/>
      <c r="AL281" s="19"/>
      <c r="AM281" s="19" t="s">
        <v>4716</v>
      </c>
      <c r="AN281" s="19" t="s">
        <v>4717</v>
      </c>
      <c r="AO281" s="19" t="s">
        <v>255</v>
      </c>
      <c r="AP281" s="19" t="s">
        <v>256</v>
      </c>
      <c r="AQ281" s="19" t="s">
        <v>117</v>
      </c>
      <c r="AR281" s="19" t="s">
        <v>257</v>
      </c>
      <c r="AS281" s="19" t="s">
        <v>258</v>
      </c>
      <c r="AT281" s="19" t="s">
        <v>259</v>
      </c>
      <c r="AU281" s="19" t="s">
        <v>260</v>
      </c>
      <c r="AV281" s="19" t="s">
        <v>260</v>
      </c>
      <c r="AW281" s="19" t="s">
        <v>261</v>
      </c>
      <c r="AX281" s="19" t="s">
        <v>262</v>
      </c>
      <c r="AY281" s="19" t="s">
        <v>263</v>
      </c>
      <c r="AZ281" s="19" t="s">
        <v>264</v>
      </c>
      <c r="BA281" s="20">
        <v>43627</v>
      </c>
      <c r="BB281" s="19" t="s">
        <v>444</v>
      </c>
      <c r="BC281" s="19" t="s">
        <v>4718</v>
      </c>
      <c r="BD281" s="19" t="s">
        <v>4719</v>
      </c>
      <c r="BE281" s="19" t="s">
        <v>130</v>
      </c>
      <c r="BF281" s="19" t="s">
        <v>4720</v>
      </c>
      <c r="BG281" s="19"/>
      <c r="BH281" s="19" t="s">
        <v>4721</v>
      </c>
      <c r="BI281" s="19" t="s">
        <v>4721</v>
      </c>
      <c r="BJ281" s="19" t="s">
        <v>166</v>
      </c>
      <c r="BK281" s="19" t="s">
        <v>167</v>
      </c>
      <c r="BL281" s="19" t="s">
        <v>168</v>
      </c>
      <c r="BM281" s="19" t="s">
        <v>169</v>
      </c>
      <c r="BN281" s="21">
        <v>2.653</v>
      </c>
      <c r="BO281" s="21">
        <v>101.05277</v>
      </c>
      <c r="BQ281" s="2"/>
      <c r="BR281" s="2"/>
      <c r="BS281" s="2"/>
      <c r="BT281" s="2"/>
      <c r="BU281" s="22"/>
      <c r="BV281" s="2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</row>
    <row r="282" spans="1:95" x14ac:dyDescent="0.25">
      <c r="A282" s="18">
        <v>279</v>
      </c>
      <c r="B282" s="19" t="s">
        <v>4722</v>
      </c>
      <c r="C282" s="19" t="s">
        <v>4723</v>
      </c>
      <c r="D282" s="20">
        <v>45992</v>
      </c>
      <c r="E282" s="20">
        <v>34652</v>
      </c>
      <c r="F282" s="19" t="s">
        <v>4724</v>
      </c>
      <c r="G282" s="19" t="s">
        <v>139</v>
      </c>
      <c r="H282" s="19" t="s">
        <v>94</v>
      </c>
      <c r="I282" s="19"/>
      <c r="J282" s="19"/>
      <c r="K282" s="19"/>
      <c r="L282" s="19" t="s">
        <v>244</v>
      </c>
      <c r="M282" s="19" t="s">
        <v>245</v>
      </c>
      <c r="N282" s="19" t="s">
        <v>4725</v>
      </c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 t="s">
        <v>101</v>
      </c>
      <c r="Z282" s="19" t="s">
        <v>102</v>
      </c>
      <c r="AA282" s="19" t="s">
        <v>103</v>
      </c>
      <c r="AB282" s="19" t="s">
        <v>143</v>
      </c>
      <c r="AC282" s="19" t="s">
        <v>144</v>
      </c>
      <c r="AD282" s="19" t="s">
        <v>4726</v>
      </c>
      <c r="AE282" s="19" t="s">
        <v>4727</v>
      </c>
      <c r="AF282" s="19" t="s">
        <v>4728</v>
      </c>
      <c r="AG282" s="19" t="s">
        <v>4010</v>
      </c>
      <c r="AH282" s="19" t="s">
        <v>1029</v>
      </c>
      <c r="AI282" s="19" t="s">
        <v>111</v>
      </c>
      <c r="AJ282" s="19" t="s">
        <v>4729</v>
      </c>
      <c r="AK282" s="19"/>
      <c r="AL282" s="19" t="s">
        <v>4730</v>
      </c>
      <c r="AM282" s="19" t="s">
        <v>4731</v>
      </c>
      <c r="AN282" s="19" t="s">
        <v>4732</v>
      </c>
      <c r="AO282" s="19" t="s">
        <v>154</v>
      </c>
      <c r="AP282" s="19" t="s">
        <v>155</v>
      </c>
      <c r="AQ282" s="19" t="s">
        <v>117</v>
      </c>
      <c r="AR282" s="19" t="s">
        <v>156</v>
      </c>
      <c r="AS282" s="19" t="s">
        <v>157</v>
      </c>
      <c r="AT282" s="19" t="s">
        <v>158</v>
      </c>
      <c r="AU282" s="19"/>
      <c r="AV282" s="19" t="s">
        <v>122</v>
      </c>
      <c r="AW282" s="19"/>
      <c r="AX282" s="19" t="s">
        <v>124</v>
      </c>
      <c r="AY282" s="19" t="s">
        <v>159</v>
      </c>
      <c r="AZ282" s="19" t="s">
        <v>160</v>
      </c>
      <c r="BA282" s="20">
        <v>44676</v>
      </c>
      <c r="BB282" s="19" t="s">
        <v>236</v>
      </c>
      <c r="BC282" s="19" t="s">
        <v>2294</v>
      </c>
      <c r="BD282" s="19" t="s">
        <v>2294</v>
      </c>
      <c r="BE282" s="19" t="s">
        <v>130</v>
      </c>
      <c r="BF282" s="19" t="s">
        <v>4733</v>
      </c>
      <c r="BG282" s="19"/>
      <c r="BH282" s="19" t="s">
        <v>4734</v>
      </c>
      <c r="BI282" s="19" t="s">
        <v>4734</v>
      </c>
      <c r="BJ282" s="19" t="s">
        <v>166</v>
      </c>
      <c r="BK282" s="19" t="s">
        <v>167</v>
      </c>
      <c r="BL282" s="19" t="s">
        <v>168</v>
      </c>
      <c r="BM282" s="19" t="s">
        <v>169</v>
      </c>
      <c r="BN282" s="21">
        <v>2.653</v>
      </c>
      <c r="BO282" s="21">
        <v>101.05277</v>
      </c>
      <c r="BQ282" s="2"/>
      <c r="BR282" s="2"/>
      <c r="BS282" s="2"/>
      <c r="BT282" s="2"/>
      <c r="BU282" s="22"/>
      <c r="BV282" s="2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</row>
    <row r="283" spans="1:95" x14ac:dyDescent="0.25">
      <c r="A283" s="18">
        <v>280</v>
      </c>
      <c r="B283" s="19" t="s">
        <v>4735</v>
      </c>
      <c r="C283" s="19" t="s">
        <v>4736</v>
      </c>
      <c r="D283" s="20">
        <v>45999</v>
      </c>
      <c r="E283" s="20">
        <v>33903</v>
      </c>
      <c r="F283" s="19" t="s">
        <v>4737</v>
      </c>
      <c r="G283" s="19" t="s">
        <v>139</v>
      </c>
      <c r="H283" s="19" t="s">
        <v>94</v>
      </c>
      <c r="I283" s="19"/>
      <c r="J283" s="19"/>
      <c r="K283" s="19"/>
      <c r="L283" s="19" t="s">
        <v>244</v>
      </c>
      <c r="M283" s="19" t="s">
        <v>245</v>
      </c>
      <c r="N283" s="19" t="s">
        <v>4738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 t="s">
        <v>101</v>
      </c>
      <c r="Z283" s="19" t="s">
        <v>102</v>
      </c>
      <c r="AA283" s="19" t="s">
        <v>103</v>
      </c>
      <c r="AB283" s="19" t="s">
        <v>2051</v>
      </c>
      <c r="AC283" s="19" t="s">
        <v>2052</v>
      </c>
      <c r="AD283" s="19" t="s">
        <v>4739</v>
      </c>
      <c r="AE283" s="19" t="s">
        <v>4740</v>
      </c>
      <c r="AF283" s="19" t="s">
        <v>4741</v>
      </c>
      <c r="AG283" s="19" t="s">
        <v>4742</v>
      </c>
      <c r="AH283" s="19" t="s">
        <v>124</v>
      </c>
      <c r="AI283" s="19" t="s">
        <v>111</v>
      </c>
      <c r="AJ283" s="19" t="s">
        <v>778</v>
      </c>
      <c r="AK283" s="19"/>
      <c r="AL283" s="19"/>
      <c r="AM283" s="19" t="s">
        <v>4743</v>
      </c>
      <c r="AN283" s="19" t="s">
        <v>4744</v>
      </c>
      <c r="AO283" s="19" t="s">
        <v>255</v>
      </c>
      <c r="AP283" s="19" t="s">
        <v>256</v>
      </c>
      <c r="AQ283" s="19" t="s">
        <v>117</v>
      </c>
      <c r="AR283" s="19" t="s">
        <v>257</v>
      </c>
      <c r="AS283" s="19" t="s">
        <v>258</v>
      </c>
      <c r="AT283" s="19" t="s">
        <v>259</v>
      </c>
      <c r="AU283" s="19" t="s">
        <v>260</v>
      </c>
      <c r="AV283" s="19" t="s">
        <v>260</v>
      </c>
      <c r="AW283" s="19" t="s">
        <v>261</v>
      </c>
      <c r="AX283" s="19" t="s">
        <v>262</v>
      </c>
      <c r="AY283" s="19" t="s">
        <v>263</v>
      </c>
      <c r="AZ283" s="19" t="s">
        <v>264</v>
      </c>
      <c r="BA283" s="20">
        <v>43627</v>
      </c>
      <c r="BB283" s="19" t="s">
        <v>444</v>
      </c>
      <c r="BC283" s="19" t="s">
        <v>4745</v>
      </c>
      <c r="BD283" s="19" t="s">
        <v>219</v>
      </c>
      <c r="BE283" s="19" t="s">
        <v>130</v>
      </c>
      <c r="BF283" s="19" t="s">
        <v>4746</v>
      </c>
      <c r="BG283" s="19"/>
      <c r="BH283" s="19" t="s">
        <v>4747</v>
      </c>
      <c r="BI283" s="19" t="s">
        <v>4747</v>
      </c>
      <c r="BJ283" s="19" t="s">
        <v>166</v>
      </c>
      <c r="BK283" s="19" t="s">
        <v>167</v>
      </c>
      <c r="BL283" s="19" t="s">
        <v>168</v>
      </c>
      <c r="BM283" s="19" t="s">
        <v>169</v>
      </c>
      <c r="BN283" s="21">
        <v>465.387</v>
      </c>
      <c r="BO283" s="21">
        <v>5154.3937185000004</v>
      </c>
      <c r="BQ283" s="2"/>
      <c r="BR283" s="2"/>
      <c r="BS283" s="2"/>
      <c r="BT283" s="2"/>
      <c r="BU283" s="22"/>
      <c r="BV283" s="2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</row>
    <row r="284" spans="1:95" x14ac:dyDescent="0.25">
      <c r="A284" s="18">
        <v>281</v>
      </c>
      <c r="B284" s="19" t="s">
        <v>4748</v>
      </c>
      <c r="C284" s="19" t="s">
        <v>4749</v>
      </c>
      <c r="D284" s="20">
        <v>45992</v>
      </c>
      <c r="E284" s="20">
        <v>35796</v>
      </c>
      <c r="F284" s="19"/>
      <c r="G284" s="19"/>
      <c r="H284" s="19" t="s">
        <v>94</v>
      </c>
      <c r="I284" s="19"/>
      <c r="J284" s="19"/>
      <c r="K284" s="19"/>
      <c r="L284" s="19" t="s">
        <v>140</v>
      </c>
      <c r="M284" s="19" t="s">
        <v>141</v>
      </c>
      <c r="N284" s="19" t="s">
        <v>4750</v>
      </c>
      <c r="O284" s="19" t="s">
        <v>100</v>
      </c>
      <c r="P284" s="19"/>
      <c r="Q284" s="19"/>
      <c r="R284" s="19"/>
      <c r="S284" s="19"/>
      <c r="T284" s="19"/>
      <c r="U284" s="19"/>
      <c r="V284" s="19"/>
      <c r="W284" s="19"/>
      <c r="X284" s="19"/>
      <c r="Y284" s="19" t="s">
        <v>101</v>
      </c>
      <c r="Z284" s="19" t="s">
        <v>102</v>
      </c>
      <c r="AA284" s="19" t="s">
        <v>103</v>
      </c>
      <c r="AB284" s="19" t="s">
        <v>812</v>
      </c>
      <c r="AC284" s="19" t="s">
        <v>813</v>
      </c>
      <c r="AD284" s="19" t="s">
        <v>4751</v>
      </c>
      <c r="AE284" s="19" t="s">
        <v>4752</v>
      </c>
      <c r="AF284" s="19" t="s">
        <v>4753</v>
      </c>
      <c r="AG284" s="19" t="s">
        <v>4754</v>
      </c>
      <c r="AH284" s="19" t="s">
        <v>376</v>
      </c>
      <c r="AI284" s="19" t="s">
        <v>111</v>
      </c>
      <c r="AJ284" s="19" t="s">
        <v>4755</v>
      </c>
      <c r="AK284" s="19"/>
      <c r="AL284" s="19"/>
      <c r="AM284" s="19" t="s">
        <v>4756</v>
      </c>
      <c r="AN284" s="19" t="s">
        <v>4757</v>
      </c>
      <c r="AO284" s="19" t="s">
        <v>579</v>
      </c>
      <c r="AP284" s="19" t="s">
        <v>580</v>
      </c>
      <c r="AQ284" s="19" t="s">
        <v>117</v>
      </c>
      <c r="AR284" s="19" t="s">
        <v>581</v>
      </c>
      <c r="AS284" s="19" t="s">
        <v>582</v>
      </c>
      <c r="AT284" s="19" t="s">
        <v>583</v>
      </c>
      <c r="AU284" s="19" t="s">
        <v>584</v>
      </c>
      <c r="AV284" s="19" t="s">
        <v>168</v>
      </c>
      <c r="AW284" s="19" t="s">
        <v>585</v>
      </c>
      <c r="AX284" s="19" t="s">
        <v>262</v>
      </c>
      <c r="AY284" s="19" t="s">
        <v>586</v>
      </c>
      <c r="AZ284" s="19" t="s">
        <v>587</v>
      </c>
      <c r="BA284" s="20">
        <v>44494</v>
      </c>
      <c r="BB284" s="19" t="s">
        <v>3301</v>
      </c>
      <c r="BC284" s="19" t="s">
        <v>4754</v>
      </c>
      <c r="BD284" s="19" t="s">
        <v>4754</v>
      </c>
      <c r="BE284" s="19" t="s">
        <v>737</v>
      </c>
      <c r="BF284" s="19" t="s">
        <v>4758</v>
      </c>
      <c r="BG284" s="19"/>
      <c r="BH284" s="19" t="s">
        <v>4759</v>
      </c>
      <c r="BI284" s="19" t="s">
        <v>4759</v>
      </c>
      <c r="BJ284" s="19" t="s">
        <v>194</v>
      </c>
      <c r="BK284" s="19" t="s">
        <v>591</v>
      </c>
      <c r="BL284" s="19" t="s">
        <v>122</v>
      </c>
      <c r="BM284" s="19" t="s">
        <v>592</v>
      </c>
      <c r="BN284" s="21">
        <v>0</v>
      </c>
      <c r="BO284" s="21">
        <v>0</v>
      </c>
      <c r="BQ284" s="2"/>
      <c r="BR284" s="2"/>
      <c r="BS284" s="2"/>
      <c r="BT284" s="2"/>
      <c r="BU284" s="22"/>
      <c r="BV284" s="2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</row>
    <row r="285" spans="1:95" x14ac:dyDescent="0.25">
      <c r="A285" s="18">
        <v>282</v>
      </c>
      <c r="B285" s="19" t="s">
        <v>4760</v>
      </c>
      <c r="C285" s="19" t="s">
        <v>4761</v>
      </c>
      <c r="D285" s="20">
        <v>45999</v>
      </c>
      <c r="E285" s="20">
        <v>35332</v>
      </c>
      <c r="F285" s="19"/>
      <c r="G285" s="19"/>
      <c r="H285" s="19" t="s">
        <v>94</v>
      </c>
      <c r="I285" s="19"/>
      <c r="J285" s="19"/>
      <c r="K285" s="19"/>
      <c r="L285" s="19" t="s">
        <v>467</v>
      </c>
      <c r="M285" s="19" t="s">
        <v>468</v>
      </c>
      <c r="N285" s="19" t="s">
        <v>4762</v>
      </c>
      <c r="O285" s="19" t="s">
        <v>100</v>
      </c>
      <c r="P285" s="19"/>
      <c r="Q285" s="19"/>
      <c r="R285" s="19"/>
      <c r="S285" s="19"/>
      <c r="T285" s="19"/>
      <c r="U285" s="19"/>
      <c r="V285" s="19"/>
      <c r="W285" s="19"/>
      <c r="X285" s="19"/>
      <c r="Y285" s="19" t="s">
        <v>101</v>
      </c>
      <c r="Z285" s="19" t="s">
        <v>102</v>
      </c>
      <c r="AA285" s="19" t="s">
        <v>103</v>
      </c>
      <c r="AB285" s="19" t="s">
        <v>850</v>
      </c>
      <c r="AC285" s="19" t="s">
        <v>851</v>
      </c>
      <c r="AD285" s="19" t="s">
        <v>4763</v>
      </c>
      <c r="AE285" s="19" t="s">
        <v>4764</v>
      </c>
      <c r="AF285" s="19" t="s">
        <v>4765</v>
      </c>
      <c r="AG285" s="19" t="s">
        <v>122</v>
      </c>
      <c r="AH285" s="19" t="s">
        <v>124</v>
      </c>
      <c r="AI285" s="19" t="s">
        <v>111</v>
      </c>
      <c r="AJ285" s="19" t="s">
        <v>2164</v>
      </c>
      <c r="AK285" s="19" t="s">
        <v>4766</v>
      </c>
      <c r="AL285" s="19" t="s">
        <v>4767</v>
      </c>
      <c r="AM285" s="19" t="s">
        <v>4768</v>
      </c>
      <c r="AN285" s="19" t="s">
        <v>4769</v>
      </c>
      <c r="AO285" s="19" t="s">
        <v>4770</v>
      </c>
      <c r="AP285" s="19" t="s">
        <v>4771</v>
      </c>
      <c r="AQ285" s="19" t="s">
        <v>117</v>
      </c>
      <c r="AR285" s="19" t="s">
        <v>4772</v>
      </c>
      <c r="AS285" s="19" t="s">
        <v>4773</v>
      </c>
      <c r="AT285" s="19" t="s">
        <v>4774</v>
      </c>
      <c r="AU285" s="19" t="s">
        <v>4765</v>
      </c>
      <c r="AV285" s="19" t="s">
        <v>122</v>
      </c>
      <c r="AW285" s="19" t="s">
        <v>2164</v>
      </c>
      <c r="AX285" s="19" t="s">
        <v>901</v>
      </c>
      <c r="AY285" s="19" t="s">
        <v>4775</v>
      </c>
      <c r="AZ285" s="19" t="s">
        <v>4776</v>
      </c>
      <c r="BA285" s="20">
        <v>44370</v>
      </c>
      <c r="BB285" s="19" t="s">
        <v>265</v>
      </c>
      <c r="BC285" s="19" t="s">
        <v>4777</v>
      </c>
      <c r="BD285" s="19" t="s">
        <v>219</v>
      </c>
      <c r="BE285" s="19" t="s">
        <v>130</v>
      </c>
      <c r="BF285" s="19" t="s">
        <v>4778</v>
      </c>
      <c r="BG285" s="19"/>
      <c r="BH285" s="19" t="s">
        <v>4779</v>
      </c>
      <c r="BI285" s="19" t="s">
        <v>4779</v>
      </c>
      <c r="BJ285" s="19" t="s">
        <v>194</v>
      </c>
      <c r="BK285" s="19" t="s">
        <v>591</v>
      </c>
      <c r="BL285" s="19" t="s">
        <v>122</v>
      </c>
      <c r="BM285" s="19" t="s">
        <v>592</v>
      </c>
      <c r="BN285" s="21">
        <v>3662.8209999999999</v>
      </c>
      <c r="BO285" s="21">
        <v>402873.68179</v>
      </c>
      <c r="BQ285" s="2"/>
      <c r="BR285" s="2"/>
      <c r="BS285" s="2"/>
      <c r="BT285" s="2"/>
      <c r="BU285" s="22"/>
      <c r="BV285" s="2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</row>
    <row r="286" spans="1:95" x14ac:dyDescent="0.25">
      <c r="A286" s="18">
        <v>283</v>
      </c>
      <c r="B286" s="19" t="s">
        <v>4780</v>
      </c>
      <c r="C286" s="19" t="s">
        <v>4781</v>
      </c>
      <c r="D286" s="20">
        <v>45999</v>
      </c>
      <c r="E286" s="20">
        <v>33258</v>
      </c>
      <c r="F286" s="19"/>
      <c r="G286" s="19"/>
      <c r="H286" s="19" t="s">
        <v>94</v>
      </c>
      <c r="I286" s="19"/>
      <c r="J286" s="19"/>
      <c r="K286" s="19"/>
      <c r="L286" s="19" t="s">
        <v>97</v>
      </c>
      <c r="M286" s="19" t="s">
        <v>98</v>
      </c>
      <c r="N286" s="19" t="s">
        <v>4782</v>
      </c>
      <c r="O286" s="19" t="s">
        <v>100</v>
      </c>
      <c r="P286" s="19"/>
      <c r="Q286" s="19"/>
      <c r="R286" s="19"/>
      <c r="S286" s="19"/>
      <c r="T286" s="19"/>
      <c r="U286" s="19"/>
      <c r="V286" s="19"/>
      <c r="W286" s="19"/>
      <c r="X286" s="19"/>
      <c r="Y286" s="19" t="s">
        <v>101</v>
      </c>
      <c r="Z286" s="19" t="s">
        <v>102</v>
      </c>
      <c r="AA286" s="19" t="s">
        <v>103</v>
      </c>
      <c r="AB286" s="19" t="s">
        <v>402</v>
      </c>
      <c r="AC286" s="19" t="s">
        <v>403</v>
      </c>
      <c r="AD286" s="19" t="s">
        <v>4783</v>
      </c>
      <c r="AE286" s="19" t="s">
        <v>4784</v>
      </c>
      <c r="AF286" s="19"/>
      <c r="AG286" s="19" t="s">
        <v>392</v>
      </c>
      <c r="AH286" s="19" t="s">
        <v>188</v>
      </c>
      <c r="AI286" s="19" t="s">
        <v>111</v>
      </c>
      <c r="AJ286" s="19" t="s">
        <v>4785</v>
      </c>
      <c r="AK286" s="19"/>
      <c r="AL286" s="19"/>
      <c r="AM286" s="19" t="s">
        <v>4786</v>
      </c>
      <c r="AN286" s="19" t="s">
        <v>4787</v>
      </c>
      <c r="AO286" s="19" t="s">
        <v>1699</v>
      </c>
      <c r="AP286" s="19" t="s">
        <v>1700</v>
      </c>
      <c r="AQ286" s="19" t="s">
        <v>94</v>
      </c>
      <c r="AR286" s="19" t="s">
        <v>1701</v>
      </c>
      <c r="AS286" s="19" t="s">
        <v>1702</v>
      </c>
      <c r="AT286" s="19" t="s">
        <v>1703</v>
      </c>
      <c r="AU286" s="19"/>
      <c r="AV286" s="19" t="s">
        <v>168</v>
      </c>
      <c r="AW286" s="19" t="s">
        <v>1704</v>
      </c>
      <c r="AX286" s="19" t="s">
        <v>262</v>
      </c>
      <c r="AY286" s="19" t="s">
        <v>1705</v>
      </c>
      <c r="AZ286" s="19" t="s">
        <v>1706</v>
      </c>
      <c r="BA286" s="20">
        <v>45993</v>
      </c>
      <c r="BB286" s="19" t="s">
        <v>1388</v>
      </c>
      <c r="BC286" s="19" t="s">
        <v>4788</v>
      </c>
      <c r="BD286" s="19" t="s">
        <v>365</v>
      </c>
      <c r="BE286" s="19" t="s">
        <v>130</v>
      </c>
      <c r="BF286" s="19" t="s">
        <v>4789</v>
      </c>
      <c r="BG286" s="19"/>
      <c r="BH286" s="19" t="s">
        <v>4790</v>
      </c>
      <c r="BI286" s="19" t="s">
        <v>4790</v>
      </c>
      <c r="BJ286" s="19" t="s">
        <v>166</v>
      </c>
      <c r="BK286" s="19" t="s">
        <v>167</v>
      </c>
      <c r="BL286" s="19" t="s">
        <v>168</v>
      </c>
      <c r="BM286" s="19" t="s">
        <v>169</v>
      </c>
      <c r="BN286" s="21">
        <v>7.7210000000000001</v>
      </c>
      <c r="BO286" s="21">
        <v>14618.40093</v>
      </c>
      <c r="BQ286" s="2"/>
      <c r="BR286" s="2"/>
      <c r="BS286" s="2"/>
      <c r="BT286" s="2"/>
      <c r="BU286" s="22"/>
      <c r="BV286" s="2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</row>
    <row r="287" spans="1:95" x14ac:dyDescent="0.25">
      <c r="A287" s="18">
        <v>284</v>
      </c>
      <c r="B287" s="19" t="s">
        <v>4791</v>
      </c>
      <c r="C287" s="19" t="s">
        <v>4792</v>
      </c>
      <c r="D287" s="20">
        <v>45993</v>
      </c>
      <c r="E287" s="20">
        <v>36331</v>
      </c>
      <c r="F287" s="19" t="s">
        <v>4793</v>
      </c>
      <c r="G287" s="19" t="s">
        <v>139</v>
      </c>
      <c r="H287" s="19" t="s">
        <v>94</v>
      </c>
      <c r="I287" s="19"/>
      <c r="J287" s="19"/>
      <c r="K287" s="19"/>
      <c r="L287" s="19" t="s">
        <v>244</v>
      </c>
      <c r="M287" s="19" t="s">
        <v>245</v>
      </c>
      <c r="N287" s="19" t="s">
        <v>4794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 t="s">
        <v>101</v>
      </c>
      <c r="Z287" s="19" t="s">
        <v>102</v>
      </c>
      <c r="AA287" s="19" t="s">
        <v>103</v>
      </c>
      <c r="AB287" s="19" t="s">
        <v>143</v>
      </c>
      <c r="AC287" s="19" t="s">
        <v>144</v>
      </c>
      <c r="AD287" s="19" t="s">
        <v>4795</v>
      </c>
      <c r="AE287" s="19" t="s">
        <v>4796</v>
      </c>
      <c r="AF287" s="19" t="s">
        <v>4797</v>
      </c>
      <c r="AG287" s="19" t="s">
        <v>4798</v>
      </c>
      <c r="AH287" s="19" t="s">
        <v>757</v>
      </c>
      <c r="AI287" s="19" t="s">
        <v>111</v>
      </c>
      <c r="AJ287" s="19" t="s">
        <v>4799</v>
      </c>
      <c r="AK287" s="19"/>
      <c r="AL287" s="19" t="s">
        <v>4800</v>
      </c>
      <c r="AM287" s="19" t="s">
        <v>4801</v>
      </c>
      <c r="AN287" s="19" t="s">
        <v>4802</v>
      </c>
      <c r="AO287" s="19" t="s">
        <v>154</v>
      </c>
      <c r="AP287" s="19" t="s">
        <v>155</v>
      </c>
      <c r="AQ287" s="19" t="s">
        <v>117</v>
      </c>
      <c r="AR287" s="19" t="s">
        <v>156</v>
      </c>
      <c r="AS287" s="19" t="s">
        <v>157</v>
      </c>
      <c r="AT287" s="19" t="s">
        <v>158</v>
      </c>
      <c r="AU287" s="19"/>
      <c r="AV287" s="19" t="s">
        <v>122</v>
      </c>
      <c r="AW287" s="19"/>
      <c r="AX287" s="19" t="s">
        <v>124</v>
      </c>
      <c r="AY287" s="19" t="s">
        <v>159</v>
      </c>
      <c r="AZ287" s="19" t="s">
        <v>160</v>
      </c>
      <c r="BA287" s="20">
        <v>44676</v>
      </c>
      <c r="BB287" s="19" t="s">
        <v>331</v>
      </c>
      <c r="BC287" s="19" t="s">
        <v>4803</v>
      </c>
      <c r="BD287" s="19" t="s">
        <v>4798</v>
      </c>
      <c r="BE287" s="19" t="s">
        <v>130</v>
      </c>
      <c r="BF287" s="19" t="s">
        <v>4804</v>
      </c>
      <c r="BG287" s="19"/>
      <c r="BH287" s="19" t="s">
        <v>4805</v>
      </c>
      <c r="BI287" s="19" t="s">
        <v>4805</v>
      </c>
      <c r="BJ287" s="19" t="s">
        <v>166</v>
      </c>
      <c r="BK287" s="19" t="s">
        <v>167</v>
      </c>
      <c r="BL287" s="19" t="s">
        <v>168</v>
      </c>
      <c r="BM287" s="19" t="s">
        <v>169</v>
      </c>
      <c r="BN287" s="21">
        <v>0</v>
      </c>
      <c r="BO287" s="21">
        <v>0</v>
      </c>
      <c r="BQ287" s="2"/>
      <c r="BR287" s="2"/>
      <c r="BS287" s="2"/>
      <c r="BT287" s="2"/>
      <c r="BU287" s="22"/>
      <c r="BV287" s="2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</row>
    <row r="288" spans="1:95" x14ac:dyDescent="0.25">
      <c r="A288" s="18">
        <v>285</v>
      </c>
      <c r="B288" s="19" t="s">
        <v>4806</v>
      </c>
      <c r="C288" s="19" t="s">
        <v>4807</v>
      </c>
      <c r="D288" s="20">
        <v>45993</v>
      </c>
      <c r="E288" s="20">
        <v>22415</v>
      </c>
      <c r="F288" s="19"/>
      <c r="G288" s="19"/>
      <c r="H288" s="19" t="s">
        <v>94</v>
      </c>
      <c r="I288" s="19"/>
      <c r="J288" s="19"/>
      <c r="K288" s="19"/>
      <c r="L288" s="19" t="s">
        <v>1825</v>
      </c>
      <c r="M288" s="19" t="s">
        <v>610</v>
      </c>
      <c r="N288" s="19" t="s">
        <v>4808</v>
      </c>
      <c r="O288" s="19" t="s">
        <v>100</v>
      </c>
      <c r="P288" s="19"/>
      <c r="Q288" s="19"/>
      <c r="R288" s="19"/>
      <c r="S288" s="19"/>
      <c r="T288" s="19"/>
      <c r="U288" s="19"/>
      <c r="V288" s="19"/>
      <c r="W288" s="19"/>
      <c r="X288" s="19"/>
      <c r="Y288" s="19" t="s">
        <v>101</v>
      </c>
      <c r="Z288" s="19" t="s">
        <v>102</v>
      </c>
      <c r="AA288" s="19" t="s">
        <v>103</v>
      </c>
      <c r="AB288" s="19" t="s">
        <v>4239</v>
      </c>
      <c r="AC288" s="19" t="s">
        <v>4240</v>
      </c>
      <c r="AD288" s="19" t="s">
        <v>4809</v>
      </c>
      <c r="AE288" s="19" t="s">
        <v>4810</v>
      </c>
      <c r="AF288" s="19" t="s">
        <v>4811</v>
      </c>
      <c r="AG288" s="19" t="s">
        <v>4812</v>
      </c>
      <c r="AH288" s="19" t="s">
        <v>124</v>
      </c>
      <c r="AI288" s="19" t="s">
        <v>111</v>
      </c>
      <c r="AJ288" s="19" t="s">
        <v>4813</v>
      </c>
      <c r="AK288" s="19"/>
      <c r="AL288" s="19"/>
      <c r="AM288" s="19" t="s">
        <v>4814</v>
      </c>
      <c r="AN288" s="19" t="s">
        <v>4815</v>
      </c>
      <c r="AO288" s="19" t="s">
        <v>4816</v>
      </c>
      <c r="AP288" s="19" t="s">
        <v>4817</v>
      </c>
      <c r="AQ288" s="19" t="s">
        <v>117</v>
      </c>
      <c r="AR288" s="19" t="s">
        <v>4818</v>
      </c>
      <c r="AS288" s="19" t="s">
        <v>4819</v>
      </c>
      <c r="AT288" s="19" t="s">
        <v>4820</v>
      </c>
      <c r="AU288" s="19" t="s">
        <v>4821</v>
      </c>
      <c r="AV288" s="19" t="s">
        <v>623</v>
      </c>
      <c r="AW288" s="19" t="s">
        <v>1905</v>
      </c>
      <c r="AX288" s="19" t="s">
        <v>124</v>
      </c>
      <c r="AY288" s="19" t="s">
        <v>4822</v>
      </c>
      <c r="AZ288" s="19" t="s">
        <v>4823</v>
      </c>
      <c r="BA288" s="20">
        <v>43566</v>
      </c>
      <c r="BB288" s="19" t="s">
        <v>265</v>
      </c>
      <c r="BC288" s="19" t="s">
        <v>4824</v>
      </c>
      <c r="BD288" s="19" t="s">
        <v>219</v>
      </c>
      <c r="BE288" s="19" t="s">
        <v>130</v>
      </c>
      <c r="BF288" s="19" t="s">
        <v>4825</v>
      </c>
      <c r="BG288" s="19"/>
      <c r="BH288" s="19" t="s">
        <v>4826</v>
      </c>
      <c r="BI288" s="19" t="s">
        <v>4826</v>
      </c>
      <c r="BJ288" s="19" t="s">
        <v>166</v>
      </c>
      <c r="BK288" s="19" t="s">
        <v>591</v>
      </c>
      <c r="BL288" s="19" t="s">
        <v>122</v>
      </c>
      <c r="BM288" s="19" t="s">
        <v>592</v>
      </c>
      <c r="BN288" s="21">
        <v>2914.7840000000001</v>
      </c>
      <c r="BO288" s="21">
        <v>199499.7675744</v>
      </c>
      <c r="BQ288" s="2"/>
      <c r="BR288" s="2"/>
      <c r="BS288" s="2"/>
      <c r="BT288" s="2"/>
      <c r="BU288" s="22"/>
      <c r="BV288" s="2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</row>
    <row r="289" spans="1:95" x14ac:dyDescent="0.25">
      <c r="A289" s="18">
        <v>286</v>
      </c>
      <c r="B289" s="19" t="s">
        <v>4827</v>
      </c>
      <c r="C289" s="19" t="s">
        <v>4828</v>
      </c>
      <c r="D289" s="20">
        <v>45994</v>
      </c>
      <c r="E289" s="20">
        <v>32030</v>
      </c>
      <c r="F289" s="19" t="s">
        <v>4829</v>
      </c>
      <c r="G289" s="19" t="s">
        <v>139</v>
      </c>
      <c r="H289" s="19" t="s">
        <v>94</v>
      </c>
      <c r="I289" s="19"/>
      <c r="J289" s="19"/>
      <c r="K289" s="19"/>
      <c r="L289" s="19" t="s">
        <v>140</v>
      </c>
      <c r="M289" s="19" t="s">
        <v>141</v>
      </c>
      <c r="N289" s="19" t="s">
        <v>4830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 t="s">
        <v>101</v>
      </c>
      <c r="Z289" s="19" t="s">
        <v>102</v>
      </c>
      <c r="AA289" s="19" t="s">
        <v>103</v>
      </c>
      <c r="AB289" s="19" t="s">
        <v>850</v>
      </c>
      <c r="AC289" s="19" t="s">
        <v>851</v>
      </c>
      <c r="AD289" s="19" t="s">
        <v>4831</v>
      </c>
      <c r="AE289" s="19" t="s">
        <v>4832</v>
      </c>
      <c r="AF289" s="19" t="s">
        <v>3271</v>
      </c>
      <c r="AG289" s="19" t="s">
        <v>3271</v>
      </c>
      <c r="AH289" s="19" t="s">
        <v>262</v>
      </c>
      <c r="AI289" s="19"/>
      <c r="AJ289" s="19" t="s">
        <v>4833</v>
      </c>
      <c r="AK289" s="19"/>
      <c r="AL289" s="19"/>
      <c r="AM289" s="19" t="s">
        <v>4834</v>
      </c>
      <c r="AN289" s="19" t="s">
        <v>4835</v>
      </c>
      <c r="AO289" s="19" t="s">
        <v>895</v>
      </c>
      <c r="AP289" s="19" t="s">
        <v>896</v>
      </c>
      <c r="AQ289" s="19" t="s">
        <v>117</v>
      </c>
      <c r="AR289" s="19" t="s">
        <v>897</v>
      </c>
      <c r="AS289" s="19" t="s">
        <v>898</v>
      </c>
      <c r="AT289" s="19" t="s">
        <v>899</v>
      </c>
      <c r="AU289" s="19" t="s">
        <v>900</v>
      </c>
      <c r="AV289" s="19" t="s">
        <v>122</v>
      </c>
      <c r="AW289" s="19" t="s">
        <v>123</v>
      </c>
      <c r="AX289" s="19" t="s">
        <v>901</v>
      </c>
      <c r="AY289" s="19" t="s">
        <v>902</v>
      </c>
      <c r="AZ289" s="19" t="s">
        <v>903</v>
      </c>
      <c r="BA289" s="20">
        <v>37265</v>
      </c>
      <c r="BB289" s="19" t="s">
        <v>331</v>
      </c>
      <c r="BC289" s="19" t="s">
        <v>4836</v>
      </c>
      <c r="BD289" s="19" t="s">
        <v>260</v>
      </c>
      <c r="BE289" s="19" t="s">
        <v>130</v>
      </c>
      <c r="BF289" s="19" t="s">
        <v>4837</v>
      </c>
      <c r="BG289" s="19"/>
      <c r="BH289" s="19" t="s">
        <v>4838</v>
      </c>
      <c r="BI289" s="19" t="s">
        <v>4838</v>
      </c>
      <c r="BJ289" s="19" t="s">
        <v>166</v>
      </c>
      <c r="BK289" s="19" t="s">
        <v>907</v>
      </c>
      <c r="BL289" s="19" t="s">
        <v>122</v>
      </c>
      <c r="BM289" s="19" t="s">
        <v>592</v>
      </c>
      <c r="BN289" s="21">
        <v>4.5709999999999997</v>
      </c>
      <c r="BO289" s="21">
        <v>502.76429000000002</v>
      </c>
      <c r="BQ289" s="2"/>
      <c r="BR289" s="2"/>
      <c r="BS289" s="2"/>
      <c r="BT289" s="2"/>
      <c r="BU289" s="22"/>
      <c r="BV289" s="2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</row>
    <row r="290" spans="1:95" x14ac:dyDescent="0.25">
      <c r="A290" s="18">
        <v>287</v>
      </c>
      <c r="B290" s="19" t="s">
        <v>4839</v>
      </c>
      <c r="C290" s="19" t="s">
        <v>4840</v>
      </c>
      <c r="D290" s="20">
        <v>45994</v>
      </c>
      <c r="E290" s="20">
        <v>31272</v>
      </c>
      <c r="F290" s="19"/>
      <c r="G290" s="19"/>
      <c r="H290" s="19" t="s">
        <v>94</v>
      </c>
      <c r="I290" s="19"/>
      <c r="J290" s="19"/>
      <c r="K290" s="19"/>
      <c r="L290" s="19" t="s">
        <v>140</v>
      </c>
      <c r="M290" s="19" t="s">
        <v>141</v>
      </c>
      <c r="N290" s="19" t="s">
        <v>4841</v>
      </c>
      <c r="O290" s="19" t="s">
        <v>100</v>
      </c>
      <c r="P290" s="19"/>
      <c r="Q290" s="19"/>
      <c r="R290" s="19"/>
      <c r="S290" s="19"/>
      <c r="T290" s="19"/>
      <c r="U290" s="19"/>
      <c r="V290" s="19"/>
      <c r="W290" s="19"/>
      <c r="X290" s="19"/>
      <c r="Y290" s="19" t="s">
        <v>101</v>
      </c>
      <c r="Z290" s="19" t="s">
        <v>102</v>
      </c>
      <c r="AA290" s="19" t="s">
        <v>103</v>
      </c>
      <c r="AB290" s="19" t="s">
        <v>402</v>
      </c>
      <c r="AC290" s="19" t="s">
        <v>403</v>
      </c>
      <c r="AD290" s="19" t="s">
        <v>4842</v>
      </c>
      <c r="AE290" s="19" t="s">
        <v>4843</v>
      </c>
      <c r="AF290" s="19"/>
      <c r="AG290" s="19" t="s">
        <v>4844</v>
      </c>
      <c r="AH290" s="19" t="s">
        <v>327</v>
      </c>
      <c r="AI290" s="19" t="s">
        <v>111</v>
      </c>
      <c r="AJ290" s="19" t="s">
        <v>4845</v>
      </c>
      <c r="AK290" s="19"/>
      <c r="AL290" s="19"/>
      <c r="AM290" s="19" t="s">
        <v>4846</v>
      </c>
      <c r="AN290" s="19" t="s">
        <v>4847</v>
      </c>
      <c r="AO290" s="19" t="s">
        <v>1206</v>
      </c>
      <c r="AP290" s="19" t="s">
        <v>1207</v>
      </c>
      <c r="AQ290" s="19" t="s">
        <v>117</v>
      </c>
      <c r="AR290" s="19" t="s">
        <v>1208</v>
      </c>
      <c r="AS290" s="19" t="s">
        <v>1209</v>
      </c>
      <c r="AT290" s="19" t="s">
        <v>1210</v>
      </c>
      <c r="AU290" s="19" t="s">
        <v>1211</v>
      </c>
      <c r="AV290" s="19" t="s">
        <v>219</v>
      </c>
      <c r="AW290" s="19" t="s">
        <v>1212</v>
      </c>
      <c r="AX290" s="19" t="s">
        <v>124</v>
      </c>
      <c r="AY290" s="19" t="s">
        <v>1213</v>
      </c>
      <c r="AZ290" s="19" t="s">
        <v>1214</v>
      </c>
      <c r="BA290" s="20">
        <v>37560</v>
      </c>
      <c r="BB290" s="19" t="s">
        <v>161</v>
      </c>
      <c r="BC290" s="19" t="s">
        <v>1684</v>
      </c>
      <c r="BD290" s="19" t="s">
        <v>219</v>
      </c>
      <c r="BE290" s="19" t="s">
        <v>130</v>
      </c>
      <c r="BF290" s="19" t="s">
        <v>4848</v>
      </c>
      <c r="BG290" s="19"/>
      <c r="BH290" s="19" t="s">
        <v>4849</v>
      </c>
      <c r="BI290" s="19" t="s">
        <v>4849</v>
      </c>
      <c r="BJ290" s="19" t="s">
        <v>194</v>
      </c>
      <c r="BK290" s="19" t="s">
        <v>591</v>
      </c>
      <c r="BL290" s="19" t="s">
        <v>122</v>
      </c>
      <c r="BM290" s="19" t="s">
        <v>592</v>
      </c>
      <c r="BN290" s="21">
        <v>2.6739999999999999</v>
      </c>
      <c r="BO290" s="21">
        <v>5062.7644200000004</v>
      </c>
      <c r="BQ290" s="2"/>
      <c r="BR290" s="2"/>
      <c r="BS290" s="2"/>
      <c r="BT290" s="2"/>
      <c r="BU290" s="22"/>
      <c r="BV290" s="2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</row>
    <row r="291" spans="1:95" x14ac:dyDescent="0.25">
      <c r="A291" s="18">
        <v>288</v>
      </c>
      <c r="B291" s="19" t="s">
        <v>4850</v>
      </c>
      <c r="C291" s="19" t="s">
        <v>4851</v>
      </c>
      <c r="D291" s="20">
        <v>45995</v>
      </c>
      <c r="E291" s="20">
        <v>36324</v>
      </c>
      <c r="F291" s="19"/>
      <c r="G291" s="19"/>
      <c r="H291" s="19" t="s">
        <v>94</v>
      </c>
      <c r="I291" s="19"/>
      <c r="J291" s="19" t="s">
        <v>287</v>
      </c>
      <c r="K291" s="19" t="s">
        <v>288</v>
      </c>
      <c r="L291" s="19" t="s">
        <v>97</v>
      </c>
      <c r="M291" s="19" t="s">
        <v>98</v>
      </c>
      <c r="N291" s="19" t="s">
        <v>4852</v>
      </c>
      <c r="O291" s="19" t="s">
        <v>100</v>
      </c>
      <c r="P291" s="19"/>
      <c r="Q291" s="19"/>
      <c r="R291" s="19"/>
      <c r="S291" s="19"/>
      <c r="T291" s="19"/>
      <c r="U291" s="19"/>
      <c r="V291" s="19"/>
      <c r="W291" s="19"/>
      <c r="X291" s="19"/>
      <c r="Y291" s="19" t="s">
        <v>101</v>
      </c>
      <c r="Z291" s="19" t="s">
        <v>102</v>
      </c>
      <c r="AA291" s="19" t="s">
        <v>103</v>
      </c>
      <c r="AB291" s="19" t="s">
        <v>292</v>
      </c>
      <c r="AC291" s="19" t="s">
        <v>293</v>
      </c>
      <c r="AD291" s="19" t="s">
        <v>4853</v>
      </c>
      <c r="AE291" s="19" t="s">
        <v>4854</v>
      </c>
      <c r="AF291" s="19" t="s">
        <v>4855</v>
      </c>
      <c r="AG291" s="19" t="s">
        <v>4126</v>
      </c>
      <c r="AH291" s="19" t="s">
        <v>110</v>
      </c>
      <c r="AI291" s="19" t="s">
        <v>111</v>
      </c>
      <c r="AJ291" s="19" t="s">
        <v>4856</v>
      </c>
      <c r="AK291" s="19"/>
      <c r="AL291" s="19"/>
      <c r="AM291" s="19" t="s">
        <v>4857</v>
      </c>
      <c r="AN291" s="19" t="s">
        <v>4858</v>
      </c>
      <c r="AO291" s="19" t="s">
        <v>4616</v>
      </c>
      <c r="AP291" s="19" t="s">
        <v>2089</v>
      </c>
      <c r="AQ291" s="19" t="s">
        <v>117</v>
      </c>
      <c r="AR291" s="19" t="s">
        <v>2090</v>
      </c>
      <c r="AS291" s="19" t="s">
        <v>2091</v>
      </c>
      <c r="AT291" s="19" t="s">
        <v>2092</v>
      </c>
      <c r="AU291" s="19" t="s">
        <v>2093</v>
      </c>
      <c r="AV291" s="19" t="s">
        <v>122</v>
      </c>
      <c r="AW291" s="19" t="s">
        <v>2094</v>
      </c>
      <c r="AX291" s="19" t="s">
        <v>901</v>
      </c>
      <c r="AY291" s="19" t="s">
        <v>2095</v>
      </c>
      <c r="AZ291" s="19" t="s">
        <v>2096</v>
      </c>
      <c r="BA291" s="20">
        <v>37075</v>
      </c>
      <c r="BB291" s="19" t="s">
        <v>4617</v>
      </c>
      <c r="BC291" s="19" t="s">
        <v>4859</v>
      </c>
      <c r="BD291" s="19" t="s">
        <v>4135</v>
      </c>
      <c r="BE291" s="19" t="s">
        <v>130</v>
      </c>
      <c r="BF291" s="19" t="s">
        <v>4860</v>
      </c>
      <c r="BG291" s="19" t="s">
        <v>4861</v>
      </c>
      <c r="BH291" s="19" t="s">
        <v>4862</v>
      </c>
      <c r="BI291" s="19" t="s">
        <v>4862</v>
      </c>
      <c r="BJ291" s="19" t="s">
        <v>166</v>
      </c>
      <c r="BK291" s="19" t="s">
        <v>4134</v>
      </c>
      <c r="BL291" s="19" t="s">
        <v>4135</v>
      </c>
      <c r="BM291" s="19" t="s">
        <v>135</v>
      </c>
      <c r="BN291" s="21">
        <v>0</v>
      </c>
      <c r="BO291" s="21">
        <v>0</v>
      </c>
      <c r="BQ291" s="2"/>
      <c r="BR291" s="2"/>
      <c r="BS291" s="2"/>
      <c r="BT291" s="2"/>
      <c r="BU291" s="22"/>
      <c r="BV291" s="2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</row>
    <row r="292" spans="1:95" x14ac:dyDescent="0.25">
      <c r="A292" s="18">
        <v>289</v>
      </c>
      <c r="B292" s="19" t="s">
        <v>4863</v>
      </c>
      <c r="C292" s="19" t="s">
        <v>4864</v>
      </c>
      <c r="D292" s="20">
        <v>46006</v>
      </c>
      <c r="E292" s="20">
        <v>34494</v>
      </c>
      <c r="F292" s="19"/>
      <c r="G292" s="19"/>
      <c r="H292" s="19" t="s">
        <v>94</v>
      </c>
      <c r="I292" s="19"/>
      <c r="J292" s="19"/>
      <c r="K292" s="19"/>
      <c r="L292" s="19" t="s">
        <v>140</v>
      </c>
      <c r="M292" s="19" t="s">
        <v>141</v>
      </c>
      <c r="N292" s="19" t="s">
        <v>4865</v>
      </c>
      <c r="O292" s="19" t="s">
        <v>100</v>
      </c>
      <c r="P292" s="19"/>
      <c r="Q292" s="19"/>
      <c r="R292" s="19"/>
      <c r="S292" s="19"/>
      <c r="T292" s="19"/>
      <c r="U292" s="19"/>
      <c r="V292" s="19"/>
      <c r="W292" s="19"/>
      <c r="X292" s="19"/>
      <c r="Y292" s="19" t="s">
        <v>101</v>
      </c>
      <c r="Z292" s="19" t="s">
        <v>102</v>
      </c>
      <c r="AA292" s="19" t="s">
        <v>103</v>
      </c>
      <c r="AB292" s="19" t="s">
        <v>612</v>
      </c>
      <c r="AC292" s="19" t="s">
        <v>613</v>
      </c>
      <c r="AD292" s="19" t="s">
        <v>4866</v>
      </c>
      <c r="AE292" s="19" t="s">
        <v>4867</v>
      </c>
      <c r="AF292" s="19" t="s">
        <v>4868</v>
      </c>
      <c r="AG292" s="19" t="s">
        <v>4869</v>
      </c>
      <c r="AH292" s="19" t="s">
        <v>1560</v>
      </c>
      <c r="AI292" s="19" t="s">
        <v>111</v>
      </c>
      <c r="AJ292" s="19" t="s">
        <v>4870</v>
      </c>
      <c r="AK292" s="19"/>
      <c r="AL292" s="19"/>
      <c r="AM292" s="19" t="s">
        <v>4871</v>
      </c>
      <c r="AN292" s="19" t="s">
        <v>4872</v>
      </c>
      <c r="AO292" s="19" t="s">
        <v>4873</v>
      </c>
      <c r="AP292" s="19" t="s">
        <v>4874</v>
      </c>
      <c r="AQ292" s="19" t="s">
        <v>117</v>
      </c>
      <c r="AR292" s="19" t="s">
        <v>4875</v>
      </c>
      <c r="AS292" s="19" t="s">
        <v>4876</v>
      </c>
      <c r="AT292" s="19" t="s">
        <v>4877</v>
      </c>
      <c r="AU292" s="19" t="s">
        <v>4878</v>
      </c>
      <c r="AV292" s="19" t="s">
        <v>122</v>
      </c>
      <c r="AW292" s="19" t="s">
        <v>2313</v>
      </c>
      <c r="AX292" s="19" t="s">
        <v>901</v>
      </c>
      <c r="AY292" s="19" t="s">
        <v>4879</v>
      </c>
      <c r="AZ292" s="19" t="s">
        <v>4880</v>
      </c>
      <c r="BA292" s="20">
        <v>34995</v>
      </c>
      <c r="BB292" s="19" t="s">
        <v>4881</v>
      </c>
      <c r="BC292" s="19" t="s">
        <v>4882</v>
      </c>
      <c r="BD292" s="19" t="s">
        <v>4869</v>
      </c>
      <c r="BE292" s="19" t="s">
        <v>130</v>
      </c>
      <c r="BF292" s="19" t="s">
        <v>4883</v>
      </c>
      <c r="BG292" s="19"/>
      <c r="BH292" s="19" t="s">
        <v>4884</v>
      </c>
      <c r="BI292" s="19" t="s">
        <v>4884</v>
      </c>
      <c r="BJ292" s="19" t="s">
        <v>1259</v>
      </c>
      <c r="BK292" s="19" t="s">
        <v>195</v>
      </c>
      <c r="BL292" s="19" t="s">
        <v>122</v>
      </c>
      <c r="BM292" s="19" t="s">
        <v>196</v>
      </c>
      <c r="BN292" s="21">
        <v>3.657</v>
      </c>
      <c r="BO292" s="21">
        <v>2003.9262900000001</v>
      </c>
      <c r="BQ292" s="2"/>
      <c r="BR292" s="2"/>
      <c r="BS292" s="2"/>
      <c r="BT292" s="2"/>
      <c r="BU292" s="22"/>
      <c r="BV292" s="2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</row>
    <row r="293" spans="1:95" x14ac:dyDescent="0.25">
      <c r="A293" s="18">
        <v>290</v>
      </c>
      <c r="B293" s="19" t="s">
        <v>4885</v>
      </c>
      <c r="C293" s="19" t="s">
        <v>4886</v>
      </c>
      <c r="D293" s="20">
        <v>46020</v>
      </c>
      <c r="E293" s="20">
        <v>25408</v>
      </c>
      <c r="F293" s="19" t="s">
        <v>4887</v>
      </c>
      <c r="G293" s="19" t="s">
        <v>139</v>
      </c>
      <c r="H293" s="19" t="s">
        <v>94</v>
      </c>
      <c r="I293" s="19"/>
      <c r="J293" s="19"/>
      <c r="K293" s="19"/>
      <c r="L293" s="19" t="s">
        <v>101</v>
      </c>
      <c r="M293" s="19" t="s">
        <v>290</v>
      </c>
      <c r="N293" s="19" t="s">
        <v>4888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 t="s">
        <v>101</v>
      </c>
      <c r="Z293" s="19" t="s">
        <v>102</v>
      </c>
      <c r="AA293" s="19" t="s">
        <v>103</v>
      </c>
      <c r="AB293" s="19" t="s">
        <v>827</v>
      </c>
      <c r="AC293" s="19" t="s">
        <v>828</v>
      </c>
      <c r="AD293" s="19" t="s">
        <v>4889</v>
      </c>
      <c r="AE293" s="19" t="s">
        <v>4890</v>
      </c>
      <c r="AF293" s="19" t="s">
        <v>4891</v>
      </c>
      <c r="AG293" s="19" t="s">
        <v>375</v>
      </c>
      <c r="AH293" s="19" t="s">
        <v>376</v>
      </c>
      <c r="AI293" s="19"/>
      <c r="AJ293" s="19" t="s">
        <v>4892</v>
      </c>
      <c r="AK293" s="19"/>
      <c r="AL293" s="19"/>
      <c r="AM293" s="19" t="s">
        <v>4893</v>
      </c>
      <c r="AN293" s="19" t="s">
        <v>4894</v>
      </c>
      <c r="AO293" s="19" t="s">
        <v>476</v>
      </c>
      <c r="AP293" s="19" t="s">
        <v>477</v>
      </c>
      <c r="AQ293" s="19" t="s">
        <v>117</v>
      </c>
      <c r="AR293" s="19" t="s">
        <v>478</v>
      </c>
      <c r="AS293" s="19"/>
      <c r="AT293" s="19"/>
      <c r="AU293" s="19"/>
      <c r="AV293" s="19"/>
      <c r="AW293" s="19"/>
      <c r="AX293" s="19"/>
      <c r="AY293" s="19"/>
      <c r="AZ293" s="19"/>
      <c r="BA293" s="20">
        <v>44452</v>
      </c>
      <c r="BB293" s="19" t="s">
        <v>331</v>
      </c>
      <c r="BC293" s="19" t="s">
        <v>4895</v>
      </c>
      <c r="BD293" s="19" t="s">
        <v>375</v>
      </c>
      <c r="BE293" s="19" t="s">
        <v>130</v>
      </c>
      <c r="BF293" s="19" t="s">
        <v>4896</v>
      </c>
      <c r="BG293" s="19"/>
      <c r="BH293" s="19" t="s">
        <v>4897</v>
      </c>
      <c r="BI293" s="19" t="s">
        <v>4897</v>
      </c>
      <c r="BJ293" s="19" t="s">
        <v>166</v>
      </c>
      <c r="BK293" s="19" t="s">
        <v>167</v>
      </c>
      <c r="BL293" s="19" t="s">
        <v>168</v>
      </c>
      <c r="BM293" s="19" t="s">
        <v>169</v>
      </c>
      <c r="BN293" s="21">
        <v>5.9640000000000004</v>
      </c>
      <c r="BO293" s="21">
        <v>1006.4422956</v>
      </c>
      <c r="BQ293" s="2"/>
      <c r="BR293" s="2"/>
      <c r="BS293" s="2"/>
      <c r="BT293" s="2"/>
      <c r="BU293" s="22"/>
      <c r="BV293" s="2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</row>
    <row r="294" spans="1:95" x14ac:dyDescent="0.25">
      <c r="A294" s="18">
        <v>291</v>
      </c>
      <c r="B294" s="19" t="s">
        <v>4898</v>
      </c>
      <c r="C294" s="19" t="s">
        <v>4899</v>
      </c>
      <c r="D294" s="20">
        <v>46020</v>
      </c>
      <c r="E294" s="20">
        <v>31181</v>
      </c>
      <c r="F294" s="19" t="s">
        <v>4900</v>
      </c>
      <c r="G294" s="19" t="s">
        <v>139</v>
      </c>
      <c r="H294" s="19" t="s">
        <v>94</v>
      </c>
      <c r="I294" s="19"/>
      <c r="J294" s="19"/>
      <c r="K294" s="19"/>
      <c r="L294" s="19" t="s">
        <v>244</v>
      </c>
      <c r="M294" s="19" t="s">
        <v>245</v>
      </c>
      <c r="N294" s="19" t="s">
        <v>4901</v>
      </c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 t="s">
        <v>101</v>
      </c>
      <c r="Z294" s="19" t="s">
        <v>102</v>
      </c>
      <c r="AA294" s="19" t="s">
        <v>103</v>
      </c>
      <c r="AB294" s="19" t="s">
        <v>143</v>
      </c>
      <c r="AC294" s="19" t="s">
        <v>144</v>
      </c>
      <c r="AD294" s="19" t="s">
        <v>4902</v>
      </c>
      <c r="AE294" s="19" t="s">
        <v>4903</v>
      </c>
      <c r="AF294" s="19" t="s">
        <v>4904</v>
      </c>
      <c r="AG294" s="19" t="s">
        <v>206</v>
      </c>
      <c r="AH294" s="19" t="s">
        <v>124</v>
      </c>
      <c r="AI294" s="19" t="s">
        <v>111</v>
      </c>
      <c r="AJ294" s="19" t="s">
        <v>4905</v>
      </c>
      <c r="AK294" s="19"/>
      <c r="AL294" s="19"/>
      <c r="AM294" s="19" t="s">
        <v>4906</v>
      </c>
      <c r="AN294" s="19" t="s">
        <v>4907</v>
      </c>
      <c r="AO294" s="19" t="s">
        <v>255</v>
      </c>
      <c r="AP294" s="19" t="s">
        <v>256</v>
      </c>
      <c r="AQ294" s="19" t="s">
        <v>117</v>
      </c>
      <c r="AR294" s="19" t="s">
        <v>257</v>
      </c>
      <c r="AS294" s="19" t="s">
        <v>258</v>
      </c>
      <c r="AT294" s="19" t="s">
        <v>259</v>
      </c>
      <c r="AU294" s="19" t="s">
        <v>260</v>
      </c>
      <c r="AV294" s="19" t="s">
        <v>260</v>
      </c>
      <c r="AW294" s="19" t="s">
        <v>261</v>
      </c>
      <c r="AX294" s="19" t="s">
        <v>262</v>
      </c>
      <c r="AY294" s="19" t="s">
        <v>263</v>
      </c>
      <c r="AZ294" s="19" t="s">
        <v>264</v>
      </c>
      <c r="BA294" s="20">
        <v>43627</v>
      </c>
      <c r="BB294" s="19" t="s">
        <v>190</v>
      </c>
      <c r="BC294" s="19" t="s">
        <v>4908</v>
      </c>
      <c r="BD294" s="19" t="s">
        <v>219</v>
      </c>
      <c r="BE294" s="19" t="s">
        <v>130</v>
      </c>
      <c r="BF294" s="19" t="s">
        <v>4909</v>
      </c>
      <c r="BG294" s="19"/>
      <c r="BH294" s="19" t="s">
        <v>4910</v>
      </c>
      <c r="BI294" s="19" t="s">
        <v>4910</v>
      </c>
      <c r="BJ294" s="19" t="s">
        <v>166</v>
      </c>
      <c r="BK294" s="19" t="s">
        <v>167</v>
      </c>
      <c r="BL294" s="19" t="s">
        <v>168</v>
      </c>
      <c r="BM294" s="19" t="s">
        <v>169</v>
      </c>
      <c r="BN294" s="21">
        <v>134.006</v>
      </c>
      <c r="BO294" s="21">
        <v>5104.2885399999996</v>
      </c>
      <c r="BQ294" s="2"/>
      <c r="BR294" s="2"/>
      <c r="BS294" s="2"/>
      <c r="BT294" s="2"/>
      <c r="BU294" s="22"/>
      <c r="BV294" s="2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</row>
    <row r="295" spans="1:95" x14ac:dyDescent="0.25">
      <c r="A295" s="18">
        <v>292</v>
      </c>
      <c r="B295" s="19" t="s">
        <v>4911</v>
      </c>
      <c r="C295" s="19" t="s">
        <v>4912</v>
      </c>
      <c r="D295" s="20">
        <v>46013</v>
      </c>
      <c r="E295" s="20">
        <v>36425</v>
      </c>
      <c r="F295" s="19"/>
      <c r="G295" s="19"/>
      <c r="H295" s="19" t="s">
        <v>94</v>
      </c>
      <c r="I295" s="19"/>
      <c r="J295" s="19"/>
      <c r="K295" s="19"/>
      <c r="L295" s="19" t="s">
        <v>244</v>
      </c>
      <c r="M295" s="19" t="s">
        <v>245</v>
      </c>
      <c r="N295" s="19" t="s">
        <v>4913</v>
      </c>
      <c r="O295" s="19" t="s">
        <v>100</v>
      </c>
      <c r="P295" s="19"/>
      <c r="Q295" s="19"/>
      <c r="R295" s="19"/>
      <c r="S295" s="19"/>
      <c r="T295" s="19"/>
      <c r="U295" s="19"/>
      <c r="V295" s="19"/>
      <c r="W295" s="19"/>
      <c r="X295" s="19"/>
      <c r="Y295" s="19" t="s">
        <v>101</v>
      </c>
      <c r="Z295" s="19" t="s">
        <v>102</v>
      </c>
      <c r="AA295" s="19" t="s">
        <v>103</v>
      </c>
      <c r="AB295" s="19" t="s">
        <v>1940</v>
      </c>
      <c r="AC295" s="19" t="s">
        <v>1941</v>
      </c>
      <c r="AD295" s="19" t="s">
        <v>4914</v>
      </c>
      <c r="AE295" s="19" t="s">
        <v>4915</v>
      </c>
      <c r="AF295" s="19"/>
      <c r="AG295" s="19" t="s">
        <v>4916</v>
      </c>
      <c r="AH295" s="19" t="s">
        <v>149</v>
      </c>
      <c r="AI295" s="19" t="s">
        <v>111</v>
      </c>
      <c r="AJ295" s="19" t="s">
        <v>4917</v>
      </c>
      <c r="AK295" s="19"/>
      <c r="AL295" s="19"/>
      <c r="AM295" s="19" t="s">
        <v>4918</v>
      </c>
      <c r="AN295" s="19" t="s">
        <v>4919</v>
      </c>
      <c r="AO295" s="19" t="s">
        <v>4920</v>
      </c>
      <c r="AP295" s="19" t="s">
        <v>4921</v>
      </c>
      <c r="AQ295" s="19" t="s">
        <v>117</v>
      </c>
      <c r="AR295" s="19" t="s">
        <v>4922</v>
      </c>
      <c r="AS295" s="19" t="s">
        <v>4923</v>
      </c>
      <c r="AT295" s="19" t="s">
        <v>4924</v>
      </c>
      <c r="AU295" s="19" t="s">
        <v>4925</v>
      </c>
      <c r="AV295" s="19" t="s">
        <v>4926</v>
      </c>
      <c r="AW295" s="19" t="s">
        <v>4927</v>
      </c>
      <c r="AX295" s="19" t="s">
        <v>149</v>
      </c>
      <c r="AY295" s="19" t="s">
        <v>4928</v>
      </c>
      <c r="AZ295" s="19" t="s">
        <v>4929</v>
      </c>
      <c r="BA295" s="20">
        <v>45465</v>
      </c>
      <c r="BB295" s="19" t="s">
        <v>331</v>
      </c>
      <c r="BC295" s="19" t="s">
        <v>4930</v>
      </c>
      <c r="BD295" s="19" t="s">
        <v>4930</v>
      </c>
      <c r="BE295" s="19" t="s">
        <v>130</v>
      </c>
      <c r="BF295" s="19" t="s">
        <v>4931</v>
      </c>
      <c r="BG295" s="19"/>
      <c r="BH295" s="19" t="s">
        <v>4932</v>
      </c>
      <c r="BI295" s="19" t="s">
        <v>4932</v>
      </c>
      <c r="BJ295" s="19" t="s">
        <v>194</v>
      </c>
      <c r="BK295" s="19" t="s">
        <v>591</v>
      </c>
      <c r="BL295" s="19" t="s">
        <v>122</v>
      </c>
      <c r="BM295" s="19" t="s">
        <v>592</v>
      </c>
      <c r="BN295" s="21">
        <v>1.4810000000000001</v>
      </c>
      <c r="BO295" s="21">
        <v>1001.6515426</v>
      </c>
      <c r="BQ295" s="2"/>
      <c r="BR295" s="2"/>
      <c r="BS295" s="2"/>
      <c r="BT295" s="2"/>
      <c r="BU295" s="22"/>
      <c r="BV295" s="2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</row>
    <row r="296" spans="1:95" x14ac:dyDescent="0.25">
      <c r="A296" s="18">
        <v>293</v>
      </c>
      <c r="B296" s="19" t="s">
        <v>4933</v>
      </c>
      <c r="C296" s="19" t="s">
        <v>4934</v>
      </c>
      <c r="D296" s="20">
        <v>46010</v>
      </c>
      <c r="E296" s="20">
        <v>37308</v>
      </c>
      <c r="F296" s="19" t="s">
        <v>4935</v>
      </c>
      <c r="G296" s="19" t="s">
        <v>139</v>
      </c>
      <c r="H296" s="19" t="s">
        <v>117</v>
      </c>
      <c r="I296" s="19" t="s">
        <v>4936</v>
      </c>
      <c r="J296" s="19"/>
      <c r="K296" s="19"/>
      <c r="L296" s="19" t="s">
        <v>244</v>
      </c>
      <c r="M296" s="19" t="s">
        <v>245</v>
      </c>
      <c r="N296" s="19" t="s">
        <v>4937</v>
      </c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 t="s">
        <v>101</v>
      </c>
      <c r="Z296" s="19" t="s">
        <v>102</v>
      </c>
      <c r="AA296" s="19" t="s">
        <v>103</v>
      </c>
      <c r="AB296" s="19" t="s">
        <v>173</v>
      </c>
      <c r="AC296" s="19" t="s">
        <v>174</v>
      </c>
      <c r="AD296" s="19" t="s">
        <v>4938</v>
      </c>
      <c r="AE296" s="19" t="s">
        <v>4939</v>
      </c>
      <c r="AF296" s="19"/>
      <c r="AG296" s="19" t="s">
        <v>4940</v>
      </c>
      <c r="AH296" s="19" t="s">
        <v>4941</v>
      </c>
      <c r="AI296" s="19" t="s">
        <v>111</v>
      </c>
      <c r="AJ296" s="19" t="s">
        <v>4942</v>
      </c>
      <c r="AK296" s="19"/>
      <c r="AL296" s="19" t="s">
        <v>4943</v>
      </c>
      <c r="AM296" s="19" t="s">
        <v>4944</v>
      </c>
      <c r="AN296" s="19" t="s">
        <v>4945</v>
      </c>
      <c r="AO296" s="19" t="s">
        <v>2705</v>
      </c>
      <c r="AP296" s="19" t="s">
        <v>2706</v>
      </c>
      <c r="AQ296" s="19" t="s">
        <v>117</v>
      </c>
      <c r="AR296" s="19"/>
      <c r="AS296" s="19"/>
      <c r="AT296" s="19"/>
      <c r="AU296" s="19"/>
      <c r="AV296" s="19"/>
      <c r="AW296" s="19"/>
      <c r="AX296" s="19"/>
      <c r="AY296" s="19"/>
      <c r="AZ296" s="19" t="s">
        <v>2707</v>
      </c>
      <c r="BA296" s="20">
        <v>45363</v>
      </c>
      <c r="BB296" s="19" t="s">
        <v>312</v>
      </c>
      <c r="BC296" s="19" t="s">
        <v>4946</v>
      </c>
      <c r="BD296" s="19" t="s">
        <v>4947</v>
      </c>
      <c r="BE296" s="19" t="s">
        <v>130</v>
      </c>
      <c r="BF296" s="19" t="s">
        <v>4948</v>
      </c>
      <c r="BG296" s="19"/>
      <c r="BH296" s="19" t="s">
        <v>4949</v>
      </c>
      <c r="BI296" s="19" t="s">
        <v>4949</v>
      </c>
      <c r="BJ296" s="19" t="s">
        <v>166</v>
      </c>
      <c r="BK296" s="19" t="s">
        <v>167</v>
      </c>
      <c r="BL296" s="19" t="s">
        <v>168</v>
      </c>
      <c r="BM296" s="19" t="s">
        <v>169</v>
      </c>
      <c r="BN296" s="21">
        <v>31.77</v>
      </c>
      <c r="BO296" s="21">
        <v>1125.4268340000001</v>
      </c>
      <c r="BQ296" s="2"/>
      <c r="BR296" s="2"/>
      <c r="BS296" s="2"/>
      <c r="BT296" s="2"/>
      <c r="BU296" s="22"/>
      <c r="BV296" s="2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</row>
    <row r="297" spans="1:95" x14ac:dyDescent="0.25">
      <c r="A297" s="18">
        <v>294</v>
      </c>
      <c r="B297" s="19" t="s">
        <v>4950</v>
      </c>
      <c r="C297" s="19" t="s">
        <v>4951</v>
      </c>
      <c r="D297" s="20">
        <v>46013</v>
      </c>
      <c r="E297" s="20">
        <v>30770</v>
      </c>
      <c r="F297" s="19"/>
      <c r="G297" s="19"/>
      <c r="H297" s="19" t="s">
        <v>94</v>
      </c>
      <c r="I297" s="19"/>
      <c r="J297" s="19"/>
      <c r="K297" s="19"/>
      <c r="L297" s="19" t="s">
        <v>244</v>
      </c>
      <c r="M297" s="19" t="s">
        <v>245</v>
      </c>
      <c r="N297" s="19" t="s">
        <v>4952</v>
      </c>
      <c r="O297" s="19" t="s">
        <v>100</v>
      </c>
      <c r="P297" s="19"/>
      <c r="Q297" s="19"/>
      <c r="R297" s="19"/>
      <c r="S297" s="19"/>
      <c r="T297" s="19"/>
      <c r="U297" s="19"/>
      <c r="V297" s="19"/>
      <c r="W297" s="19"/>
      <c r="X297" s="19"/>
      <c r="Y297" s="19" t="s">
        <v>101</v>
      </c>
      <c r="Z297" s="19" t="s">
        <v>102</v>
      </c>
      <c r="AA297" s="19" t="s">
        <v>103</v>
      </c>
      <c r="AB297" s="19" t="s">
        <v>1347</v>
      </c>
      <c r="AC297" s="19" t="s">
        <v>1348</v>
      </c>
      <c r="AD297" s="19" t="s">
        <v>4953</v>
      </c>
      <c r="AE297" s="19"/>
      <c r="AF297" s="19"/>
      <c r="AG297" s="19" t="s">
        <v>3109</v>
      </c>
      <c r="AH297" s="19" t="s">
        <v>124</v>
      </c>
      <c r="AI297" s="19" t="s">
        <v>111</v>
      </c>
      <c r="AJ297" s="19" t="s">
        <v>4954</v>
      </c>
      <c r="AK297" s="19"/>
      <c r="AL297" s="19"/>
      <c r="AM297" s="19" t="s">
        <v>4955</v>
      </c>
      <c r="AN297" s="19" t="s">
        <v>4956</v>
      </c>
      <c r="AO297" s="19" t="s">
        <v>208</v>
      </c>
      <c r="AP297" s="19" t="s">
        <v>209</v>
      </c>
      <c r="AQ297" s="19" t="s">
        <v>117</v>
      </c>
      <c r="AR297" s="19" t="s">
        <v>210</v>
      </c>
      <c r="AS297" s="19" t="s">
        <v>211</v>
      </c>
      <c r="AT297" s="19" t="s">
        <v>212</v>
      </c>
      <c r="AU297" s="19" t="s">
        <v>213</v>
      </c>
      <c r="AV297" s="19" t="s">
        <v>214</v>
      </c>
      <c r="AW297" s="19" t="s">
        <v>215</v>
      </c>
      <c r="AX297" s="19" t="s">
        <v>149</v>
      </c>
      <c r="AY297" s="19" t="s">
        <v>216</v>
      </c>
      <c r="AZ297" s="19" t="s">
        <v>217</v>
      </c>
      <c r="BA297" s="20">
        <v>35521</v>
      </c>
      <c r="BB297" s="19" t="s">
        <v>331</v>
      </c>
      <c r="BC297" s="19" t="s">
        <v>4957</v>
      </c>
      <c r="BD297" s="19" t="s">
        <v>4957</v>
      </c>
      <c r="BE297" s="19" t="s">
        <v>130</v>
      </c>
      <c r="BF297" s="19" t="s">
        <v>4958</v>
      </c>
      <c r="BG297" s="19"/>
      <c r="BH297" s="19" t="s">
        <v>4959</v>
      </c>
      <c r="BI297" s="19" t="s">
        <v>4959</v>
      </c>
      <c r="BJ297" s="19" t="s">
        <v>1259</v>
      </c>
      <c r="BK297" s="19" t="s">
        <v>1491</v>
      </c>
      <c r="BL297" s="19" t="s">
        <v>122</v>
      </c>
      <c r="BM297" s="19" t="s">
        <v>196</v>
      </c>
      <c r="BN297" s="21">
        <v>643.35</v>
      </c>
      <c r="BO297" s="21">
        <v>6993.2145</v>
      </c>
      <c r="BQ297" s="2"/>
      <c r="BR297" s="2"/>
      <c r="BS297" s="2"/>
      <c r="BT297" s="2"/>
      <c r="BU297" s="22"/>
      <c r="BV297" s="2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</row>
    <row r="298" spans="1:95" x14ac:dyDescent="0.25">
      <c r="A298" s="18">
        <v>295</v>
      </c>
      <c r="B298" s="19" t="s">
        <v>4960</v>
      </c>
      <c r="C298" s="19" t="s">
        <v>4961</v>
      </c>
      <c r="D298" s="20">
        <v>46020</v>
      </c>
      <c r="E298" s="20">
        <v>38312</v>
      </c>
      <c r="F298" s="19" t="s">
        <v>4962</v>
      </c>
      <c r="G298" s="19" t="s">
        <v>139</v>
      </c>
      <c r="H298" s="19" t="s">
        <v>94</v>
      </c>
      <c r="I298" s="19"/>
      <c r="J298" s="19"/>
      <c r="K298" s="19"/>
      <c r="L298" s="19" t="s">
        <v>244</v>
      </c>
      <c r="M298" s="19" t="s">
        <v>245</v>
      </c>
      <c r="N298" s="19" t="s">
        <v>4963</v>
      </c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 t="s">
        <v>101</v>
      </c>
      <c r="Z298" s="19" t="s">
        <v>102</v>
      </c>
      <c r="AA298" s="19" t="s">
        <v>103</v>
      </c>
      <c r="AB298" s="19" t="s">
        <v>173</v>
      </c>
      <c r="AC298" s="19" t="s">
        <v>174</v>
      </c>
      <c r="AD298" s="19" t="s">
        <v>4964</v>
      </c>
      <c r="AE298" s="19" t="s">
        <v>4965</v>
      </c>
      <c r="AF298" s="19" t="s">
        <v>4966</v>
      </c>
      <c r="AG298" s="19" t="s">
        <v>4042</v>
      </c>
      <c r="AH298" s="19" t="s">
        <v>110</v>
      </c>
      <c r="AI298" s="19"/>
      <c r="AJ298" s="19" t="s">
        <v>4967</v>
      </c>
      <c r="AK298" s="19" t="s">
        <v>4374</v>
      </c>
      <c r="AL298" s="19" t="s">
        <v>4374</v>
      </c>
      <c r="AM298" s="19" t="s">
        <v>4968</v>
      </c>
      <c r="AN298" s="19" t="s">
        <v>4969</v>
      </c>
      <c r="AO298" s="19" t="s">
        <v>255</v>
      </c>
      <c r="AP298" s="19" t="s">
        <v>256</v>
      </c>
      <c r="AQ298" s="19" t="s">
        <v>117</v>
      </c>
      <c r="AR298" s="19" t="s">
        <v>257</v>
      </c>
      <c r="AS298" s="19" t="s">
        <v>258</v>
      </c>
      <c r="AT298" s="19" t="s">
        <v>259</v>
      </c>
      <c r="AU298" s="19" t="s">
        <v>260</v>
      </c>
      <c r="AV298" s="19" t="s">
        <v>260</v>
      </c>
      <c r="AW298" s="19" t="s">
        <v>261</v>
      </c>
      <c r="AX298" s="19" t="s">
        <v>262</v>
      </c>
      <c r="AY298" s="19" t="s">
        <v>263</v>
      </c>
      <c r="AZ298" s="19" t="s">
        <v>264</v>
      </c>
      <c r="BA298" s="20">
        <v>43627</v>
      </c>
      <c r="BB298" s="19" t="s">
        <v>265</v>
      </c>
      <c r="BC298" s="19" t="s">
        <v>4970</v>
      </c>
      <c r="BD298" s="19" t="s">
        <v>129</v>
      </c>
      <c r="BE298" s="19" t="s">
        <v>130</v>
      </c>
      <c r="BF298" s="19" t="s">
        <v>4971</v>
      </c>
      <c r="BG298" s="19"/>
      <c r="BH298" s="19" t="s">
        <v>4972</v>
      </c>
      <c r="BI298" s="19" t="s">
        <v>4972</v>
      </c>
      <c r="BJ298" s="19" t="s">
        <v>166</v>
      </c>
      <c r="BK298" s="19" t="s">
        <v>167</v>
      </c>
      <c r="BL298" s="19" t="s">
        <v>168</v>
      </c>
      <c r="BM298" s="19" t="s">
        <v>169</v>
      </c>
      <c r="BN298" s="21">
        <v>30.949000000000002</v>
      </c>
      <c r="BO298" s="21">
        <v>1096.3435658000001</v>
      </c>
      <c r="BQ298" s="2"/>
      <c r="BR298" s="2"/>
      <c r="BS298" s="2"/>
      <c r="BT298" s="2"/>
      <c r="BU298" s="22"/>
      <c r="BV298" s="2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</row>
    <row r="299" spans="1:95" x14ac:dyDescent="0.25">
      <c r="A299" s="18">
        <v>296</v>
      </c>
      <c r="B299" s="19" t="s">
        <v>4973</v>
      </c>
      <c r="C299" s="19" t="s">
        <v>4974</v>
      </c>
      <c r="D299" s="20">
        <v>46014</v>
      </c>
      <c r="E299" s="20">
        <v>24067</v>
      </c>
      <c r="F299" s="19"/>
      <c r="G299" s="19"/>
      <c r="H299" s="19" t="s">
        <v>94</v>
      </c>
      <c r="I299" s="19"/>
      <c r="J299" s="19" t="s">
        <v>3080</v>
      </c>
      <c r="K299" s="19" t="s">
        <v>3081</v>
      </c>
      <c r="L299" s="19" t="s">
        <v>467</v>
      </c>
      <c r="M299" s="19" t="s">
        <v>468</v>
      </c>
      <c r="N299" s="19" t="s">
        <v>4975</v>
      </c>
      <c r="O299" s="19" t="s">
        <v>100</v>
      </c>
      <c r="P299" s="19"/>
      <c r="Q299" s="19"/>
      <c r="R299" s="19"/>
      <c r="S299" s="19"/>
      <c r="T299" s="19"/>
      <c r="U299" s="19"/>
      <c r="V299" s="19"/>
      <c r="W299" s="19"/>
      <c r="X299" s="19"/>
      <c r="Y299" s="19" t="s">
        <v>101</v>
      </c>
      <c r="Z299" s="19" t="s">
        <v>102</v>
      </c>
      <c r="AA299" s="19" t="s">
        <v>103</v>
      </c>
      <c r="AB299" s="19" t="s">
        <v>402</v>
      </c>
      <c r="AC299" s="19" t="s">
        <v>403</v>
      </c>
      <c r="AD299" s="19" t="s">
        <v>4976</v>
      </c>
      <c r="AE299" s="19" t="s">
        <v>4977</v>
      </c>
      <c r="AF299" s="19" t="s">
        <v>4978</v>
      </c>
      <c r="AG299" s="19" t="s">
        <v>755</v>
      </c>
      <c r="AH299" s="19" t="s">
        <v>757</v>
      </c>
      <c r="AI299" s="19" t="s">
        <v>111</v>
      </c>
      <c r="AJ299" s="19" t="s">
        <v>4979</v>
      </c>
      <c r="AK299" s="19"/>
      <c r="AL299" s="19"/>
      <c r="AM299" s="19" t="s">
        <v>4980</v>
      </c>
      <c r="AN299" s="19" t="s">
        <v>4981</v>
      </c>
      <c r="AO299" s="19" t="s">
        <v>4982</v>
      </c>
      <c r="AP299" s="19" t="s">
        <v>4983</v>
      </c>
      <c r="AQ299" s="19" t="s">
        <v>117</v>
      </c>
      <c r="AR299" s="19" t="s">
        <v>4984</v>
      </c>
      <c r="AS299" s="19" t="s">
        <v>4985</v>
      </c>
      <c r="AT299" s="19" t="s">
        <v>4986</v>
      </c>
      <c r="AU299" s="19" t="s">
        <v>4987</v>
      </c>
      <c r="AV299" s="19" t="s">
        <v>4988</v>
      </c>
      <c r="AW299" s="19" t="s">
        <v>4989</v>
      </c>
      <c r="AX299" s="19" t="s">
        <v>757</v>
      </c>
      <c r="AY299" s="19" t="s">
        <v>4990</v>
      </c>
      <c r="AZ299" s="19" t="s">
        <v>4991</v>
      </c>
      <c r="BA299" s="20">
        <v>45693</v>
      </c>
      <c r="BB299" s="19" t="s">
        <v>127</v>
      </c>
      <c r="BC299" s="19" t="s">
        <v>4992</v>
      </c>
      <c r="BD299" s="19" t="s">
        <v>755</v>
      </c>
      <c r="BE299" s="19" t="s">
        <v>130</v>
      </c>
      <c r="BF299" s="19" t="s">
        <v>4993</v>
      </c>
      <c r="BG299" s="19" t="s">
        <v>4994</v>
      </c>
      <c r="BH299" s="19" t="s">
        <v>4995</v>
      </c>
      <c r="BI299" s="19" t="s">
        <v>4995</v>
      </c>
      <c r="BJ299" s="19" t="s">
        <v>133</v>
      </c>
      <c r="BK299" s="19" t="s">
        <v>4996</v>
      </c>
      <c r="BL299" s="19" t="s">
        <v>4988</v>
      </c>
      <c r="BM299" s="19" t="s">
        <v>1045</v>
      </c>
      <c r="BN299" s="21">
        <v>526.97699999999998</v>
      </c>
      <c r="BO299" s="21">
        <v>997741.36340999999</v>
      </c>
      <c r="BQ299" s="2"/>
      <c r="BR299" s="2"/>
      <c r="BS299" s="2"/>
      <c r="BT299" s="2"/>
      <c r="BU299" s="22"/>
      <c r="BV299" s="2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</row>
    <row r="300" spans="1:95" x14ac:dyDescent="0.25">
      <c r="A300" s="18">
        <v>297</v>
      </c>
      <c r="B300" s="19" t="s">
        <v>4997</v>
      </c>
      <c r="C300" s="19" t="s">
        <v>4998</v>
      </c>
      <c r="D300" s="20">
        <v>46015</v>
      </c>
      <c r="E300" s="20">
        <v>17231</v>
      </c>
      <c r="F300" s="19"/>
      <c r="G300" s="19"/>
      <c r="H300" s="19" t="s">
        <v>94</v>
      </c>
      <c r="I300" s="19"/>
      <c r="J300" s="19"/>
      <c r="K300" s="19"/>
      <c r="L300" s="19" t="s">
        <v>97</v>
      </c>
      <c r="M300" s="19" t="s">
        <v>98</v>
      </c>
      <c r="N300" s="19" t="s">
        <v>4999</v>
      </c>
      <c r="O300" s="19" t="s">
        <v>100</v>
      </c>
      <c r="P300" s="19"/>
      <c r="Q300" s="19"/>
      <c r="R300" s="19"/>
      <c r="S300" s="19"/>
      <c r="T300" s="19"/>
      <c r="U300" s="19"/>
      <c r="V300" s="19"/>
      <c r="W300" s="19"/>
      <c r="X300" s="19"/>
      <c r="Y300" s="19" t="s">
        <v>101</v>
      </c>
      <c r="Z300" s="19" t="s">
        <v>102</v>
      </c>
      <c r="AA300" s="19" t="s">
        <v>103</v>
      </c>
      <c r="AB300" s="19" t="s">
        <v>173</v>
      </c>
      <c r="AC300" s="19" t="s">
        <v>174</v>
      </c>
      <c r="AD300" s="19" t="s">
        <v>5000</v>
      </c>
      <c r="AE300" s="19" t="s">
        <v>5001</v>
      </c>
      <c r="AF300" s="19"/>
      <c r="AG300" s="19" t="s">
        <v>5002</v>
      </c>
      <c r="AH300" s="19" t="s">
        <v>262</v>
      </c>
      <c r="AI300" s="19" t="s">
        <v>111</v>
      </c>
      <c r="AJ300" s="19" t="s">
        <v>5003</v>
      </c>
      <c r="AK300" s="19"/>
      <c r="AL300" s="19"/>
      <c r="AM300" s="19" t="s">
        <v>5004</v>
      </c>
      <c r="AN300" s="19" t="s">
        <v>5005</v>
      </c>
      <c r="AO300" s="19" t="s">
        <v>835</v>
      </c>
      <c r="AP300" s="19" t="s">
        <v>836</v>
      </c>
      <c r="AQ300" s="19" t="s">
        <v>117</v>
      </c>
      <c r="AR300" s="19" t="s">
        <v>837</v>
      </c>
      <c r="AS300" s="19" t="s">
        <v>838</v>
      </c>
      <c r="AT300" s="19" t="s">
        <v>839</v>
      </c>
      <c r="AU300" s="19" t="s">
        <v>840</v>
      </c>
      <c r="AV300" s="19" t="s">
        <v>841</v>
      </c>
      <c r="AW300" s="19"/>
      <c r="AX300" s="19" t="s">
        <v>707</v>
      </c>
      <c r="AY300" s="19" t="s">
        <v>842</v>
      </c>
      <c r="AZ300" s="19" t="s">
        <v>843</v>
      </c>
      <c r="BA300" s="20">
        <v>45453</v>
      </c>
      <c r="BB300" s="19" t="s">
        <v>1002</v>
      </c>
      <c r="BC300" s="19" t="s">
        <v>1896</v>
      </c>
      <c r="BD300" s="19" t="s">
        <v>260</v>
      </c>
      <c r="BE300" s="19" t="s">
        <v>130</v>
      </c>
      <c r="BF300" s="19" t="s">
        <v>5006</v>
      </c>
      <c r="BG300" s="19"/>
      <c r="BH300" s="19" t="s">
        <v>1898</v>
      </c>
      <c r="BI300" s="19" t="s">
        <v>1898</v>
      </c>
      <c r="BJ300" s="19" t="s">
        <v>194</v>
      </c>
      <c r="BK300" s="19" t="s">
        <v>195</v>
      </c>
      <c r="BL300" s="19" t="s">
        <v>122</v>
      </c>
      <c r="BM300" s="19" t="s">
        <v>196</v>
      </c>
      <c r="BN300" s="21">
        <v>14.590999999999999</v>
      </c>
      <c r="BO300" s="21">
        <v>516.87450220000005</v>
      </c>
      <c r="BQ300" s="2"/>
      <c r="BR300" s="2"/>
      <c r="BS300" s="2"/>
      <c r="BT300" s="2"/>
      <c r="BU300" s="22"/>
      <c r="BV300" s="2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</row>
    <row r="301" spans="1:95" x14ac:dyDescent="0.25">
      <c r="A301" s="18">
        <v>298</v>
      </c>
      <c r="B301" s="19" t="s">
        <v>5007</v>
      </c>
      <c r="C301" s="19" t="s">
        <v>5008</v>
      </c>
      <c r="D301" s="20">
        <v>46016</v>
      </c>
      <c r="E301" s="20">
        <v>35199</v>
      </c>
      <c r="F301" s="19" t="s">
        <v>5009</v>
      </c>
      <c r="G301" s="19" t="s">
        <v>139</v>
      </c>
      <c r="H301" s="19" t="s">
        <v>94</v>
      </c>
      <c r="I301" s="19"/>
      <c r="J301" s="19"/>
      <c r="K301" s="19"/>
      <c r="L301" s="19" t="s">
        <v>244</v>
      </c>
      <c r="M301" s="19" t="s">
        <v>245</v>
      </c>
      <c r="N301" s="19" t="s">
        <v>5010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 t="s">
        <v>101</v>
      </c>
      <c r="Z301" s="19" t="s">
        <v>102</v>
      </c>
      <c r="AA301" s="19" t="s">
        <v>103</v>
      </c>
      <c r="AB301" s="19" t="s">
        <v>247</v>
      </c>
      <c r="AC301" s="19" t="s">
        <v>248</v>
      </c>
      <c r="AD301" s="19" t="s">
        <v>5011</v>
      </c>
      <c r="AE301" s="19" t="s">
        <v>5012</v>
      </c>
      <c r="AF301" s="19" t="s">
        <v>5013</v>
      </c>
      <c r="AG301" s="19" t="s">
        <v>3020</v>
      </c>
      <c r="AH301" s="19" t="s">
        <v>110</v>
      </c>
      <c r="AI301" s="19" t="s">
        <v>111</v>
      </c>
      <c r="AJ301" s="19" t="s">
        <v>5014</v>
      </c>
      <c r="AK301" s="19"/>
      <c r="AL301" s="19"/>
      <c r="AM301" s="19" t="s">
        <v>5015</v>
      </c>
      <c r="AN301" s="19" t="s">
        <v>5016</v>
      </c>
      <c r="AO301" s="19" t="s">
        <v>255</v>
      </c>
      <c r="AP301" s="19" t="s">
        <v>256</v>
      </c>
      <c r="AQ301" s="19" t="s">
        <v>117</v>
      </c>
      <c r="AR301" s="19" t="s">
        <v>257</v>
      </c>
      <c r="AS301" s="19" t="s">
        <v>258</v>
      </c>
      <c r="AT301" s="19" t="s">
        <v>259</v>
      </c>
      <c r="AU301" s="19" t="s">
        <v>260</v>
      </c>
      <c r="AV301" s="19" t="s">
        <v>260</v>
      </c>
      <c r="AW301" s="19" t="s">
        <v>261</v>
      </c>
      <c r="AX301" s="19" t="s">
        <v>262</v>
      </c>
      <c r="AY301" s="19" t="s">
        <v>263</v>
      </c>
      <c r="AZ301" s="19" t="s">
        <v>264</v>
      </c>
      <c r="BA301" s="20">
        <v>43627</v>
      </c>
      <c r="BB301" s="19" t="s">
        <v>331</v>
      </c>
      <c r="BC301" s="19" t="s">
        <v>5017</v>
      </c>
      <c r="BD301" s="19" t="s">
        <v>129</v>
      </c>
      <c r="BE301" s="19" t="s">
        <v>130</v>
      </c>
      <c r="BF301" s="19" t="s">
        <v>5018</v>
      </c>
      <c r="BG301" s="19"/>
      <c r="BH301" s="19" t="s">
        <v>5019</v>
      </c>
      <c r="BI301" s="19" t="s">
        <v>5019</v>
      </c>
      <c r="BJ301" s="19" t="s">
        <v>166</v>
      </c>
      <c r="BK301" s="19" t="s">
        <v>167</v>
      </c>
      <c r="BL301" s="19" t="s">
        <v>168</v>
      </c>
      <c r="BM301" s="19" t="s">
        <v>169</v>
      </c>
      <c r="BN301" s="21">
        <v>91.32</v>
      </c>
      <c r="BO301" s="21">
        <v>40044.952367999998</v>
      </c>
      <c r="BQ301" s="2"/>
      <c r="BR301" s="2"/>
      <c r="BS301" s="2"/>
      <c r="BT301" s="2"/>
      <c r="BU301" s="22"/>
      <c r="BV301" s="2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</row>
    <row r="302" spans="1:95" x14ac:dyDescent="0.25">
      <c r="A302" s="18">
        <v>299</v>
      </c>
      <c r="B302" s="19" t="s">
        <v>5020</v>
      </c>
      <c r="C302" s="19" t="s">
        <v>5021</v>
      </c>
      <c r="D302" s="20">
        <v>46017</v>
      </c>
      <c r="E302" s="20">
        <v>35727</v>
      </c>
      <c r="F302" s="19"/>
      <c r="G302" s="19"/>
      <c r="H302" s="19" t="s">
        <v>94</v>
      </c>
      <c r="I302" s="19"/>
      <c r="J302" s="19"/>
      <c r="K302" s="19"/>
      <c r="L302" s="19" t="s">
        <v>140</v>
      </c>
      <c r="M302" s="19" t="s">
        <v>141</v>
      </c>
      <c r="N302" s="19" t="s">
        <v>5022</v>
      </c>
      <c r="O302" s="19" t="s">
        <v>100</v>
      </c>
      <c r="P302" s="19"/>
      <c r="Q302" s="19"/>
      <c r="R302" s="19"/>
      <c r="S302" s="19"/>
      <c r="T302" s="19"/>
      <c r="U302" s="19"/>
      <c r="V302" s="19"/>
      <c r="W302" s="19"/>
      <c r="X302" s="19"/>
      <c r="Y302" s="19" t="s">
        <v>101</v>
      </c>
      <c r="Z302" s="19" t="s">
        <v>102</v>
      </c>
      <c r="AA302" s="19" t="s">
        <v>103</v>
      </c>
      <c r="AB302" s="19" t="s">
        <v>1025</v>
      </c>
      <c r="AC302" s="19" t="s">
        <v>1026</v>
      </c>
      <c r="AD302" s="19" t="s">
        <v>5023</v>
      </c>
      <c r="AE302" s="19" t="s">
        <v>5024</v>
      </c>
      <c r="AF302" s="19" t="s">
        <v>5025</v>
      </c>
      <c r="AG302" s="19" t="s">
        <v>5026</v>
      </c>
      <c r="AH302" s="19" t="s">
        <v>757</v>
      </c>
      <c r="AI302" s="19" t="s">
        <v>111</v>
      </c>
      <c r="AJ302" s="19" t="s">
        <v>5027</v>
      </c>
      <c r="AK302" s="19"/>
      <c r="AL302" s="19"/>
      <c r="AM302" s="19" t="s">
        <v>5028</v>
      </c>
      <c r="AN302" s="19" t="s">
        <v>5029</v>
      </c>
      <c r="AO302" s="19" t="s">
        <v>579</v>
      </c>
      <c r="AP302" s="19" t="s">
        <v>580</v>
      </c>
      <c r="AQ302" s="19" t="s">
        <v>117</v>
      </c>
      <c r="AR302" s="19" t="s">
        <v>581</v>
      </c>
      <c r="AS302" s="19" t="s">
        <v>582</v>
      </c>
      <c r="AT302" s="19" t="s">
        <v>583</v>
      </c>
      <c r="AU302" s="19" t="s">
        <v>584</v>
      </c>
      <c r="AV302" s="19" t="s">
        <v>168</v>
      </c>
      <c r="AW302" s="19" t="s">
        <v>585</v>
      </c>
      <c r="AX302" s="19" t="s">
        <v>262</v>
      </c>
      <c r="AY302" s="19" t="s">
        <v>586</v>
      </c>
      <c r="AZ302" s="19" t="s">
        <v>587</v>
      </c>
      <c r="BA302" s="20">
        <v>44494</v>
      </c>
      <c r="BB302" s="19" t="s">
        <v>1002</v>
      </c>
      <c r="BC302" s="19" t="s">
        <v>1896</v>
      </c>
      <c r="BD302" s="19" t="s">
        <v>260</v>
      </c>
      <c r="BE302" s="19" t="s">
        <v>130</v>
      </c>
      <c r="BF302" s="19" t="s">
        <v>5030</v>
      </c>
      <c r="BG302" s="19"/>
      <c r="BH302" s="19" t="s">
        <v>1898</v>
      </c>
      <c r="BI302" s="19" t="s">
        <v>1898</v>
      </c>
      <c r="BJ302" s="19" t="s">
        <v>194</v>
      </c>
      <c r="BK302" s="19" t="s">
        <v>591</v>
      </c>
      <c r="BL302" s="19" t="s">
        <v>122</v>
      </c>
      <c r="BM302" s="19" t="s">
        <v>592</v>
      </c>
      <c r="BN302" s="21">
        <v>2.843</v>
      </c>
      <c r="BO302" s="21">
        <v>98.893186400000005</v>
      </c>
      <c r="BQ302" s="2"/>
      <c r="BR302" s="2"/>
      <c r="BS302" s="2"/>
      <c r="BT302" s="2"/>
      <c r="BU302" s="22"/>
      <c r="BV302" s="2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</row>
    <row r="303" spans="1:95" x14ac:dyDescent="0.25">
      <c r="A303" s="18">
        <v>300</v>
      </c>
      <c r="B303" s="19" t="s">
        <v>5031</v>
      </c>
      <c r="C303" s="19" t="s">
        <v>5032</v>
      </c>
      <c r="D303" s="20">
        <v>46022</v>
      </c>
      <c r="E303" s="20">
        <v>18788</v>
      </c>
      <c r="F303" s="19"/>
      <c r="G303" s="19"/>
      <c r="H303" s="19" t="s">
        <v>94</v>
      </c>
      <c r="I303" s="19"/>
      <c r="J303" s="19"/>
      <c r="K303" s="19"/>
      <c r="L303" s="19" t="s">
        <v>1368</v>
      </c>
      <c r="M303" s="19" t="s">
        <v>468</v>
      </c>
      <c r="N303" s="19" t="s">
        <v>5033</v>
      </c>
      <c r="O303" s="19" t="s">
        <v>100</v>
      </c>
      <c r="P303" s="19"/>
      <c r="Q303" s="19"/>
      <c r="R303" s="19"/>
      <c r="S303" s="19"/>
      <c r="T303" s="19"/>
      <c r="U303" s="19"/>
      <c r="V303" s="19"/>
      <c r="W303" s="19"/>
      <c r="X303" s="19"/>
      <c r="Y303" s="19" t="s">
        <v>101</v>
      </c>
      <c r="Z303" s="19" t="s">
        <v>102</v>
      </c>
      <c r="AA303" s="19" t="s">
        <v>103</v>
      </c>
      <c r="AB303" s="19" t="s">
        <v>5034</v>
      </c>
      <c r="AC303" s="19" t="s">
        <v>5035</v>
      </c>
      <c r="AD303" s="19" t="s">
        <v>5036</v>
      </c>
      <c r="AE303" s="19" t="s">
        <v>5037</v>
      </c>
      <c r="AF303" s="19" t="s">
        <v>5038</v>
      </c>
      <c r="AG303" s="19" t="s">
        <v>219</v>
      </c>
      <c r="AH303" s="19" t="s">
        <v>124</v>
      </c>
      <c r="AI303" s="19" t="s">
        <v>111</v>
      </c>
      <c r="AJ303" s="19" t="s">
        <v>1253</v>
      </c>
      <c r="AK303" s="19"/>
      <c r="AL303" s="19"/>
      <c r="AM303" s="19" t="s">
        <v>5039</v>
      </c>
      <c r="AN303" s="19" t="s">
        <v>5040</v>
      </c>
      <c r="AO303" s="19" t="s">
        <v>5041</v>
      </c>
      <c r="AP303" s="19" t="s">
        <v>5042</v>
      </c>
      <c r="AQ303" s="19" t="s">
        <v>117</v>
      </c>
      <c r="AR303" s="19" t="s">
        <v>5043</v>
      </c>
      <c r="AS303" s="19" t="s">
        <v>5044</v>
      </c>
      <c r="AT303" s="19" t="s">
        <v>5045</v>
      </c>
      <c r="AU303" s="19" t="s">
        <v>5046</v>
      </c>
      <c r="AV303" s="19" t="s">
        <v>219</v>
      </c>
      <c r="AW303" s="19" t="s">
        <v>123</v>
      </c>
      <c r="AX303" s="19" t="s">
        <v>124</v>
      </c>
      <c r="AY303" s="19" t="s">
        <v>5047</v>
      </c>
      <c r="AZ303" s="19" t="s">
        <v>5048</v>
      </c>
      <c r="BA303" s="20">
        <v>39692</v>
      </c>
      <c r="BB303" s="19" t="s">
        <v>2253</v>
      </c>
      <c r="BC303" s="19" t="s">
        <v>5049</v>
      </c>
      <c r="BD303" s="19" t="s">
        <v>122</v>
      </c>
      <c r="BE303" s="19" t="s">
        <v>130</v>
      </c>
      <c r="BF303" s="19" t="s">
        <v>5050</v>
      </c>
      <c r="BG303" s="19" t="s">
        <v>5051</v>
      </c>
      <c r="BH303" s="19" t="s">
        <v>5052</v>
      </c>
      <c r="BI303" s="19" t="s">
        <v>5052</v>
      </c>
      <c r="BJ303" s="19" t="s">
        <v>2259</v>
      </c>
      <c r="BK303" s="19" t="s">
        <v>5053</v>
      </c>
      <c r="BL303" s="19" t="s">
        <v>5054</v>
      </c>
      <c r="BM303" s="19" t="s">
        <v>196</v>
      </c>
      <c r="BN303" s="21">
        <v>0</v>
      </c>
      <c r="BO303" s="21">
        <v>0</v>
      </c>
      <c r="BQ303" s="2"/>
      <c r="BR303" s="2"/>
      <c r="BS303" s="2"/>
      <c r="BT303" s="2"/>
      <c r="BU303" s="22"/>
      <c r="BV303" s="2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</row>
    <row r="304" spans="1:95" x14ac:dyDescent="0.25">
      <c r="A304" s="18">
        <v>301</v>
      </c>
      <c r="B304" s="19" t="s">
        <v>5055</v>
      </c>
      <c r="C304" s="19" t="s">
        <v>5056</v>
      </c>
      <c r="D304" s="20">
        <v>46022</v>
      </c>
      <c r="E304" s="20">
        <v>32219</v>
      </c>
      <c r="F304" s="19"/>
      <c r="G304" s="19"/>
      <c r="H304" s="19" t="s">
        <v>94</v>
      </c>
      <c r="I304" s="19"/>
      <c r="J304" s="19" t="s">
        <v>287</v>
      </c>
      <c r="K304" s="19" t="s">
        <v>288</v>
      </c>
      <c r="L304" s="19" t="s">
        <v>101</v>
      </c>
      <c r="M304" s="19" t="s">
        <v>290</v>
      </c>
      <c r="N304" s="19" t="s">
        <v>5057</v>
      </c>
      <c r="O304" s="19" t="s">
        <v>100</v>
      </c>
      <c r="P304" s="19"/>
      <c r="Q304" s="19"/>
      <c r="R304" s="19"/>
      <c r="S304" s="19"/>
      <c r="T304" s="19"/>
      <c r="U304" s="19"/>
      <c r="V304" s="19"/>
      <c r="W304" s="19"/>
      <c r="X304" s="19"/>
      <c r="Y304" s="19" t="s">
        <v>101</v>
      </c>
      <c r="Z304" s="19" t="s">
        <v>102</v>
      </c>
      <c r="AA304" s="19" t="s">
        <v>103</v>
      </c>
      <c r="AB304" s="19" t="s">
        <v>1025</v>
      </c>
      <c r="AC304" s="19" t="s">
        <v>1026</v>
      </c>
      <c r="AD304" s="19" t="s">
        <v>5058</v>
      </c>
      <c r="AE304" s="19" t="s">
        <v>5059</v>
      </c>
      <c r="AF304" s="19"/>
      <c r="AG304" s="19" t="s">
        <v>927</v>
      </c>
      <c r="AH304" s="19" t="s">
        <v>124</v>
      </c>
      <c r="AI304" s="19" t="s">
        <v>111</v>
      </c>
      <c r="AJ304" s="19" t="s">
        <v>5060</v>
      </c>
      <c r="AK304" s="19"/>
      <c r="AL304" s="19"/>
      <c r="AM304" s="19" t="s">
        <v>5061</v>
      </c>
      <c r="AN304" s="19" t="s">
        <v>5062</v>
      </c>
      <c r="AO304" s="19" t="s">
        <v>5063</v>
      </c>
      <c r="AP304" s="19" t="s">
        <v>5064</v>
      </c>
      <c r="AQ304" s="19" t="s">
        <v>117</v>
      </c>
      <c r="AR304" s="19" t="s">
        <v>5065</v>
      </c>
      <c r="AS304" s="19" t="s">
        <v>5066</v>
      </c>
      <c r="AT304" s="19" t="s">
        <v>5067</v>
      </c>
      <c r="AU304" s="19"/>
      <c r="AV304" s="19" t="s">
        <v>5066</v>
      </c>
      <c r="AW304" s="19" t="s">
        <v>5068</v>
      </c>
      <c r="AX304" s="19" t="s">
        <v>901</v>
      </c>
      <c r="AY304" s="19" t="s">
        <v>5069</v>
      </c>
      <c r="AZ304" s="19" t="s">
        <v>5070</v>
      </c>
      <c r="BA304" s="20">
        <v>45975</v>
      </c>
      <c r="BB304" s="19" t="s">
        <v>312</v>
      </c>
      <c r="BC304" s="19" t="s">
        <v>5071</v>
      </c>
      <c r="BD304" s="19" t="s">
        <v>3109</v>
      </c>
      <c r="BE304" s="19" t="s">
        <v>130</v>
      </c>
      <c r="BF304" s="19" t="s">
        <v>5072</v>
      </c>
      <c r="BG304" s="19"/>
      <c r="BH304" s="19" t="s">
        <v>5073</v>
      </c>
      <c r="BI304" s="19" t="s">
        <v>5073</v>
      </c>
      <c r="BJ304" s="19" t="s">
        <v>166</v>
      </c>
      <c r="BK304" s="19" t="s">
        <v>221</v>
      </c>
      <c r="BL304" s="19" t="s">
        <v>222</v>
      </c>
      <c r="BM304" s="19" t="s">
        <v>169</v>
      </c>
      <c r="BN304" s="21">
        <v>0</v>
      </c>
      <c r="BO304" s="21">
        <v>0</v>
      </c>
      <c r="BQ304" s="2"/>
      <c r="BR304" s="2"/>
      <c r="BS304" s="2"/>
      <c r="BT304" s="2"/>
      <c r="BU304" s="22"/>
      <c r="BV304" s="2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</row>
    <row r="305" spans="1:95" x14ac:dyDescent="0.25">
      <c r="A305" s="18">
        <v>302</v>
      </c>
      <c r="B305" s="19" t="s">
        <v>5074</v>
      </c>
      <c r="C305" s="19" t="s">
        <v>5075</v>
      </c>
      <c r="D305" s="20">
        <v>45999</v>
      </c>
      <c r="E305" s="20">
        <v>36393</v>
      </c>
      <c r="F305" s="19"/>
      <c r="G305" s="19"/>
      <c r="H305" s="19" t="s">
        <v>94</v>
      </c>
      <c r="I305" s="19"/>
      <c r="J305" s="19"/>
      <c r="K305" s="19"/>
      <c r="L305" s="19" t="s">
        <v>140</v>
      </c>
      <c r="M305" s="19" t="s">
        <v>141</v>
      </c>
      <c r="N305" s="19" t="s">
        <v>5076</v>
      </c>
      <c r="O305" s="19" t="s">
        <v>100</v>
      </c>
      <c r="P305" s="19"/>
      <c r="Q305" s="19"/>
      <c r="R305" s="19"/>
      <c r="S305" s="19"/>
      <c r="T305" s="19"/>
      <c r="U305" s="19"/>
      <c r="V305" s="19"/>
      <c r="W305" s="19"/>
      <c r="X305" s="19"/>
      <c r="Y305" s="19" t="s">
        <v>101</v>
      </c>
      <c r="Z305" s="19" t="s">
        <v>102</v>
      </c>
      <c r="AA305" s="19" t="s">
        <v>103</v>
      </c>
      <c r="AB305" s="19" t="s">
        <v>402</v>
      </c>
      <c r="AC305" s="19" t="s">
        <v>403</v>
      </c>
      <c r="AD305" s="19" t="s">
        <v>5077</v>
      </c>
      <c r="AE305" s="19" t="s">
        <v>5078</v>
      </c>
      <c r="AF305" s="19" t="s">
        <v>5079</v>
      </c>
      <c r="AG305" s="19" t="s">
        <v>623</v>
      </c>
      <c r="AH305" s="19" t="s">
        <v>124</v>
      </c>
      <c r="AI305" s="19" t="s">
        <v>111</v>
      </c>
      <c r="AJ305" s="19" t="s">
        <v>5080</v>
      </c>
      <c r="AK305" s="19"/>
      <c r="AL305" s="19"/>
      <c r="AM305" s="19" t="s">
        <v>5081</v>
      </c>
      <c r="AN305" s="19" t="s">
        <v>5082</v>
      </c>
      <c r="AO305" s="19" t="s">
        <v>1206</v>
      </c>
      <c r="AP305" s="19" t="s">
        <v>1207</v>
      </c>
      <c r="AQ305" s="19" t="s">
        <v>117</v>
      </c>
      <c r="AR305" s="19" t="s">
        <v>1208</v>
      </c>
      <c r="AS305" s="19" t="s">
        <v>1209</v>
      </c>
      <c r="AT305" s="19" t="s">
        <v>1210</v>
      </c>
      <c r="AU305" s="19" t="s">
        <v>1211</v>
      </c>
      <c r="AV305" s="19" t="s">
        <v>219</v>
      </c>
      <c r="AW305" s="19" t="s">
        <v>1212</v>
      </c>
      <c r="AX305" s="19" t="s">
        <v>124</v>
      </c>
      <c r="AY305" s="19" t="s">
        <v>1213</v>
      </c>
      <c r="AZ305" s="19" t="s">
        <v>1214</v>
      </c>
      <c r="BA305" s="20">
        <v>37560</v>
      </c>
      <c r="BB305" s="19" t="s">
        <v>161</v>
      </c>
      <c r="BC305" s="19" t="s">
        <v>5083</v>
      </c>
      <c r="BD305" s="19" t="s">
        <v>148</v>
      </c>
      <c r="BE305" s="19" t="s">
        <v>130</v>
      </c>
      <c r="BF305" s="19" t="s">
        <v>5084</v>
      </c>
      <c r="BG305" s="19"/>
      <c r="BH305" s="19" t="s">
        <v>5085</v>
      </c>
      <c r="BI305" s="19" t="s">
        <v>5085</v>
      </c>
      <c r="BJ305" s="19" t="s">
        <v>194</v>
      </c>
      <c r="BK305" s="19" t="s">
        <v>591</v>
      </c>
      <c r="BL305" s="19" t="s">
        <v>122</v>
      </c>
      <c r="BM305" s="19" t="s">
        <v>592</v>
      </c>
      <c r="BN305" s="21">
        <v>2.681</v>
      </c>
      <c r="BO305" s="21">
        <v>5076.0177299999996</v>
      </c>
      <c r="BQ305" s="2"/>
      <c r="BR305" s="2"/>
      <c r="BS305" s="2"/>
      <c r="BT305" s="2"/>
      <c r="BU305" s="22"/>
      <c r="BV305" s="2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</row>
    <row r="306" spans="1:95" x14ac:dyDescent="0.25">
      <c r="A306" s="18">
        <v>303</v>
      </c>
      <c r="B306" s="19" t="s">
        <v>5086</v>
      </c>
      <c r="C306" s="19" t="s">
        <v>5087</v>
      </c>
      <c r="D306" s="20">
        <v>45992</v>
      </c>
      <c r="E306" s="20">
        <v>33263</v>
      </c>
      <c r="F306" s="19"/>
      <c r="G306" s="19"/>
      <c r="H306" s="19" t="s">
        <v>94</v>
      </c>
      <c r="I306" s="19"/>
      <c r="J306" s="19"/>
      <c r="K306" s="19"/>
      <c r="L306" s="19" t="s">
        <v>467</v>
      </c>
      <c r="M306" s="19" t="s">
        <v>468</v>
      </c>
      <c r="N306" s="19" t="s">
        <v>5088</v>
      </c>
      <c r="O306" s="19" t="s">
        <v>100</v>
      </c>
      <c r="P306" s="19"/>
      <c r="Q306" s="19"/>
      <c r="R306" s="19"/>
      <c r="S306" s="19"/>
      <c r="T306" s="19"/>
      <c r="U306" s="19"/>
      <c r="V306" s="19"/>
      <c r="W306" s="19"/>
      <c r="X306" s="19"/>
      <c r="Y306" s="19" t="s">
        <v>101</v>
      </c>
      <c r="Z306" s="19" t="s">
        <v>102</v>
      </c>
      <c r="AA306" s="19" t="s">
        <v>103</v>
      </c>
      <c r="AB306" s="19" t="s">
        <v>173</v>
      </c>
      <c r="AC306" s="19" t="s">
        <v>174</v>
      </c>
      <c r="AD306" s="19" t="s">
        <v>5089</v>
      </c>
      <c r="AE306" s="19" t="s">
        <v>1716</v>
      </c>
      <c r="AF306" s="19"/>
      <c r="AG306" s="19" t="s">
        <v>5090</v>
      </c>
      <c r="AH306" s="19" t="s">
        <v>757</v>
      </c>
      <c r="AI306" s="19" t="s">
        <v>111</v>
      </c>
      <c r="AJ306" s="19" t="s">
        <v>5091</v>
      </c>
      <c r="AK306" s="19"/>
      <c r="AL306" s="19"/>
      <c r="AM306" s="19" t="s">
        <v>5092</v>
      </c>
      <c r="AN306" s="19" t="s">
        <v>5093</v>
      </c>
      <c r="AO306" s="19" t="s">
        <v>181</v>
      </c>
      <c r="AP306" s="19" t="s">
        <v>182</v>
      </c>
      <c r="AQ306" s="19" t="s">
        <v>117</v>
      </c>
      <c r="AR306" s="19" t="s">
        <v>183</v>
      </c>
      <c r="AS306" s="19" t="s">
        <v>184</v>
      </c>
      <c r="AT306" s="19" t="s">
        <v>185</v>
      </c>
      <c r="AU306" s="19"/>
      <c r="AV306" s="19" t="s">
        <v>186</v>
      </c>
      <c r="AW306" s="19" t="s">
        <v>187</v>
      </c>
      <c r="AX306" s="19" t="s">
        <v>188</v>
      </c>
      <c r="AY306" s="19"/>
      <c r="AZ306" s="19" t="s">
        <v>189</v>
      </c>
      <c r="BA306" s="20">
        <v>44673</v>
      </c>
      <c r="BB306" s="19" t="s">
        <v>1388</v>
      </c>
      <c r="BC306" s="19" t="s">
        <v>5094</v>
      </c>
      <c r="BD306" s="19" t="s">
        <v>5095</v>
      </c>
      <c r="BE306" s="19" t="s">
        <v>130</v>
      </c>
      <c r="BF306" s="19" t="s">
        <v>5096</v>
      </c>
      <c r="BG306" s="19"/>
      <c r="BH306" s="19" t="s">
        <v>5097</v>
      </c>
      <c r="BI306" s="19" t="s">
        <v>5097</v>
      </c>
      <c r="BJ306" s="19" t="s">
        <v>194</v>
      </c>
      <c r="BK306" s="19" t="s">
        <v>195</v>
      </c>
      <c r="BL306" s="19" t="s">
        <v>122</v>
      </c>
      <c r="BM306" s="19" t="s">
        <v>196</v>
      </c>
      <c r="BN306" s="21">
        <v>10.847</v>
      </c>
      <c r="BO306" s="21">
        <v>384.2462974</v>
      </c>
      <c r="BQ306" s="2"/>
      <c r="BR306" s="2"/>
      <c r="BS306" s="2"/>
      <c r="BT306" s="2"/>
      <c r="BU306" s="22"/>
      <c r="BV306" s="2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</row>
    <row r="307" spans="1:95" x14ac:dyDescent="0.25">
      <c r="A307" s="18">
        <v>304</v>
      </c>
      <c r="B307" s="19" t="s">
        <v>5098</v>
      </c>
      <c r="C307" s="19" t="s">
        <v>5099</v>
      </c>
      <c r="D307" s="20">
        <v>45993</v>
      </c>
      <c r="E307" s="20">
        <v>32637</v>
      </c>
      <c r="F307" s="19" t="s">
        <v>5100</v>
      </c>
      <c r="G307" s="19" t="s">
        <v>139</v>
      </c>
      <c r="H307" s="19" t="s">
        <v>94</v>
      </c>
      <c r="I307" s="19"/>
      <c r="J307" s="19"/>
      <c r="K307" s="19"/>
      <c r="L307" s="19" t="s">
        <v>244</v>
      </c>
      <c r="M307" s="19" t="s">
        <v>245</v>
      </c>
      <c r="N307" s="19" t="s">
        <v>5101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 t="s">
        <v>101</v>
      </c>
      <c r="Z307" s="19" t="s">
        <v>102</v>
      </c>
      <c r="AA307" s="19" t="s">
        <v>103</v>
      </c>
      <c r="AB307" s="19" t="s">
        <v>143</v>
      </c>
      <c r="AC307" s="19" t="s">
        <v>144</v>
      </c>
      <c r="AD307" s="19" t="s">
        <v>5102</v>
      </c>
      <c r="AE307" s="19" t="s">
        <v>5103</v>
      </c>
      <c r="AF307" s="19"/>
      <c r="AG307" s="19" t="s">
        <v>277</v>
      </c>
      <c r="AH307" s="19" t="s">
        <v>124</v>
      </c>
      <c r="AI307" s="19"/>
      <c r="AJ307" s="19" t="s">
        <v>5104</v>
      </c>
      <c r="AK307" s="19"/>
      <c r="AL307" s="19" t="s">
        <v>5105</v>
      </c>
      <c r="AM307" s="19" t="s">
        <v>5106</v>
      </c>
      <c r="AN307" s="19" t="s">
        <v>5107</v>
      </c>
      <c r="AO307" s="19" t="s">
        <v>154</v>
      </c>
      <c r="AP307" s="19" t="s">
        <v>155</v>
      </c>
      <c r="AQ307" s="19" t="s">
        <v>117</v>
      </c>
      <c r="AR307" s="19" t="s">
        <v>156</v>
      </c>
      <c r="AS307" s="19" t="s">
        <v>157</v>
      </c>
      <c r="AT307" s="19" t="s">
        <v>158</v>
      </c>
      <c r="AU307" s="19"/>
      <c r="AV307" s="19" t="s">
        <v>122</v>
      </c>
      <c r="AW307" s="19"/>
      <c r="AX307" s="19" t="s">
        <v>124</v>
      </c>
      <c r="AY307" s="19" t="s">
        <v>159</v>
      </c>
      <c r="AZ307" s="19" t="s">
        <v>160</v>
      </c>
      <c r="BA307" s="20">
        <v>44676</v>
      </c>
      <c r="BB307" s="19" t="s">
        <v>349</v>
      </c>
      <c r="BC307" s="19" t="s">
        <v>5108</v>
      </c>
      <c r="BD307" s="19" t="s">
        <v>277</v>
      </c>
      <c r="BE307" s="19" t="s">
        <v>130</v>
      </c>
      <c r="BF307" s="19" t="s">
        <v>5109</v>
      </c>
      <c r="BG307" s="19"/>
      <c r="BH307" s="19" t="s">
        <v>5110</v>
      </c>
      <c r="BI307" s="19" t="s">
        <v>5110</v>
      </c>
      <c r="BJ307" s="19" t="s">
        <v>166</v>
      </c>
      <c r="BK307" s="19" t="s">
        <v>167</v>
      </c>
      <c r="BL307" s="19" t="s">
        <v>168</v>
      </c>
      <c r="BM307" s="19" t="s">
        <v>169</v>
      </c>
      <c r="BN307" s="21">
        <v>53.634999999999998</v>
      </c>
      <c r="BO307" s="21">
        <v>2042.95715</v>
      </c>
      <c r="BQ307" s="2"/>
      <c r="BR307" s="2"/>
      <c r="BS307" s="2"/>
      <c r="BT307" s="2"/>
      <c r="BU307" s="22"/>
      <c r="BV307" s="2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</row>
    <row r="308" spans="1:95" x14ac:dyDescent="0.25">
      <c r="A308" s="18">
        <v>305</v>
      </c>
      <c r="B308" s="19" t="s">
        <v>5111</v>
      </c>
      <c r="C308" s="19" t="s">
        <v>5112</v>
      </c>
      <c r="D308" s="20">
        <v>46000</v>
      </c>
      <c r="E308" s="20">
        <v>38775</v>
      </c>
      <c r="F308" s="19" t="s">
        <v>5113</v>
      </c>
      <c r="G308" s="19" t="s">
        <v>139</v>
      </c>
      <c r="H308" s="19" t="s">
        <v>117</v>
      </c>
      <c r="I308" s="19" t="s">
        <v>5114</v>
      </c>
      <c r="J308" s="19"/>
      <c r="K308" s="19"/>
      <c r="L308" s="19" t="s">
        <v>101</v>
      </c>
      <c r="M308" s="19" t="s">
        <v>290</v>
      </c>
      <c r="N308" s="19" t="s">
        <v>5115</v>
      </c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 t="s">
        <v>101</v>
      </c>
      <c r="Z308" s="19" t="s">
        <v>102</v>
      </c>
      <c r="AA308" s="19" t="s">
        <v>103</v>
      </c>
      <c r="AB308" s="19" t="s">
        <v>850</v>
      </c>
      <c r="AC308" s="19" t="s">
        <v>851</v>
      </c>
      <c r="AD308" s="19" t="s">
        <v>5116</v>
      </c>
      <c r="AE308" s="19" t="s">
        <v>5117</v>
      </c>
      <c r="AF308" s="19" t="s">
        <v>5118</v>
      </c>
      <c r="AG308" s="19" t="s">
        <v>5118</v>
      </c>
      <c r="AH308" s="19" t="s">
        <v>124</v>
      </c>
      <c r="AI308" s="19" t="s">
        <v>111</v>
      </c>
      <c r="AJ308" s="19" t="s">
        <v>5119</v>
      </c>
      <c r="AK308" s="19"/>
      <c r="AL308" s="19"/>
      <c r="AM308" s="19" t="s">
        <v>5120</v>
      </c>
      <c r="AN308" s="19" t="s">
        <v>5121</v>
      </c>
      <c r="AO308" s="19" t="s">
        <v>895</v>
      </c>
      <c r="AP308" s="19" t="s">
        <v>896</v>
      </c>
      <c r="AQ308" s="19" t="s">
        <v>117</v>
      </c>
      <c r="AR308" s="19" t="s">
        <v>897</v>
      </c>
      <c r="AS308" s="19" t="s">
        <v>898</v>
      </c>
      <c r="AT308" s="19" t="s">
        <v>899</v>
      </c>
      <c r="AU308" s="19" t="s">
        <v>900</v>
      </c>
      <c r="AV308" s="19" t="s">
        <v>122</v>
      </c>
      <c r="AW308" s="19" t="s">
        <v>123</v>
      </c>
      <c r="AX308" s="19" t="s">
        <v>901</v>
      </c>
      <c r="AY308" s="19" t="s">
        <v>902</v>
      </c>
      <c r="AZ308" s="19" t="s">
        <v>903</v>
      </c>
      <c r="BA308" s="20">
        <v>37265</v>
      </c>
      <c r="BB308" s="19" t="s">
        <v>331</v>
      </c>
      <c r="BC308" s="19" t="s">
        <v>5122</v>
      </c>
      <c r="BD308" s="19" t="s">
        <v>5118</v>
      </c>
      <c r="BE308" s="19" t="s">
        <v>130</v>
      </c>
      <c r="BF308" s="19" t="s">
        <v>5123</v>
      </c>
      <c r="BG308" s="19"/>
      <c r="BH308" s="19" t="s">
        <v>5124</v>
      </c>
      <c r="BI308" s="19" t="s">
        <v>5124</v>
      </c>
      <c r="BJ308" s="19" t="s">
        <v>166</v>
      </c>
      <c r="BK308" s="19" t="s">
        <v>907</v>
      </c>
      <c r="BL308" s="19" t="s">
        <v>122</v>
      </c>
      <c r="BM308" s="19" t="s">
        <v>592</v>
      </c>
      <c r="BN308" s="21">
        <v>0.91700000000000004</v>
      </c>
      <c r="BO308" s="21">
        <v>100.86083000000001</v>
      </c>
      <c r="BQ308" s="2"/>
      <c r="BR308" s="2"/>
      <c r="BS308" s="2"/>
      <c r="BT308" s="2"/>
      <c r="BU308" s="22"/>
      <c r="BV308" s="2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</row>
    <row r="309" spans="1:95" x14ac:dyDescent="0.25">
      <c r="A309" s="18">
        <v>306</v>
      </c>
      <c r="B309" s="19" t="s">
        <v>5125</v>
      </c>
      <c r="C309" s="19" t="s">
        <v>5126</v>
      </c>
      <c r="D309" s="20">
        <v>46000</v>
      </c>
      <c r="E309" s="20">
        <v>34432</v>
      </c>
      <c r="F309" s="19" t="s">
        <v>5127</v>
      </c>
      <c r="G309" s="19" t="s">
        <v>139</v>
      </c>
      <c r="H309" s="19" t="s">
        <v>94</v>
      </c>
      <c r="I309" s="19"/>
      <c r="J309" s="19"/>
      <c r="K309" s="19"/>
      <c r="L309" s="19" t="s">
        <v>244</v>
      </c>
      <c r="M309" s="19" t="s">
        <v>245</v>
      </c>
      <c r="N309" s="19" t="s">
        <v>5128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 t="s">
        <v>101</v>
      </c>
      <c r="Z309" s="19" t="s">
        <v>102</v>
      </c>
      <c r="AA309" s="19" t="s">
        <v>103</v>
      </c>
      <c r="AB309" s="19" t="s">
        <v>173</v>
      </c>
      <c r="AC309" s="19" t="s">
        <v>174</v>
      </c>
      <c r="AD309" s="19" t="s">
        <v>5129</v>
      </c>
      <c r="AE309" s="19" t="s">
        <v>5130</v>
      </c>
      <c r="AF309" s="19"/>
      <c r="AG309" s="19" t="s">
        <v>3869</v>
      </c>
      <c r="AH309" s="19" t="s">
        <v>327</v>
      </c>
      <c r="AI309" s="19"/>
      <c r="AJ309" s="19" t="s">
        <v>5131</v>
      </c>
      <c r="AK309" s="19"/>
      <c r="AL309" s="19" t="s">
        <v>5132</v>
      </c>
      <c r="AM309" s="19" t="s">
        <v>5133</v>
      </c>
      <c r="AN309" s="19" t="s">
        <v>5134</v>
      </c>
      <c r="AO309" s="19" t="s">
        <v>154</v>
      </c>
      <c r="AP309" s="19" t="s">
        <v>155</v>
      </c>
      <c r="AQ309" s="19" t="s">
        <v>117</v>
      </c>
      <c r="AR309" s="19" t="s">
        <v>156</v>
      </c>
      <c r="AS309" s="19" t="s">
        <v>157</v>
      </c>
      <c r="AT309" s="19" t="s">
        <v>158</v>
      </c>
      <c r="AU309" s="19"/>
      <c r="AV309" s="19" t="s">
        <v>122</v>
      </c>
      <c r="AW309" s="19"/>
      <c r="AX309" s="19" t="s">
        <v>124</v>
      </c>
      <c r="AY309" s="19" t="s">
        <v>159</v>
      </c>
      <c r="AZ309" s="19" t="s">
        <v>160</v>
      </c>
      <c r="BA309" s="20">
        <v>44676</v>
      </c>
      <c r="BB309" s="19" t="s">
        <v>479</v>
      </c>
      <c r="BC309" s="19" t="s">
        <v>5135</v>
      </c>
      <c r="BD309" s="19" t="s">
        <v>365</v>
      </c>
      <c r="BE309" s="19" t="s">
        <v>130</v>
      </c>
      <c r="BF309" s="19" t="s">
        <v>5136</v>
      </c>
      <c r="BG309" s="19"/>
      <c r="BH309" s="19" t="s">
        <v>5137</v>
      </c>
      <c r="BI309" s="19" t="s">
        <v>5137</v>
      </c>
      <c r="BJ309" s="19" t="s">
        <v>166</v>
      </c>
      <c r="BK309" s="19" t="s">
        <v>167</v>
      </c>
      <c r="BL309" s="19" t="s">
        <v>168</v>
      </c>
      <c r="BM309" s="19" t="s">
        <v>169</v>
      </c>
      <c r="BN309" s="21">
        <v>17.86</v>
      </c>
      <c r="BO309" s="21">
        <v>632.67621199999996</v>
      </c>
      <c r="BQ309" s="2"/>
      <c r="BR309" s="2"/>
      <c r="BS309" s="2"/>
      <c r="BT309" s="2"/>
      <c r="BU309" s="22"/>
      <c r="BV309" s="2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</row>
    <row r="310" spans="1:95" x14ac:dyDescent="0.25">
      <c r="A310" s="18">
        <v>307</v>
      </c>
      <c r="B310" s="19" t="s">
        <v>5138</v>
      </c>
      <c r="C310" s="19" t="s">
        <v>5139</v>
      </c>
      <c r="D310" s="20">
        <v>45995</v>
      </c>
      <c r="E310" s="20">
        <v>34202</v>
      </c>
      <c r="F310" s="19"/>
      <c r="G310" s="19"/>
      <c r="H310" s="19" t="s">
        <v>94</v>
      </c>
      <c r="I310" s="19"/>
      <c r="J310" s="19"/>
      <c r="K310" s="19"/>
      <c r="L310" s="19" t="s">
        <v>244</v>
      </c>
      <c r="M310" s="19" t="s">
        <v>245</v>
      </c>
      <c r="N310" s="19" t="s">
        <v>5140</v>
      </c>
      <c r="O310" s="19" t="s">
        <v>100</v>
      </c>
      <c r="P310" s="19"/>
      <c r="Q310" s="19"/>
      <c r="R310" s="19"/>
      <c r="S310" s="19"/>
      <c r="T310" s="19"/>
      <c r="U310" s="19"/>
      <c r="V310" s="19"/>
      <c r="W310" s="19"/>
      <c r="X310" s="19"/>
      <c r="Y310" s="19" t="s">
        <v>101</v>
      </c>
      <c r="Z310" s="19" t="s">
        <v>102</v>
      </c>
      <c r="AA310" s="19" t="s">
        <v>103</v>
      </c>
      <c r="AB310" s="19" t="s">
        <v>850</v>
      </c>
      <c r="AC310" s="19" t="s">
        <v>851</v>
      </c>
      <c r="AD310" s="19" t="s">
        <v>5141</v>
      </c>
      <c r="AE310" s="19" t="s">
        <v>5142</v>
      </c>
      <c r="AF310" s="19" t="s">
        <v>5143</v>
      </c>
      <c r="AG310" s="19" t="s">
        <v>277</v>
      </c>
      <c r="AH310" s="19" t="s">
        <v>124</v>
      </c>
      <c r="AI310" s="19" t="s">
        <v>111</v>
      </c>
      <c r="AJ310" s="19" t="s">
        <v>5144</v>
      </c>
      <c r="AK310" s="19"/>
      <c r="AL310" s="19"/>
      <c r="AM310" s="19" t="s">
        <v>5145</v>
      </c>
      <c r="AN310" s="19" t="s">
        <v>5146</v>
      </c>
      <c r="AO310" s="19" t="s">
        <v>208</v>
      </c>
      <c r="AP310" s="19" t="s">
        <v>209</v>
      </c>
      <c r="AQ310" s="19" t="s">
        <v>117</v>
      </c>
      <c r="AR310" s="19" t="s">
        <v>210</v>
      </c>
      <c r="AS310" s="19" t="s">
        <v>211</v>
      </c>
      <c r="AT310" s="19" t="s">
        <v>212</v>
      </c>
      <c r="AU310" s="19" t="s">
        <v>213</v>
      </c>
      <c r="AV310" s="19" t="s">
        <v>214</v>
      </c>
      <c r="AW310" s="19" t="s">
        <v>215</v>
      </c>
      <c r="AX310" s="19" t="s">
        <v>149</v>
      </c>
      <c r="AY310" s="19" t="s">
        <v>216</v>
      </c>
      <c r="AZ310" s="19" t="s">
        <v>217</v>
      </c>
      <c r="BA310" s="20">
        <v>35521</v>
      </c>
      <c r="BB310" s="19" t="s">
        <v>236</v>
      </c>
      <c r="BC310" s="19" t="s">
        <v>5147</v>
      </c>
      <c r="BD310" s="19" t="s">
        <v>277</v>
      </c>
      <c r="BE310" s="19" t="s">
        <v>130</v>
      </c>
      <c r="BF310" s="19" t="s">
        <v>5148</v>
      </c>
      <c r="BG310" s="19"/>
      <c r="BH310" s="19" t="s">
        <v>5149</v>
      </c>
      <c r="BI310" s="19" t="s">
        <v>5149</v>
      </c>
      <c r="BJ310" s="19" t="s">
        <v>194</v>
      </c>
      <c r="BK310" s="19" t="s">
        <v>3715</v>
      </c>
      <c r="BL310" s="19" t="s">
        <v>122</v>
      </c>
      <c r="BM310" s="19" t="s">
        <v>196</v>
      </c>
      <c r="BN310" s="21">
        <v>91.253</v>
      </c>
      <c r="BO310" s="21">
        <v>10036.91747</v>
      </c>
      <c r="BQ310" s="2"/>
      <c r="BR310" s="2"/>
      <c r="BS310" s="2"/>
      <c r="BT310" s="2"/>
      <c r="BU310" s="22"/>
      <c r="BV310" s="2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</row>
    <row r="311" spans="1:95" x14ac:dyDescent="0.25">
      <c r="A311" s="18">
        <v>308</v>
      </c>
      <c r="B311" s="19" t="s">
        <v>5150</v>
      </c>
      <c r="C311" s="19" t="s">
        <v>5151</v>
      </c>
      <c r="D311" s="20">
        <v>46012</v>
      </c>
      <c r="E311" s="20">
        <v>34206</v>
      </c>
      <c r="F311" s="19" t="s">
        <v>5152</v>
      </c>
      <c r="G311" s="19" t="s">
        <v>139</v>
      </c>
      <c r="H311" s="19" t="s">
        <v>94</v>
      </c>
      <c r="I311" s="19"/>
      <c r="J311" s="19"/>
      <c r="K311" s="19"/>
      <c r="L311" s="19" t="s">
        <v>101</v>
      </c>
      <c r="M311" s="19" t="s">
        <v>290</v>
      </c>
      <c r="N311" s="19" t="s">
        <v>5153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 t="s">
        <v>101</v>
      </c>
      <c r="Z311" s="19" t="s">
        <v>102</v>
      </c>
      <c r="AA311" s="19" t="s">
        <v>103</v>
      </c>
      <c r="AB311" s="19" t="s">
        <v>247</v>
      </c>
      <c r="AC311" s="19" t="s">
        <v>248</v>
      </c>
      <c r="AD311" s="19" t="s">
        <v>5154</v>
      </c>
      <c r="AE311" s="19" t="s">
        <v>5155</v>
      </c>
      <c r="AF311" s="19" t="s">
        <v>5156</v>
      </c>
      <c r="AG311" s="19" t="s">
        <v>5157</v>
      </c>
      <c r="AH311" s="19" t="s">
        <v>124</v>
      </c>
      <c r="AI311" s="19" t="s">
        <v>111</v>
      </c>
      <c r="AJ311" s="19" t="s">
        <v>5158</v>
      </c>
      <c r="AK311" s="19"/>
      <c r="AL311" s="19"/>
      <c r="AM311" s="19" t="s">
        <v>5159</v>
      </c>
      <c r="AN311" s="19" t="s">
        <v>5160</v>
      </c>
      <c r="AO311" s="19" t="s">
        <v>476</v>
      </c>
      <c r="AP311" s="19" t="s">
        <v>477</v>
      </c>
      <c r="AQ311" s="19" t="s">
        <v>117</v>
      </c>
      <c r="AR311" s="19" t="s">
        <v>478</v>
      </c>
      <c r="AS311" s="19"/>
      <c r="AT311" s="19"/>
      <c r="AU311" s="19"/>
      <c r="AV311" s="19"/>
      <c r="AW311" s="19"/>
      <c r="AX311" s="19"/>
      <c r="AY311" s="19"/>
      <c r="AZ311" s="19"/>
      <c r="BA311" s="20">
        <v>44452</v>
      </c>
      <c r="BB311" s="19" t="s">
        <v>331</v>
      </c>
      <c r="BC311" s="19" t="s">
        <v>5161</v>
      </c>
      <c r="BD311" s="19" t="s">
        <v>5157</v>
      </c>
      <c r="BE311" s="19" t="s">
        <v>130</v>
      </c>
      <c r="BF311" s="19" t="s">
        <v>5162</v>
      </c>
      <c r="BG311" s="19"/>
      <c r="BH311" s="19" t="s">
        <v>5163</v>
      </c>
      <c r="BI311" s="19" t="s">
        <v>5163</v>
      </c>
      <c r="BJ311" s="19" t="s">
        <v>166</v>
      </c>
      <c r="BK311" s="19" t="s">
        <v>167</v>
      </c>
      <c r="BL311" s="19" t="s">
        <v>168</v>
      </c>
      <c r="BM311" s="19" t="s">
        <v>169</v>
      </c>
      <c r="BN311" s="21">
        <v>228.45500000000001</v>
      </c>
      <c r="BO311" s="21">
        <v>100180.35034200001</v>
      </c>
      <c r="BQ311" s="2"/>
      <c r="BR311" s="2"/>
      <c r="BS311" s="2"/>
      <c r="BT311" s="2"/>
      <c r="BU311" s="22"/>
      <c r="BV311" s="2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</row>
    <row r="312" spans="1:95" x14ac:dyDescent="0.25">
      <c r="A312" s="18">
        <v>309</v>
      </c>
      <c r="B312" s="19" t="s">
        <v>5164</v>
      </c>
      <c r="C312" s="19" t="s">
        <v>5165</v>
      </c>
      <c r="D312" s="20">
        <v>46019</v>
      </c>
      <c r="E312" s="20">
        <v>38905</v>
      </c>
      <c r="F312" s="19" t="s">
        <v>5166</v>
      </c>
      <c r="G312" s="19" t="s">
        <v>139</v>
      </c>
      <c r="H312" s="19" t="s">
        <v>94</v>
      </c>
      <c r="I312" s="19"/>
      <c r="J312" s="19"/>
      <c r="K312" s="19"/>
      <c r="L312" s="19" t="s">
        <v>244</v>
      </c>
      <c r="M312" s="19" t="s">
        <v>245</v>
      </c>
      <c r="N312" s="19" t="s">
        <v>5167</v>
      </c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 t="s">
        <v>101</v>
      </c>
      <c r="Z312" s="19" t="s">
        <v>102</v>
      </c>
      <c r="AA312" s="19" t="s">
        <v>103</v>
      </c>
      <c r="AB312" s="19" t="s">
        <v>247</v>
      </c>
      <c r="AC312" s="19" t="s">
        <v>248</v>
      </c>
      <c r="AD312" s="19" t="s">
        <v>5168</v>
      </c>
      <c r="AE312" s="19" t="s">
        <v>5169</v>
      </c>
      <c r="AF312" s="19"/>
      <c r="AG312" s="19" t="s">
        <v>3226</v>
      </c>
      <c r="AH312" s="19" t="s">
        <v>149</v>
      </c>
      <c r="AI312" s="19" t="s">
        <v>111</v>
      </c>
      <c r="AJ312" s="19" t="s">
        <v>5170</v>
      </c>
      <c r="AK312" s="19"/>
      <c r="AL312" s="19"/>
      <c r="AM312" s="19" t="s">
        <v>5171</v>
      </c>
      <c r="AN312" s="19" t="s">
        <v>5172</v>
      </c>
      <c r="AO312" s="19" t="s">
        <v>255</v>
      </c>
      <c r="AP312" s="19" t="s">
        <v>256</v>
      </c>
      <c r="AQ312" s="19" t="s">
        <v>117</v>
      </c>
      <c r="AR312" s="19" t="s">
        <v>257</v>
      </c>
      <c r="AS312" s="19" t="s">
        <v>258</v>
      </c>
      <c r="AT312" s="19" t="s">
        <v>259</v>
      </c>
      <c r="AU312" s="19" t="s">
        <v>260</v>
      </c>
      <c r="AV312" s="19" t="s">
        <v>260</v>
      </c>
      <c r="AW312" s="19" t="s">
        <v>261</v>
      </c>
      <c r="AX312" s="19" t="s">
        <v>262</v>
      </c>
      <c r="AY312" s="19" t="s">
        <v>263</v>
      </c>
      <c r="AZ312" s="19" t="s">
        <v>264</v>
      </c>
      <c r="BA312" s="20">
        <v>43627</v>
      </c>
      <c r="BB312" s="19" t="s">
        <v>5173</v>
      </c>
      <c r="BC312" s="19" t="s">
        <v>5174</v>
      </c>
      <c r="BD312" s="19" t="s">
        <v>3226</v>
      </c>
      <c r="BE312" s="19" t="s">
        <v>130</v>
      </c>
      <c r="BF312" s="19" t="s">
        <v>5175</v>
      </c>
      <c r="BG312" s="19"/>
      <c r="BH312" s="19" t="s">
        <v>5176</v>
      </c>
      <c r="BI312" s="19" t="s">
        <v>5176</v>
      </c>
      <c r="BJ312" s="19" t="s">
        <v>166</v>
      </c>
      <c r="BK312" s="19" t="s">
        <v>167</v>
      </c>
      <c r="BL312" s="19" t="s">
        <v>168</v>
      </c>
      <c r="BM312" s="19" t="s">
        <v>169</v>
      </c>
      <c r="BN312" s="21">
        <v>0.22800000000000001</v>
      </c>
      <c r="BO312" s="21">
        <v>99.980827199999993</v>
      </c>
      <c r="BQ312" s="2"/>
      <c r="BR312" s="2"/>
      <c r="BS312" s="2"/>
      <c r="BT312" s="2"/>
      <c r="BU312" s="22"/>
      <c r="BV312" s="2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</row>
    <row r="313" spans="1:95" x14ac:dyDescent="0.25">
      <c r="A313" s="18">
        <v>310</v>
      </c>
      <c r="B313" s="19" t="s">
        <v>5177</v>
      </c>
      <c r="C313" s="19" t="s">
        <v>5178</v>
      </c>
      <c r="D313" s="20">
        <v>46005</v>
      </c>
      <c r="E313" s="20">
        <v>30459</v>
      </c>
      <c r="F313" s="19" t="s">
        <v>5179</v>
      </c>
      <c r="G313" s="19" t="s">
        <v>139</v>
      </c>
      <c r="H313" s="19" t="s">
        <v>94</v>
      </c>
      <c r="I313" s="19"/>
      <c r="J313" s="19"/>
      <c r="K313" s="19"/>
      <c r="L313" s="19" t="s">
        <v>140</v>
      </c>
      <c r="M313" s="19" t="s">
        <v>141</v>
      </c>
      <c r="N313" s="19" t="s">
        <v>5180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 t="s">
        <v>101</v>
      </c>
      <c r="Z313" s="19" t="s">
        <v>102</v>
      </c>
      <c r="AA313" s="19" t="s">
        <v>103</v>
      </c>
      <c r="AB313" s="19" t="s">
        <v>487</v>
      </c>
      <c r="AC313" s="19" t="s">
        <v>488</v>
      </c>
      <c r="AD313" s="19" t="s">
        <v>5181</v>
      </c>
      <c r="AE313" s="19" t="s">
        <v>5182</v>
      </c>
      <c r="AF313" s="19" t="s">
        <v>5183</v>
      </c>
      <c r="AG313" s="19" t="s">
        <v>490</v>
      </c>
      <c r="AH313" s="19" t="s">
        <v>262</v>
      </c>
      <c r="AI313" s="19" t="s">
        <v>111</v>
      </c>
      <c r="AJ313" s="19" t="s">
        <v>5184</v>
      </c>
      <c r="AK313" s="19"/>
      <c r="AL313" s="19"/>
      <c r="AM313" s="19" t="s">
        <v>5185</v>
      </c>
      <c r="AN313" s="19" t="s">
        <v>5186</v>
      </c>
      <c r="AO313" s="19" t="s">
        <v>5187</v>
      </c>
      <c r="AP313" s="19" t="s">
        <v>5188</v>
      </c>
      <c r="AQ313" s="19" t="s">
        <v>94</v>
      </c>
      <c r="AR313" s="19" t="s">
        <v>5189</v>
      </c>
      <c r="AS313" s="19" t="s">
        <v>5190</v>
      </c>
      <c r="AT313" s="19" t="s">
        <v>5191</v>
      </c>
      <c r="AU313" s="19" t="s">
        <v>5192</v>
      </c>
      <c r="AV313" s="19" t="s">
        <v>5193</v>
      </c>
      <c r="AW313" s="19" t="s">
        <v>5194</v>
      </c>
      <c r="AX313" s="19" t="s">
        <v>124</v>
      </c>
      <c r="AY313" s="19" t="s">
        <v>5195</v>
      </c>
      <c r="AZ313" s="19" t="s">
        <v>5196</v>
      </c>
      <c r="BA313" s="20">
        <v>36115</v>
      </c>
      <c r="BB313" s="19" t="s">
        <v>479</v>
      </c>
      <c r="BC313" s="19" t="s">
        <v>5197</v>
      </c>
      <c r="BD313" s="19" t="s">
        <v>1299</v>
      </c>
      <c r="BE313" s="19" t="s">
        <v>130</v>
      </c>
      <c r="BF313" s="19" t="s">
        <v>5198</v>
      </c>
      <c r="BG313" s="19"/>
      <c r="BH313" s="19" t="s">
        <v>5199</v>
      </c>
      <c r="BI313" s="19" t="s">
        <v>5199</v>
      </c>
      <c r="BJ313" s="19" t="s">
        <v>194</v>
      </c>
      <c r="BK313" s="19" t="s">
        <v>907</v>
      </c>
      <c r="BL313" s="19" t="s">
        <v>122</v>
      </c>
      <c r="BM313" s="19" t="s">
        <v>592</v>
      </c>
      <c r="BN313" s="21">
        <v>23.16</v>
      </c>
      <c r="BO313" s="21">
        <v>10028.437488</v>
      </c>
      <c r="BQ313" s="2"/>
      <c r="BR313" s="2"/>
      <c r="BS313" s="2"/>
      <c r="BT313" s="2"/>
      <c r="BU313" s="22"/>
      <c r="BV313" s="2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</row>
    <row r="314" spans="1:95" x14ac:dyDescent="0.25">
      <c r="A314" s="18">
        <v>311</v>
      </c>
      <c r="B314" s="19" t="s">
        <v>5200</v>
      </c>
      <c r="C314" s="19" t="s">
        <v>5201</v>
      </c>
      <c r="D314" s="20">
        <v>46006</v>
      </c>
      <c r="E314" s="20">
        <v>38649</v>
      </c>
      <c r="F314" s="19" t="s">
        <v>5202</v>
      </c>
      <c r="G314" s="19" t="s">
        <v>139</v>
      </c>
      <c r="H314" s="19" t="s">
        <v>94</v>
      </c>
      <c r="I314" s="19"/>
      <c r="J314" s="19"/>
      <c r="K314" s="19"/>
      <c r="L314" s="19" t="s">
        <v>244</v>
      </c>
      <c r="M314" s="19" t="s">
        <v>245</v>
      </c>
      <c r="N314" s="19" t="s">
        <v>5203</v>
      </c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 t="s">
        <v>101</v>
      </c>
      <c r="Z314" s="19" t="s">
        <v>102</v>
      </c>
      <c r="AA314" s="19" t="s">
        <v>103</v>
      </c>
      <c r="AB314" s="19" t="s">
        <v>173</v>
      </c>
      <c r="AC314" s="19" t="s">
        <v>174</v>
      </c>
      <c r="AD314" s="19" t="s">
        <v>5204</v>
      </c>
      <c r="AE314" s="19" t="s">
        <v>5205</v>
      </c>
      <c r="AF314" s="19" t="s">
        <v>5206</v>
      </c>
      <c r="AG314" s="19" t="s">
        <v>5207</v>
      </c>
      <c r="AH314" s="19" t="s">
        <v>124</v>
      </c>
      <c r="AI314" s="19"/>
      <c r="AJ314" s="19" t="s">
        <v>5208</v>
      </c>
      <c r="AK314" s="19"/>
      <c r="AL314" s="19"/>
      <c r="AM314" s="19" t="s">
        <v>5209</v>
      </c>
      <c r="AN314" s="19" t="s">
        <v>5210</v>
      </c>
      <c r="AO314" s="19" t="s">
        <v>255</v>
      </c>
      <c r="AP314" s="19" t="s">
        <v>256</v>
      </c>
      <c r="AQ314" s="19" t="s">
        <v>117</v>
      </c>
      <c r="AR314" s="19" t="s">
        <v>257</v>
      </c>
      <c r="AS314" s="19" t="s">
        <v>258</v>
      </c>
      <c r="AT314" s="19" t="s">
        <v>259</v>
      </c>
      <c r="AU314" s="19" t="s">
        <v>260</v>
      </c>
      <c r="AV314" s="19" t="s">
        <v>260</v>
      </c>
      <c r="AW314" s="19" t="s">
        <v>261</v>
      </c>
      <c r="AX314" s="19" t="s">
        <v>262</v>
      </c>
      <c r="AY314" s="19" t="s">
        <v>263</v>
      </c>
      <c r="AZ314" s="19" t="s">
        <v>264</v>
      </c>
      <c r="BA314" s="20">
        <v>43627</v>
      </c>
      <c r="BB314" s="19" t="s">
        <v>265</v>
      </c>
      <c r="BC314" s="19" t="s">
        <v>5211</v>
      </c>
      <c r="BD314" s="19" t="s">
        <v>5212</v>
      </c>
      <c r="BE314" s="19" t="s">
        <v>130</v>
      </c>
      <c r="BF314" s="19" t="s">
        <v>5213</v>
      </c>
      <c r="BG314" s="19"/>
      <c r="BH314" s="19" t="s">
        <v>5214</v>
      </c>
      <c r="BI314" s="19" t="s">
        <v>5214</v>
      </c>
      <c r="BJ314" s="19" t="s">
        <v>166</v>
      </c>
      <c r="BK314" s="19" t="s">
        <v>167</v>
      </c>
      <c r="BL314" s="19" t="s">
        <v>168</v>
      </c>
      <c r="BM314" s="19" t="s">
        <v>169</v>
      </c>
      <c r="BN314" s="21">
        <v>0</v>
      </c>
      <c r="BO314" s="21">
        <v>0</v>
      </c>
      <c r="BQ314" s="2"/>
      <c r="BR314" s="2"/>
      <c r="BS314" s="2"/>
      <c r="BT314" s="2"/>
      <c r="BU314" s="22"/>
      <c r="BV314" s="2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</row>
    <row r="315" spans="1:95" x14ac:dyDescent="0.25">
      <c r="A315" s="18">
        <v>312</v>
      </c>
      <c r="B315" s="19" t="s">
        <v>5215</v>
      </c>
      <c r="C315" s="19" t="s">
        <v>5216</v>
      </c>
      <c r="D315" s="20">
        <v>46006</v>
      </c>
      <c r="E315" s="20">
        <v>35459</v>
      </c>
      <c r="F315" s="19"/>
      <c r="G315" s="19"/>
      <c r="H315" s="19" t="s">
        <v>94</v>
      </c>
      <c r="I315" s="19"/>
      <c r="J315" s="19"/>
      <c r="K315" s="19"/>
      <c r="L315" s="19" t="s">
        <v>289</v>
      </c>
      <c r="M315" s="19" t="s">
        <v>290</v>
      </c>
      <c r="N315" s="19" t="s">
        <v>5217</v>
      </c>
      <c r="O315" s="19" t="s">
        <v>100</v>
      </c>
      <c r="P315" s="19"/>
      <c r="Q315" s="19"/>
      <c r="R315" s="19"/>
      <c r="S315" s="19"/>
      <c r="T315" s="19"/>
      <c r="U315" s="19"/>
      <c r="V315" s="19"/>
      <c r="W315" s="19"/>
      <c r="X315" s="19"/>
      <c r="Y315" s="19" t="s">
        <v>101</v>
      </c>
      <c r="Z315" s="19" t="s">
        <v>102</v>
      </c>
      <c r="AA315" s="19" t="s">
        <v>103</v>
      </c>
      <c r="AB315" s="19" t="s">
        <v>487</v>
      </c>
      <c r="AC315" s="19" t="s">
        <v>488</v>
      </c>
      <c r="AD315" s="19" t="s">
        <v>5218</v>
      </c>
      <c r="AE315" s="19" t="s">
        <v>5219</v>
      </c>
      <c r="AF315" s="19" t="s">
        <v>5220</v>
      </c>
      <c r="AG315" s="19" t="s">
        <v>3439</v>
      </c>
      <c r="AH315" s="19" t="s">
        <v>262</v>
      </c>
      <c r="AI315" s="19" t="s">
        <v>111</v>
      </c>
      <c r="AJ315" s="19" t="s">
        <v>5220</v>
      </c>
      <c r="AK315" s="19"/>
      <c r="AL315" s="19"/>
      <c r="AM315" s="19" t="s">
        <v>5221</v>
      </c>
      <c r="AN315" s="19" t="s">
        <v>5222</v>
      </c>
      <c r="AO315" s="19" t="s">
        <v>494</v>
      </c>
      <c r="AP315" s="19" t="s">
        <v>495</v>
      </c>
      <c r="AQ315" s="19" t="s">
        <v>117</v>
      </c>
      <c r="AR315" s="19" t="s">
        <v>496</v>
      </c>
      <c r="AS315" s="19" t="s">
        <v>497</v>
      </c>
      <c r="AT315" s="19" t="s">
        <v>498</v>
      </c>
      <c r="AU315" s="19" t="s">
        <v>499</v>
      </c>
      <c r="AV315" s="19" t="s">
        <v>168</v>
      </c>
      <c r="AW315" s="19" t="s">
        <v>500</v>
      </c>
      <c r="AX315" s="19" t="s">
        <v>262</v>
      </c>
      <c r="AY315" s="19" t="s">
        <v>501</v>
      </c>
      <c r="AZ315" s="19" t="s">
        <v>502</v>
      </c>
      <c r="BA315" s="20">
        <v>45832</v>
      </c>
      <c r="BB315" s="19" t="s">
        <v>1002</v>
      </c>
      <c r="BC315" s="19" t="s">
        <v>1896</v>
      </c>
      <c r="BD315" s="19" t="s">
        <v>260</v>
      </c>
      <c r="BE315" s="19" t="s">
        <v>130</v>
      </c>
      <c r="BF315" s="19" t="s">
        <v>5223</v>
      </c>
      <c r="BG315" s="19"/>
      <c r="BH315" s="19" t="s">
        <v>1898</v>
      </c>
      <c r="BI315" s="19" t="s">
        <v>1898</v>
      </c>
      <c r="BJ315" s="19" t="s">
        <v>166</v>
      </c>
      <c r="BK315" s="19" t="s">
        <v>167</v>
      </c>
      <c r="BL315" s="19" t="s">
        <v>168</v>
      </c>
      <c r="BM315" s="19" t="s">
        <v>169</v>
      </c>
      <c r="BN315" s="21">
        <v>0.27800000000000002</v>
      </c>
      <c r="BO315" s="21">
        <v>120.3758904</v>
      </c>
      <c r="BQ315" s="2"/>
      <c r="BR315" s="2"/>
      <c r="BS315" s="2"/>
      <c r="BT315" s="2"/>
      <c r="BU315" s="22"/>
      <c r="BV315" s="2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</row>
    <row r="316" spans="1:95" x14ac:dyDescent="0.25">
      <c r="A316" s="18">
        <v>313</v>
      </c>
      <c r="B316" s="19" t="s">
        <v>5224</v>
      </c>
      <c r="C316" s="19" t="s">
        <v>5225</v>
      </c>
      <c r="D316" s="20">
        <v>46007</v>
      </c>
      <c r="E316" s="20">
        <v>34303</v>
      </c>
      <c r="F316" s="19" t="s">
        <v>5226</v>
      </c>
      <c r="G316" s="19" t="s">
        <v>139</v>
      </c>
      <c r="H316" s="19" t="s">
        <v>94</v>
      </c>
      <c r="I316" s="19"/>
      <c r="J316" s="19"/>
      <c r="K316" s="19"/>
      <c r="L316" s="19" t="s">
        <v>244</v>
      </c>
      <c r="M316" s="19" t="s">
        <v>245</v>
      </c>
      <c r="N316" s="19" t="s">
        <v>5227</v>
      </c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 t="s">
        <v>101</v>
      </c>
      <c r="Z316" s="19" t="s">
        <v>102</v>
      </c>
      <c r="AA316" s="19" t="s">
        <v>103</v>
      </c>
      <c r="AB316" s="19" t="s">
        <v>143</v>
      </c>
      <c r="AC316" s="19" t="s">
        <v>144</v>
      </c>
      <c r="AD316" s="19" t="s">
        <v>5228</v>
      </c>
      <c r="AE316" s="19" t="s">
        <v>5229</v>
      </c>
      <c r="AF316" s="19" t="s">
        <v>5230</v>
      </c>
      <c r="AG316" s="19" t="s">
        <v>3919</v>
      </c>
      <c r="AH316" s="19" t="s">
        <v>515</v>
      </c>
      <c r="AI316" s="19"/>
      <c r="AJ316" s="19" t="s">
        <v>5231</v>
      </c>
      <c r="AK316" s="19"/>
      <c r="AL316" s="19"/>
      <c r="AM316" s="19" t="s">
        <v>5232</v>
      </c>
      <c r="AN316" s="19" t="s">
        <v>5233</v>
      </c>
      <c r="AO316" s="19" t="s">
        <v>255</v>
      </c>
      <c r="AP316" s="19" t="s">
        <v>256</v>
      </c>
      <c r="AQ316" s="19" t="s">
        <v>117</v>
      </c>
      <c r="AR316" s="19" t="s">
        <v>257</v>
      </c>
      <c r="AS316" s="19" t="s">
        <v>258</v>
      </c>
      <c r="AT316" s="19" t="s">
        <v>259</v>
      </c>
      <c r="AU316" s="19" t="s">
        <v>260</v>
      </c>
      <c r="AV316" s="19" t="s">
        <v>260</v>
      </c>
      <c r="AW316" s="19" t="s">
        <v>261</v>
      </c>
      <c r="AX316" s="19" t="s">
        <v>262</v>
      </c>
      <c r="AY316" s="19" t="s">
        <v>263</v>
      </c>
      <c r="AZ316" s="19" t="s">
        <v>264</v>
      </c>
      <c r="BA316" s="20">
        <v>43627</v>
      </c>
      <c r="BB316" s="19" t="s">
        <v>479</v>
      </c>
      <c r="BC316" s="19" t="s">
        <v>5234</v>
      </c>
      <c r="BD316" s="19" t="s">
        <v>365</v>
      </c>
      <c r="BE316" s="19" t="s">
        <v>130</v>
      </c>
      <c r="BF316" s="19" t="s">
        <v>5235</v>
      </c>
      <c r="BG316" s="19"/>
      <c r="BH316" s="19" t="s">
        <v>5236</v>
      </c>
      <c r="BI316" s="19" t="s">
        <v>5236</v>
      </c>
      <c r="BJ316" s="19" t="s">
        <v>166</v>
      </c>
      <c r="BK316" s="19" t="s">
        <v>167</v>
      </c>
      <c r="BL316" s="19" t="s">
        <v>168</v>
      </c>
      <c r="BM316" s="19" t="s">
        <v>169</v>
      </c>
      <c r="BN316" s="21">
        <v>13.586</v>
      </c>
      <c r="BO316" s="21">
        <v>517.49073999999996</v>
      </c>
      <c r="BQ316" s="2"/>
      <c r="BR316" s="2"/>
      <c r="BS316" s="2"/>
      <c r="BT316" s="2"/>
      <c r="BU316" s="22"/>
      <c r="BV316" s="2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</row>
    <row r="317" spans="1:95" x14ac:dyDescent="0.25">
      <c r="A317" s="18">
        <v>314</v>
      </c>
      <c r="B317" s="19" t="s">
        <v>5237</v>
      </c>
      <c r="C317" s="19" t="s">
        <v>5238</v>
      </c>
      <c r="D317" s="20">
        <v>46007</v>
      </c>
      <c r="E317" s="20">
        <v>30269</v>
      </c>
      <c r="F317" s="19" t="s">
        <v>5239</v>
      </c>
      <c r="G317" s="19" t="s">
        <v>139</v>
      </c>
      <c r="H317" s="19" t="s">
        <v>94</v>
      </c>
      <c r="I317" s="19"/>
      <c r="J317" s="19"/>
      <c r="K317" s="19"/>
      <c r="L317" s="19" t="s">
        <v>140</v>
      </c>
      <c r="M317" s="19" t="s">
        <v>141</v>
      </c>
      <c r="N317" s="19" t="s">
        <v>5240</v>
      </c>
      <c r="O317" s="19"/>
      <c r="P317" s="19"/>
      <c r="Q317" s="19"/>
      <c r="R317" s="19"/>
      <c r="S317" s="19" t="s">
        <v>5241</v>
      </c>
      <c r="T317" s="19" t="s">
        <v>5242</v>
      </c>
      <c r="U317" s="19"/>
      <c r="V317" s="19"/>
      <c r="W317" s="19"/>
      <c r="X317" s="19"/>
      <c r="Y317" s="19" t="s">
        <v>101</v>
      </c>
      <c r="Z317" s="19" t="s">
        <v>102</v>
      </c>
      <c r="AA317" s="19" t="s">
        <v>103</v>
      </c>
      <c r="AB317" s="19" t="s">
        <v>1347</v>
      </c>
      <c r="AC317" s="19" t="s">
        <v>1348</v>
      </c>
      <c r="AD317" s="19" t="s">
        <v>5243</v>
      </c>
      <c r="AE317" s="19" t="s">
        <v>5244</v>
      </c>
      <c r="AF317" s="19"/>
      <c r="AG317" s="19" t="s">
        <v>2642</v>
      </c>
      <c r="AH317" s="19" t="s">
        <v>149</v>
      </c>
      <c r="AI317" s="19" t="s">
        <v>111</v>
      </c>
      <c r="AJ317" s="19" t="s">
        <v>5245</v>
      </c>
      <c r="AK317" s="19"/>
      <c r="AL317" s="19"/>
      <c r="AM317" s="19" t="s">
        <v>5246</v>
      </c>
      <c r="AN317" s="19" t="s">
        <v>5247</v>
      </c>
      <c r="AO317" s="19" t="s">
        <v>208</v>
      </c>
      <c r="AP317" s="19" t="s">
        <v>209</v>
      </c>
      <c r="AQ317" s="19" t="s">
        <v>117</v>
      </c>
      <c r="AR317" s="19" t="s">
        <v>210</v>
      </c>
      <c r="AS317" s="19" t="s">
        <v>211</v>
      </c>
      <c r="AT317" s="19" t="s">
        <v>212</v>
      </c>
      <c r="AU317" s="19" t="s">
        <v>213</v>
      </c>
      <c r="AV317" s="19" t="s">
        <v>214</v>
      </c>
      <c r="AW317" s="19" t="s">
        <v>215</v>
      </c>
      <c r="AX317" s="19" t="s">
        <v>149</v>
      </c>
      <c r="AY317" s="19" t="s">
        <v>216</v>
      </c>
      <c r="AZ317" s="19" t="s">
        <v>217</v>
      </c>
      <c r="BA317" s="20">
        <v>35521</v>
      </c>
      <c r="BB317" s="19" t="s">
        <v>1388</v>
      </c>
      <c r="BC317" s="19" t="s">
        <v>2642</v>
      </c>
      <c r="BD317" s="19" t="s">
        <v>2642</v>
      </c>
      <c r="BE317" s="19" t="s">
        <v>130</v>
      </c>
      <c r="BF317" s="19" t="s">
        <v>5248</v>
      </c>
      <c r="BG317" s="19"/>
      <c r="BH317" s="19" t="s">
        <v>5249</v>
      </c>
      <c r="BI317" s="19" t="s">
        <v>5249</v>
      </c>
      <c r="BJ317" s="19" t="s">
        <v>166</v>
      </c>
      <c r="BK317" s="19" t="s">
        <v>907</v>
      </c>
      <c r="BL317" s="19" t="s">
        <v>122</v>
      </c>
      <c r="BM317" s="19" t="s">
        <v>592</v>
      </c>
      <c r="BN317" s="21">
        <v>463.36900000000003</v>
      </c>
      <c r="BO317" s="21">
        <v>5036.8210300000001</v>
      </c>
      <c r="BQ317" s="2"/>
      <c r="BR317" s="2"/>
      <c r="BS317" s="2"/>
      <c r="BT317" s="2"/>
      <c r="BU317" s="22"/>
      <c r="BV317" s="2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</row>
    <row r="318" spans="1:95" x14ac:dyDescent="0.25">
      <c r="A318" s="18">
        <v>315</v>
      </c>
      <c r="B318" s="19" t="s">
        <v>5250</v>
      </c>
      <c r="C318" s="19" t="s">
        <v>5251</v>
      </c>
      <c r="D318" s="20">
        <v>46007</v>
      </c>
      <c r="E318" s="20">
        <v>31734</v>
      </c>
      <c r="F318" s="19"/>
      <c r="G318" s="19"/>
      <c r="H318" s="19" t="s">
        <v>94</v>
      </c>
      <c r="I318" s="19"/>
      <c r="J318" s="19"/>
      <c r="K318" s="19"/>
      <c r="L318" s="19" t="s">
        <v>97</v>
      </c>
      <c r="M318" s="19" t="s">
        <v>98</v>
      </c>
      <c r="N318" s="19" t="s">
        <v>5252</v>
      </c>
      <c r="O318" s="19" t="s">
        <v>100</v>
      </c>
      <c r="P318" s="19"/>
      <c r="Q318" s="19"/>
      <c r="R318" s="19"/>
      <c r="S318" s="19"/>
      <c r="T318" s="19"/>
      <c r="U318" s="19"/>
      <c r="V318" s="19"/>
      <c r="W318" s="19"/>
      <c r="X318" s="19"/>
      <c r="Y318" s="19" t="s">
        <v>101</v>
      </c>
      <c r="Z318" s="19" t="s">
        <v>102</v>
      </c>
      <c r="AA318" s="19" t="s">
        <v>103</v>
      </c>
      <c r="AB318" s="19" t="s">
        <v>173</v>
      </c>
      <c r="AC318" s="19" t="s">
        <v>174</v>
      </c>
      <c r="AD318" s="19" t="s">
        <v>5253</v>
      </c>
      <c r="AE318" s="19" t="s">
        <v>5254</v>
      </c>
      <c r="AF318" s="19" t="s">
        <v>5255</v>
      </c>
      <c r="AG318" s="19" t="s">
        <v>219</v>
      </c>
      <c r="AH318" s="19" t="s">
        <v>124</v>
      </c>
      <c r="AI318" s="19" t="s">
        <v>111</v>
      </c>
      <c r="AJ318" s="19" t="s">
        <v>1341</v>
      </c>
      <c r="AK318" s="19"/>
      <c r="AL318" s="19"/>
      <c r="AM318" s="19" t="s">
        <v>5256</v>
      </c>
      <c r="AN318" s="19" t="s">
        <v>5257</v>
      </c>
      <c r="AO318" s="19" t="s">
        <v>2797</v>
      </c>
      <c r="AP318" s="19" t="s">
        <v>1034</v>
      </c>
      <c r="AQ318" s="19" t="s">
        <v>94</v>
      </c>
      <c r="AR318" s="19" t="s">
        <v>1035</v>
      </c>
      <c r="AS318" s="19" t="s">
        <v>2798</v>
      </c>
      <c r="AT318" s="19" t="s">
        <v>2799</v>
      </c>
      <c r="AU318" s="19" t="s">
        <v>2800</v>
      </c>
      <c r="AV318" s="19" t="s">
        <v>2800</v>
      </c>
      <c r="AW318" s="19" t="s">
        <v>1755</v>
      </c>
      <c r="AX318" s="19" t="s">
        <v>188</v>
      </c>
      <c r="AY318" s="19" t="s">
        <v>2801</v>
      </c>
      <c r="AZ318" s="19" t="s">
        <v>2802</v>
      </c>
      <c r="BA318" s="20">
        <v>45467</v>
      </c>
      <c r="BB318" s="19" t="s">
        <v>479</v>
      </c>
      <c r="BC318" s="19" t="s">
        <v>5258</v>
      </c>
      <c r="BD318" s="19" t="s">
        <v>219</v>
      </c>
      <c r="BE318" s="19" t="s">
        <v>130</v>
      </c>
      <c r="BF318" s="19" t="s">
        <v>5259</v>
      </c>
      <c r="BG318" s="19"/>
      <c r="BH318" s="19" t="s">
        <v>5260</v>
      </c>
      <c r="BI318" s="19" t="s">
        <v>5260</v>
      </c>
      <c r="BJ318" s="19" t="s">
        <v>194</v>
      </c>
      <c r="BK318" s="19" t="s">
        <v>1043</v>
      </c>
      <c r="BL318" s="19" t="s">
        <v>1044</v>
      </c>
      <c r="BM318" s="19" t="s">
        <v>1045</v>
      </c>
      <c r="BN318" s="21">
        <v>82.766999999999996</v>
      </c>
      <c r="BO318" s="21">
        <v>2931.9547613999998</v>
      </c>
      <c r="BQ318" s="2"/>
      <c r="BR318" s="2"/>
      <c r="BS318" s="2"/>
      <c r="BT318" s="2"/>
      <c r="BU318" s="22"/>
      <c r="BV318" s="2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</row>
    <row r="319" spans="1:95" x14ac:dyDescent="0.25">
      <c r="A319" s="18">
        <v>316</v>
      </c>
      <c r="B319" s="19" t="s">
        <v>5261</v>
      </c>
      <c r="C319" s="19" t="s">
        <v>5262</v>
      </c>
      <c r="D319" s="20">
        <v>46020</v>
      </c>
      <c r="E319" s="20">
        <v>30915</v>
      </c>
      <c r="F319" s="19" t="s">
        <v>5263</v>
      </c>
      <c r="G319" s="19" t="s">
        <v>139</v>
      </c>
      <c r="H319" s="19" t="s">
        <v>94</v>
      </c>
      <c r="I319" s="19"/>
      <c r="J319" s="19"/>
      <c r="K319" s="19"/>
      <c r="L319" s="19" t="s">
        <v>244</v>
      </c>
      <c r="M319" s="19" t="s">
        <v>245</v>
      </c>
      <c r="N319" s="19" t="s">
        <v>5264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 t="s">
        <v>101</v>
      </c>
      <c r="Z319" s="19" t="s">
        <v>102</v>
      </c>
      <c r="AA319" s="19" t="s">
        <v>103</v>
      </c>
      <c r="AB319" s="19" t="s">
        <v>143</v>
      </c>
      <c r="AC319" s="19" t="s">
        <v>144</v>
      </c>
      <c r="AD319" s="19" t="s">
        <v>5265</v>
      </c>
      <c r="AE319" s="19" t="s">
        <v>5266</v>
      </c>
      <c r="AF319" s="19" t="s">
        <v>5267</v>
      </c>
      <c r="AG319" s="19" t="s">
        <v>5268</v>
      </c>
      <c r="AH319" s="19" t="s">
        <v>110</v>
      </c>
      <c r="AI319" s="19" t="s">
        <v>111</v>
      </c>
      <c r="AJ319" s="19" t="s">
        <v>5269</v>
      </c>
      <c r="AK319" s="19"/>
      <c r="AL319" s="19"/>
      <c r="AM319" s="19" t="s">
        <v>5270</v>
      </c>
      <c r="AN319" s="19" t="s">
        <v>5271</v>
      </c>
      <c r="AO319" s="19" t="s">
        <v>255</v>
      </c>
      <c r="AP319" s="19" t="s">
        <v>256</v>
      </c>
      <c r="AQ319" s="19" t="s">
        <v>117</v>
      </c>
      <c r="AR319" s="19" t="s">
        <v>257</v>
      </c>
      <c r="AS319" s="19" t="s">
        <v>258</v>
      </c>
      <c r="AT319" s="19" t="s">
        <v>259</v>
      </c>
      <c r="AU319" s="19" t="s">
        <v>260</v>
      </c>
      <c r="AV319" s="19" t="s">
        <v>260</v>
      </c>
      <c r="AW319" s="19" t="s">
        <v>261</v>
      </c>
      <c r="AX319" s="19" t="s">
        <v>262</v>
      </c>
      <c r="AY319" s="19" t="s">
        <v>263</v>
      </c>
      <c r="AZ319" s="19" t="s">
        <v>264</v>
      </c>
      <c r="BA319" s="20">
        <v>43627</v>
      </c>
      <c r="BB319" s="19" t="s">
        <v>331</v>
      </c>
      <c r="BC319" s="19" t="s">
        <v>5268</v>
      </c>
      <c r="BD319" s="19" t="s">
        <v>5268</v>
      </c>
      <c r="BE319" s="19" t="s">
        <v>130</v>
      </c>
      <c r="BF319" s="19" t="s">
        <v>5272</v>
      </c>
      <c r="BG319" s="19"/>
      <c r="BH319" s="19" t="s">
        <v>5273</v>
      </c>
      <c r="BI319" s="19" t="s">
        <v>5273</v>
      </c>
      <c r="BJ319" s="19" t="s">
        <v>166</v>
      </c>
      <c r="BK319" s="19" t="s">
        <v>167</v>
      </c>
      <c r="BL319" s="19" t="s">
        <v>168</v>
      </c>
      <c r="BM319" s="19" t="s">
        <v>169</v>
      </c>
      <c r="BN319" s="21">
        <v>13.401</v>
      </c>
      <c r="BO319" s="21">
        <v>510.44409000000002</v>
      </c>
      <c r="BQ319" s="2"/>
      <c r="BR319" s="2"/>
      <c r="BS319" s="2"/>
      <c r="BT319" s="2"/>
      <c r="BU319" s="22"/>
      <c r="BV319" s="2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</row>
    <row r="320" spans="1:95" x14ac:dyDescent="0.25">
      <c r="A320" s="18">
        <v>317</v>
      </c>
      <c r="B320" s="19" t="s">
        <v>5274</v>
      </c>
      <c r="C320" s="19" t="s">
        <v>5275</v>
      </c>
      <c r="D320" s="20">
        <v>46010</v>
      </c>
      <c r="E320" s="20">
        <v>26924</v>
      </c>
      <c r="F320" s="19"/>
      <c r="G320" s="19"/>
      <c r="H320" s="19" t="s">
        <v>94</v>
      </c>
      <c r="I320" s="19"/>
      <c r="J320" s="19"/>
      <c r="K320" s="19"/>
      <c r="L320" s="19" t="s">
        <v>101</v>
      </c>
      <c r="M320" s="19" t="s">
        <v>290</v>
      </c>
      <c r="N320" s="19" t="s">
        <v>5276</v>
      </c>
      <c r="O320" s="19" t="s">
        <v>100</v>
      </c>
      <c r="P320" s="19"/>
      <c r="Q320" s="19"/>
      <c r="R320" s="19"/>
      <c r="S320" s="19"/>
      <c r="T320" s="19"/>
      <c r="U320" s="19"/>
      <c r="V320" s="19"/>
      <c r="W320" s="19"/>
      <c r="X320" s="19"/>
      <c r="Y320" s="19" t="s">
        <v>101</v>
      </c>
      <c r="Z320" s="19" t="s">
        <v>102</v>
      </c>
      <c r="AA320" s="19" t="s">
        <v>103</v>
      </c>
      <c r="AB320" s="19" t="s">
        <v>1347</v>
      </c>
      <c r="AC320" s="19" t="s">
        <v>1348</v>
      </c>
      <c r="AD320" s="19" t="s">
        <v>5277</v>
      </c>
      <c r="AE320" s="19" t="s">
        <v>5278</v>
      </c>
      <c r="AF320" s="19" t="s">
        <v>5279</v>
      </c>
      <c r="AG320" s="19" t="s">
        <v>1829</v>
      </c>
      <c r="AH320" s="19" t="s">
        <v>124</v>
      </c>
      <c r="AI320" s="19" t="s">
        <v>111</v>
      </c>
      <c r="AJ320" s="19" t="s">
        <v>5280</v>
      </c>
      <c r="AK320" s="19"/>
      <c r="AL320" s="19"/>
      <c r="AM320" s="19" t="s">
        <v>5281</v>
      </c>
      <c r="AN320" s="19" t="s">
        <v>5282</v>
      </c>
      <c r="AO320" s="19" t="s">
        <v>5283</v>
      </c>
      <c r="AP320" s="19" t="s">
        <v>5284</v>
      </c>
      <c r="AQ320" s="19" t="s">
        <v>117</v>
      </c>
      <c r="AR320" s="19" t="s">
        <v>5285</v>
      </c>
      <c r="AS320" s="19" t="s">
        <v>5286</v>
      </c>
      <c r="AT320" s="19" t="s">
        <v>5287</v>
      </c>
      <c r="AU320" s="19" t="s">
        <v>5288</v>
      </c>
      <c r="AV320" s="19" t="s">
        <v>1829</v>
      </c>
      <c r="AW320" s="19" t="s">
        <v>1830</v>
      </c>
      <c r="AX320" s="19" t="s">
        <v>124</v>
      </c>
      <c r="AY320" s="19" t="s">
        <v>5289</v>
      </c>
      <c r="AZ320" s="19" t="s">
        <v>5290</v>
      </c>
      <c r="BA320" s="20">
        <v>43285</v>
      </c>
      <c r="BB320" s="19" t="s">
        <v>444</v>
      </c>
      <c r="BC320" s="19" t="s">
        <v>5291</v>
      </c>
      <c r="BD320" s="19" t="s">
        <v>219</v>
      </c>
      <c r="BE320" s="19" t="s">
        <v>130</v>
      </c>
      <c r="BF320" s="19" t="s">
        <v>5292</v>
      </c>
      <c r="BG320" s="19"/>
      <c r="BH320" s="19" t="s">
        <v>5293</v>
      </c>
      <c r="BI320" s="19" t="s">
        <v>5293</v>
      </c>
      <c r="BJ320" s="19" t="s">
        <v>194</v>
      </c>
      <c r="BK320" s="19" t="s">
        <v>591</v>
      </c>
      <c r="BL320" s="19" t="s">
        <v>122</v>
      </c>
      <c r="BM320" s="19" t="s">
        <v>592</v>
      </c>
      <c r="BN320" s="21">
        <v>1387.5350000000001</v>
      </c>
      <c r="BO320" s="21">
        <v>15082.505450000001</v>
      </c>
      <c r="BQ320" s="2"/>
      <c r="BR320" s="2"/>
      <c r="BS320" s="2"/>
      <c r="BT320" s="2"/>
      <c r="BU320" s="22"/>
      <c r="BV320" s="2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</row>
    <row r="321" spans="1:95" x14ac:dyDescent="0.25">
      <c r="A321" s="18">
        <v>318</v>
      </c>
      <c r="B321" s="19" t="s">
        <v>5294</v>
      </c>
      <c r="C321" s="19" t="s">
        <v>5295</v>
      </c>
      <c r="D321" s="20">
        <v>46013</v>
      </c>
      <c r="E321" s="20">
        <v>34957</v>
      </c>
      <c r="F321" s="19"/>
      <c r="G321" s="19"/>
      <c r="H321" s="19" t="s">
        <v>94</v>
      </c>
      <c r="I321" s="19"/>
      <c r="J321" s="19"/>
      <c r="K321" s="19"/>
      <c r="L321" s="19" t="s">
        <v>244</v>
      </c>
      <c r="M321" s="19" t="s">
        <v>245</v>
      </c>
      <c r="N321" s="19" t="s">
        <v>5296</v>
      </c>
      <c r="O321" s="19" t="s">
        <v>100</v>
      </c>
      <c r="P321" s="19"/>
      <c r="Q321" s="19"/>
      <c r="R321" s="19"/>
      <c r="S321" s="19"/>
      <c r="T321" s="19"/>
      <c r="U321" s="19"/>
      <c r="V321" s="19"/>
      <c r="W321" s="19"/>
      <c r="X321" s="19"/>
      <c r="Y321" s="19" t="s">
        <v>101</v>
      </c>
      <c r="Z321" s="19" t="s">
        <v>102</v>
      </c>
      <c r="AA321" s="19" t="s">
        <v>103</v>
      </c>
      <c r="AB321" s="19" t="s">
        <v>143</v>
      </c>
      <c r="AC321" s="19" t="s">
        <v>144</v>
      </c>
      <c r="AD321" s="19" t="s">
        <v>5297</v>
      </c>
      <c r="AE321" s="19"/>
      <c r="AF321" s="19" t="s">
        <v>5298</v>
      </c>
      <c r="AG321" s="19" t="s">
        <v>5299</v>
      </c>
      <c r="AH321" s="19" t="s">
        <v>757</v>
      </c>
      <c r="AI321" s="19" t="s">
        <v>111</v>
      </c>
      <c r="AJ321" s="19" t="s">
        <v>5300</v>
      </c>
      <c r="AK321" s="19"/>
      <c r="AL321" s="19"/>
      <c r="AM321" s="19" t="s">
        <v>5301</v>
      </c>
      <c r="AN321" s="19" t="s">
        <v>5302</v>
      </c>
      <c r="AO321" s="19" t="s">
        <v>255</v>
      </c>
      <c r="AP321" s="19" t="s">
        <v>256</v>
      </c>
      <c r="AQ321" s="19" t="s">
        <v>117</v>
      </c>
      <c r="AR321" s="19" t="s">
        <v>257</v>
      </c>
      <c r="AS321" s="19" t="s">
        <v>258</v>
      </c>
      <c r="AT321" s="19" t="s">
        <v>259</v>
      </c>
      <c r="AU321" s="19" t="s">
        <v>260</v>
      </c>
      <c r="AV321" s="19" t="s">
        <v>260</v>
      </c>
      <c r="AW321" s="19" t="s">
        <v>261</v>
      </c>
      <c r="AX321" s="19" t="s">
        <v>262</v>
      </c>
      <c r="AY321" s="19" t="s">
        <v>263</v>
      </c>
      <c r="AZ321" s="19" t="s">
        <v>264</v>
      </c>
      <c r="BA321" s="20">
        <v>43627</v>
      </c>
      <c r="BB321" s="19" t="s">
        <v>444</v>
      </c>
      <c r="BC321" s="19" t="s">
        <v>5303</v>
      </c>
      <c r="BD321" s="19" t="s">
        <v>260</v>
      </c>
      <c r="BE321" s="19" t="s">
        <v>130</v>
      </c>
      <c r="BF321" s="19" t="s">
        <v>5304</v>
      </c>
      <c r="BG321" s="19"/>
      <c r="BH321" s="19" t="s">
        <v>5305</v>
      </c>
      <c r="BI321" s="19" t="s">
        <v>5305</v>
      </c>
      <c r="BJ321" s="19" t="s">
        <v>194</v>
      </c>
      <c r="BK321" s="19" t="s">
        <v>195</v>
      </c>
      <c r="BL321" s="19" t="s">
        <v>122</v>
      </c>
      <c r="BM321" s="19" t="s">
        <v>196</v>
      </c>
      <c r="BN321" s="21">
        <v>2406.297</v>
      </c>
      <c r="BO321" s="21">
        <v>91655.852729999999</v>
      </c>
      <c r="BQ321" s="2"/>
      <c r="BR321" s="2"/>
      <c r="BS321" s="2"/>
      <c r="BT321" s="2"/>
      <c r="BU321" s="22"/>
      <c r="BV321" s="2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</row>
    <row r="322" spans="1:95" x14ac:dyDescent="0.25">
      <c r="A322" s="18">
        <v>319</v>
      </c>
      <c r="B322" s="19" t="s">
        <v>5306</v>
      </c>
      <c r="C322" s="19" t="s">
        <v>5307</v>
      </c>
      <c r="D322" s="20">
        <v>46013</v>
      </c>
      <c r="E322" s="20">
        <v>32092</v>
      </c>
      <c r="F322" s="19"/>
      <c r="G322" s="19"/>
      <c r="H322" s="19" t="s">
        <v>94</v>
      </c>
      <c r="I322" s="19"/>
      <c r="J322" s="19"/>
      <c r="K322" s="19"/>
      <c r="L322" s="19" t="s">
        <v>140</v>
      </c>
      <c r="M322" s="19" t="s">
        <v>141</v>
      </c>
      <c r="N322" s="19" t="s">
        <v>5308</v>
      </c>
      <c r="O322" s="19" t="s">
        <v>100</v>
      </c>
      <c r="P322" s="19"/>
      <c r="Q322" s="19"/>
      <c r="R322" s="19"/>
      <c r="S322" s="19"/>
      <c r="T322" s="19"/>
      <c r="U322" s="19"/>
      <c r="V322" s="19"/>
      <c r="W322" s="19"/>
      <c r="X322" s="19"/>
      <c r="Y322" s="19" t="s">
        <v>101</v>
      </c>
      <c r="Z322" s="19" t="s">
        <v>102</v>
      </c>
      <c r="AA322" s="19" t="s">
        <v>103</v>
      </c>
      <c r="AB322" s="19" t="s">
        <v>953</v>
      </c>
      <c r="AC322" s="19" t="s">
        <v>954</v>
      </c>
      <c r="AD322" s="19" t="s">
        <v>5309</v>
      </c>
      <c r="AE322" s="19" t="s">
        <v>5310</v>
      </c>
      <c r="AF322" s="19" t="s">
        <v>5311</v>
      </c>
      <c r="AG322" s="19" t="s">
        <v>5095</v>
      </c>
      <c r="AH322" s="19" t="s">
        <v>757</v>
      </c>
      <c r="AI322" s="19" t="s">
        <v>111</v>
      </c>
      <c r="AJ322" s="19" t="s">
        <v>1074</v>
      </c>
      <c r="AK322" s="19"/>
      <c r="AL322" s="19"/>
      <c r="AM322" s="19" t="s">
        <v>5312</v>
      </c>
      <c r="AN322" s="19" t="s">
        <v>5313</v>
      </c>
      <c r="AO322" s="19" t="s">
        <v>181</v>
      </c>
      <c r="AP322" s="19" t="s">
        <v>182</v>
      </c>
      <c r="AQ322" s="19" t="s">
        <v>117</v>
      </c>
      <c r="AR322" s="19" t="s">
        <v>183</v>
      </c>
      <c r="AS322" s="19" t="s">
        <v>184</v>
      </c>
      <c r="AT322" s="19" t="s">
        <v>185</v>
      </c>
      <c r="AU322" s="19"/>
      <c r="AV322" s="19" t="s">
        <v>186</v>
      </c>
      <c r="AW322" s="19" t="s">
        <v>187</v>
      </c>
      <c r="AX322" s="19" t="s">
        <v>188</v>
      </c>
      <c r="AY322" s="19"/>
      <c r="AZ322" s="19" t="s">
        <v>189</v>
      </c>
      <c r="BA322" s="20">
        <v>44673</v>
      </c>
      <c r="BB322" s="19" t="s">
        <v>331</v>
      </c>
      <c r="BC322" s="19" t="s">
        <v>5314</v>
      </c>
      <c r="BD322" s="19" t="s">
        <v>5095</v>
      </c>
      <c r="BE322" s="19" t="s">
        <v>130</v>
      </c>
      <c r="BF322" s="19" t="s">
        <v>5315</v>
      </c>
      <c r="BG322" s="19"/>
      <c r="BH322" s="19" t="s">
        <v>5316</v>
      </c>
      <c r="BI322" s="19" t="s">
        <v>5316</v>
      </c>
      <c r="BJ322" s="19" t="s">
        <v>194</v>
      </c>
      <c r="BK322" s="19" t="s">
        <v>195</v>
      </c>
      <c r="BL322" s="19" t="s">
        <v>122</v>
      </c>
      <c r="BM322" s="19" t="s">
        <v>196</v>
      </c>
      <c r="BN322" s="21">
        <v>0</v>
      </c>
      <c r="BO322" s="21">
        <v>0</v>
      </c>
      <c r="BQ322" s="2"/>
      <c r="BR322" s="2"/>
      <c r="BS322" s="2"/>
      <c r="BT322" s="2"/>
      <c r="BU322" s="22"/>
      <c r="BV322" s="2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</row>
    <row r="323" spans="1:95" x14ac:dyDescent="0.25">
      <c r="A323" s="18">
        <v>320</v>
      </c>
      <c r="B323" s="19" t="s">
        <v>5317</v>
      </c>
      <c r="C323" s="19" t="s">
        <v>5318</v>
      </c>
      <c r="D323" s="20">
        <v>46013</v>
      </c>
      <c r="E323" s="20">
        <v>23377</v>
      </c>
      <c r="F323" s="19"/>
      <c r="G323" s="19"/>
      <c r="H323" s="19" t="s">
        <v>94</v>
      </c>
      <c r="I323" s="19"/>
      <c r="J323" s="19"/>
      <c r="K323" s="19"/>
      <c r="L323" s="19" t="s">
        <v>687</v>
      </c>
      <c r="M323" s="19" t="s">
        <v>688</v>
      </c>
      <c r="N323" s="19" t="s">
        <v>5319</v>
      </c>
      <c r="O323" s="19" t="s">
        <v>100</v>
      </c>
      <c r="P323" s="19"/>
      <c r="Q323" s="19"/>
      <c r="R323" s="19"/>
      <c r="S323" s="19"/>
      <c r="T323" s="19"/>
      <c r="U323" s="19"/>
      <c r="V323" s="19"/>
      <c r="W323" s="19"/>
      <c r="X323" s="19"/>
      <c r="Y323" s="19" t="s">
        <v>101</v>
      </c>
      <c r="Z323" s="19" t="s">
        <v>102</v>
      </c>
      <c r="AA323" s="19" t="s">
        <v>103</v>
      </c>
      <c r="AB323" s="19" t="s">
        <v>1555</v>
      </c>
      <c r="AC323" s="19" t="s">
        <v>1556</v>
      </c>
      <c r="AD323" s="19" t="s">
        <v>5320</v>
      </c>
      <c r="AE323" s="19" t="s">
        <v>5321</v>
      </c>
      <c r="AF323" s="19"/>
      <c r="AG323" s="19" t="s">
        <v>1859</v>
      </c>
      <c r="AH323" s="19" t="s">
        <v>110</v>
      </c>
      <c r="AI323" s="19" t="s">
        <v>111</v>
      </c>
      <c r="AJ323" s="19" t="s">
        <v>5322</v>
      </c>
      <c r="AK323" s="19"/>
      <c r="AL323" s="19"/>
      <c r="AM323" s="19" t="s">
        <v>5323</v>
      </c>
      <c r="AN323" s="19" t="s">
        <v>5324</v>
      </c>
      <c r="AO323" s="19" t="s">
        <v>5325</v>
      </c>
      <c r="AP323" s="19" t="s">
        <v>5326</v>
      </c>
      <c r="AQ323" s="19" t="s">
        <v>117</v>
      </c>
      <c r="AR323" s="19" t="s">
        <v>5327</v>
      </c>
      <c r="AS323" s="19" t="s">
        <v>5328</v>
      </c>
      <c r="AT323" s="19" t="s">
        <v>5329</v>
      </c>
      <c r="AU323" s="19" t="s">
        <v>5330</v>
      </c>
      <c r="AV323" s="19" t="s">
        <v>109</v>
      </c>
      <c r="AW323" s="19" t="s">
        <v>733</v>
      </c>
      <c r="AX323" s="19" t="s">
        <v>110</v>
      </c>
      <c r="AY323" s="19" t="s">
        <v>5331</v>
      </c>
      <c r="AZ323" s="19" t="s">
        <v>5332</v>
      </c>
      <c r="BA323" s="20">
        <v>34754</v>
      </c>
      <c r="BB323" s="19" t="s">
        <v>1388</v>
      </c>
      <c r="BC323" s="19" t="s">
        <v>5333</v>
      </c>
      <c r="BD323" s="19" t="s">
        <v>5334</v>
      </c>
      <c r="BE323" s="19" t="s">
        <v>130</v>
      </c>
      <c r="BF323" s="19" t="s">
        <v>5335</v>
      </c>
      <c r="BG323" s="19"/>
      <c r="BH323" s="19" t="s">
        <v>5336</v>
      </c>
      <c r="BI323" s="19" t="s">
        <v>5336</v>
      </c>
      <c r="BJ323" s="19" t="s">
        <v>1259</v>
      </c>
      <c r="BK323" s="19" t="s">
        <v>221</v>
      </c>
      <c r="BL323" s="19" t="s">
        <v>222</v>
      </c>
      <c r="BM323" s="19" t="s">
        <v>169</v>
      </c>
      <c r="BN323" s="21">
        <v>1.24</v>
      </c>
      <c r="BO323" s="21">
        <v>997.17079999999999</v>
      </c>
      <c r="BQ323" s="2"/>
      <c r="BR323" s="2"/>
      <c r="BS323" s="2"/>
      <c r="BT323" s="2"/>
      <c r="BU323" s="22"/>
      <c r="BV323" s="2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</row>
    <row r="324" spans="1:95" x14ac:dyDescent="0.25">
      <c r="A324" s="18">
        <v>321</v>
      </c>
      <c r="B324" s="19" t="s">
        <v>5337</v>
      </c>
      <c r="C324" s="19" t="s">
        <v>5338</v>
      </c>
      <c r="D324" s="20">
        <v>46013</v>
      </c>
      <c r="E324" s="20">
        <v>36731</v>
      </c>
      <c r="F324" s="19"/>
      <c r="G324" s="19"/>
      <c r="H324" s="19" t="s">
        <v>94</v>
      </c>
      <c r="I324" s="19"/>
      <c r="J324" s="19"/>
      <c r="K324" s="19"/>
      <c r="L324" s="19" t="s">
        <v>1262</v>
      </c>
      <c r="M324" s="19" t="s">
        <v>1263</v>
      </c>
      <c r="N324" s="19" t="s">
        <v>5339</v>
      </c>
      <c r="O324" s="19" t="s">
        <v>100</v>
      </c>
      <c r="P324" s="19"/>
      <c r="Q324" s="19"/>
      <c r="R324" s="19"/>
      <c r="S324" s="19"/>
      <c r="T324" s="19"/>
      <c r="U324" s="19"/>
      <c r="V324" s="19"/>
      <c r="W324" s="19"/>
      <c r="X324" s="19"/>
      <c r="Y324" s="19" t="s">
        <v>101</v>
      </c>
      <c r="Z324" s="19" t="s">
        <v>102</v>
      </c>
      <c r="AA324" s="19" t="s">
        <v>103</v>
      </c>
      <c r="AB324" s="19" t="s">
        <v>3162</v>
      </c>
      <c r="AC324" s="19" t="s">
        <v>3163</v>
      </c>
      <c r="AD324" s="19" t="s">
        <v>5340</v>
      </c>
      <c r="AE324" s="19" t="s">
        <v>5341</v>
      </c>
      <c r="AF324" s="19" t="s">
        <v>5342</v>
      </c>
      <c r="AG324" s="19" t="s">
        <v>148</v>
      </c>
      <c r="AH324" s="19" t="s">
        <v>149</v>
      </c>
      <c r="AI324" s="19" t="s">
        <v>111</v>
      </c>
      <c r="AJ324" s="19" t="s">
        <v>5343</v>
      </c>
      <c r="AK324" s="19"/>
      <c r="AL324" s="19"/>
      <c r="AM324" s="19" t="s">
        <v>5344</v>
      </c>
      <c r="AN324" s="19" t="s">
        <v>5345</v>
      </c>
      <c r="AO324" s="19" t="s">
        <v>2307</v>
      </c>
      <c r="AP324" s="19" t="s">
        <v>2308</v>
      </c>
      <c r="AQ324" s="19" t="s">
        <v>94</v>
      </c>
      <c r="AR324" s="19" t="s">
        <v>2309</v>
      </c>
      <c r="AS324" s="19" t="s">
        <v>2310</v>
      </c>
      <c r="AT324" s="19" t="s">
        <v>2311</v>
      </c>
      <c r="AU324" s="19" t="s">
        <v>2312</v>
      </c>
      <c r="AV324" s="19" t="s">
        <v>122</v>
      </c>
      <c r="AW324" s="19" t="s">
        <v>2313</v>
      </c>
      <c r="AX324" s="19" t="s">
        <v>901</v>
      </c>
      <c r="AY324" s="19" t="s">
        <v>2314</v>
      </c>
      <c r="AZ324" s="19" t="s">
        <v>2315</v>
      </c>
      <c r="BA324" s="20">
        <v>43194</v>
      </c>
      <c r="BB324" s="19" t="s">
        <v>2308</v>
      </c>
      <c r="BC324" s="19" t="s">
        <v>5346</v>
      </c>
      <c r="BD324" s="19" t="s">
        <v>148</v>
      </c>
      <c r="BE324" s="19" t="s">
        <v>130</v>
      </c>
      <c r="BF324" s="19" t="s">
        <v>5347</v>
      </c>
      <c r="BG324" s="19"/>
      <c r="BH324" s="19" t="s">
        <v>2319</v>
      </c>
      <c r="BI324" s="19" t="s">
        <v>2319</v>
      </c>
      <c r="BJ324" s="19" t="s">
        <v>166</v>
      </c>
      <c r="BK324" s="19" t="s">
        <v>195</v>
      </c>
      <c r="BL324" s="19" t="s">
        <v>122</v>
      </c>
      <c r="BM324" s="19" t="s">
        <v>196</v>
      </c>
      <c r="BN324" s="21">
        <v>1217.69</v>
      </c>
      <c r="BO324" s="21">
        <v>50214.978451000003</v>
      </c>
      <c r="BQ324" s="2"/>
      <c r="BR324" s="2"/>
      <c r="BS324" s="2"/>
      <c r="BT324" s="2"/>
      <c r="BU324" s="22"/>
      <c r="BV324" s="2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</row>
    <row r="325" spans="1:95" x14ac:dyDescent="0.25">
      <c r="A325" s="18">
        <v>322</v>
      </c>
      <c r="B325" s="19" t="s">
        <v>5348</v>
      </c>
      <c r="C325" s="19" t="s">
        <v>5349</v>
      </c>
      <c r="D325" s="20">
        <v>46013</v>
      </c>
      <c r="E325" s="20">
        <v>29647</v>
      </c>
      <c r="F325" s="19"/>
      <c r="G325" s="19"/>
      <c r="H325" s="19" t="s">
        <v>94</v>
      </c>
      <c r="I325" s="19"/>
      <c r="J325" s="19"/>
      <c r="K325" s="19"/>
      <c r="L325" s="19" t="s">
        <v>687</v>
      </c>
      <c r="M325" s="19" t="s">
        <v>688</v>
      </c>
      <c r="N325" s="19" t="s">
        <v>5350</v>
      </c>
      <c r="O325" s="19" t="s">
        <v>100</v>
      </c>
      <c r="P325" s="19"/>
      <c r="Q325" s="19"/>
      <c r="R325" s="19"/>
      <c r="S325" s="19"/>
      <c r="T325" s="19"/>
      <c r="U325" s="19"/>
      <c r="V325" s="19"/>
      <c r="W325" s="19"/>
      <c r="X325" s="19"/>
      <c r="Y325" s="19" t="s">
        <v>101</v>
      </c>
      <c r="Z325" s="19" t="s">
        <v>102</v>
      </c>
      <c r="AA325" s="19" t="s">
        <v>103</v>
      </c>
      <c r="AB325" s="19" t="s">
        <v>201</v>
      </c>
      <c r="AC325" s="19" t="s">
        <v>202</v>
      </c>
      <c r="AD325" s="19" t="s">
        <v>5351</v>
      </c>
      <c r="AE325" s="19" t="s">
        <v>5352</v>
      </c>
      <c r="AF325" s="19" t="s">
        <v>5353</v>
      </c>
      <c r="AG325" s="19" t="s">
        <v>5354</v>
      </c>
      <c r="AH325" s="19" t="s">
        <v>149</v>
      </c>
      <c r="AI325" s="19" t="s">
        <v>111</v>
      </c>
      <c r="AJ325" s="19" t="s">
        <v>5355</v>
      </c>
      <c r="AK325" s="19"/>
      <c r="AL325" s="19"/>
      <c r="AM325" s="19" t="s">
        <v>5356</v>
      </c>
      <c r="AN325" s="19" t="s">
        <v>5357</v>
      </c>
      <c r="AO325" s="19" t="s">
        <v>1545</v>
      </c>
      <c r="AP325" s="19" t="s">
        <v>116</v>
      </c>
      <c r="AQ325" s="19" t="s">
        <v>94</v>
      </c>
      <c r="AR325" s="19" t="s">
        <v>118</v>
      </c>
      <c r="AS325" s="19" t="s">
        <v>119</v>
      </c>
      <c r="AT325" s="19" t="s">
        <v>120</v>
      </c>
      <c r="AU325" s="19" t="s">
        <v>121</v>
      </c>
      <c r="AV325" s="19" t="s">
        <v>122</v>
      </c>
      <c r="AW325" s="19" t="s">
        <v>123</v>
      </c>
      <c r="AX325" s="19" t="s">
        <v>124</v>
      </c>
      <c r="AY325" s="19" t="s">
        <v>125</v>
      </c>
      <c r="AZ325" s="19" t="s">
        <v>1546</v>
      </c>
      <c r="BA325" s="20">
        <v>45181</v>
      </c>
      <c r="BB325" s="19" t="s">
        <v>1547</v>
      </c>
      <c r="BC325" s="19" t="s">
        <v>5358</v>
      </c>
      <c r="BD325" s="19" t="s">
        <v>5359</v>
      </c>
      <c r="BE325" s="19" t="s">
        <v>130</v>
      </c>
      <c r="BF325" s="19" t="s">
        <v>5360</v>
      </c>
      <c r="BG325" s="19"/>
      <c r="BH325" s="19" t="s">
        <v>5361</v>
      </c>
      <c r="BI325" s="19" t="s">
        <v>5361</v>
      </c>
      <c r="BJ325" s="19" t="s">
        <v>133</v>
      </c>
      <c r="BK325" s="19" t="s">
        <v>5362</v>
      </c>
      <c r="BL325" s="19" t="s">
        <v>122</v>
      </c>
      <c r="BM325" s="19" t="s">
        <v>196</v>
      </c>
      <c r="BN325" s="21">
        <v>0</v>
      </c>
      <c r="BO325" s="21">
        <v>0</v>
      </c>
      <c r="BQ325" s="2"/>
      <c r="BR325" s="2"/>
      <c r="BS325" s="2"/>
      <c r="BT325" s="2"/>
      <c r="BU325" s="22"/>
      <c r="BV325" s="2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</row>
    <row r="326" spans="1:95" x14ac:dyDescent="0.25">
      <c r="A326" s="18">
        <v>323</v>
      </c>
      <c r="B326" s="19" t="s">
        <v>5363</v>
      </c>
      <c r="C326" s="19" t="s">
        <v>5364</v>
      </c>
      <c r="D326" s="20">
        <v>46016</v>
      </c>
      <c r="E326" s="20">
        <v>32144</v>
      </c>
      <c r="F326" s="19" t="s">
        <v>5365</v>
      </c>
      <c r="G326" s="19" t="s">
        <v>139</v>
      </c>
      <c r="H326" s="19" t="s">
        <v>94</v>
      </c>
      <c r="I326" s="19"/>
      <c r="J326" s="19"/>
      <c r="K326" s="19"/>
      <c r="L326" s="19" t="s">
        <v>244</v>
      </c>
      <c r="M326" s="19" t="s">
        <v>245</v>
      </c>
      <c r="N326" s="19" t="s">
        <v>5366</v>
      </c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 t="s">
        <v>101</v>
      </c>
      <c r="Z326" s="19" t="s">
        <v>102</v>
      </c>
      <c r="AA326" s="19" t="s">
        <v>103</v>
      </c>
      <c r="AB326" s="19" t="s">
        <v>247</v>
      </c>
      <c r="AC326" s="19" t="s">
        <v>248</v>
      </c>
      <c r="AD326" s="19" t="s">
        <v>5367</v>
      </c>
      <c r="AE326" s="19" t="s">
        <v>5368</v>
      </c>
      <c r="AF326" s="19" t="s">
        <v>5369</v>
      </c>
      <c r="AG326" s="19" t="s">
        <v>5370</v>
      </c>
      <c r="AH326" s="19" t="s">
        <v>124</v>
      </c>
      <c r="AI326" s="19"/>
      <c r="AJ326" s="19" t="s">
        <v>5371</v>
      </c>
      <c r="AK326" s="19"/>
      <c r="AL326" s="19"/>
      <c r="AM326" s="19" t="s">
        <v>5372</v>
      </c>
      <c r="AN326" s="19" t="s">
        <v>5373</v>
      </c>
      <c r="AO326" s="19" t="s">
        <v>255</v>
      </c>
      <c r="AP326" s="19" t="s">
        <v>256</v>
      </c>
      <c r="AQ326" s="19" t="s">
        <v>117</v>
      </c>
      <c r="AR326" s="19" t="s">
        <v>257</v>
      </c>
      <c r="AS326" s="19" t="s">
        <v>258</v>
      </c>
      <c r="AT326" s="19" t="s">
        <v>259</v>
      </c>
      <c r="AU326" s="19" t="s">
        <v>260</v>
      </c>
      <c r="AV326" s="19" t="s">
        <v>260</v>
      </c>
      <c r="AW326" s="19" t="s">
        <v>261</v>
      </c>
      <c r="AX326" s="19" t="s">
        <v>262</v>
      </c>
      <c r="AY326" s="19" t="s">
        <v>263</v>
      </c>
      <c r="AZ326" s="19" t="s">
        <v>264</v>
      </c>
      <c r="BA326" s="20">
        <v>43627</v>
      </c>
      <c r="BB326" s="19" t="s">
        <v>236</v>
      </c>
      <c r="BC326" s="19" t="s">
        <v>3765</v>
      </c>
      <c r="BD326" s="19" t="s">
        <v>3765</v>
      </c>
      <c r="BE326" s="19" t="s">
        <v>130</v>
      </c>
      <c r="BF326" s="19" t="s">
        <v>5374</v>
      </c>
      <c r="BG326" s="19"/>
      <c r="BH326" s="19" t="s">
        <v>5375</v>
      </c>
      <c r="BI326" s="19" t="s">
        <v>5375</v>
      </c>
      <c r="BJ326" s="19" t="s">
        <v>166</v>
      </c>
      <c r="BK326" s="19" t="s">
        <v>167</v>
      </c>
      <c r="BL326" s="19" t="s">
        <v>168</v>
      </c>
      <c r="BM326" s="19" t="s">
        <v>169</v>
      </c>
      <c r="BN326" s="21">
        <v>0.22800000000000001</v>
      </c>
      <c r="BO326" s="21">
        <v>99.980827199999993</v>
      </c>
      <c r="BQ326" s="2"/>
      <c r="BR326" s="2"/>
      <c r="BS326" s="2"/>
      <c r="BT326" s="2"/>
      <c r="BU326" s="22"/>
      <c r="BV326" s="2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</row>
    <row r="327" spans="1:95" x14ac:dyDescent="0.25">
      <c r="A327" s="18">
        <v>324</v>
      </c>
      <c r="B327" s="19" t="s">
        <v>5376</v>
      </c>
      <c r="C327" s="19" t="s">
        <v>5377</v>
      </c>
      <c r="D327" s="20">
        <v>46017</v>
      </c>
      <c r="E327" s="20">
        <v>26465</v>
      </c>
      <c r="F327" s="19" t="s">
        <v>5378</v>
      </c>
      <c r="G327" s="19" t="s">
        <v>139</v>
      </c>
      <c r="H327" s="19" t="s">
        <v>94</v>
      </c>
      <c r="I327" s="19"/>
      <c r="J327" s="19"/>
      <c r="K327" s="19"/>
      <c r="L327" s="19" t="s">
        <v>244</v>
      </c>
      <c r="M327" s="19" t="s">
        <v>245</v>
      </c>
      <c r="N327" s="19" t="s">
        <v>5379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 t="s">
        <v>101</v>
      </c>
      <c r="Z327" s="19" t="s">
        <v>102</v>
      </c>
      <c r="AA327" s="19" t="s">
        <v>103</v>
      </c>
      <c r="AB327" s="19" t="s">
        <v>173</v>
      </c>
      <c r="AC327" s="19" t="s">
        <v>174</v>
      </c>
      <c r="AD327" s="19" t="s">
        <v>5380</v>
      </c>
      <c r="AE327" s="19" t="s">
        <v>5381</v>
      </c>
      <c r="AF327" s="19" t="s">
        <v>5382</v>
      </c>
      <c r="AG327" s="19" t="s">
        <v>5383</v>
      </c>
      <c r="AH327" s="19" t="s">
        <v>188</v>
      </c>
      <c r="AI327" s="19" t="s">
        <v>111</v>
      </c>
      <c r="AJ327" s="19" t="s">
        <v>2480</v>
      </c>
      <c r="AK327" s="19"/>
      <c r="AL327" s="19"/>
      <c r="AM327" s="19" t="s">
        <v>5384</v>
      </c>
      <c r="AN327" s="19" t="s">
        <v>5385</v>
      </c>
      <c r="AO327" s="19" t="s">
        <v>255</v>
      </c>
      <c r="AP327" s="19" t="s">
        <v>256</v>
      </c>
      <c r="AQ327" s="19" t="s">
        <v>117</v>
      </c>
      <c r="AR327" s="19" t="s">
        <v>257</v>
      </c>
      <c r="AS327" s="19" t="s">
        <v>258</v>
      </c>
      <c r="AT327" s="19" t="s">
        <v>259</v>
      </c>
      <c r="AU327" s="19" t="s">
        <v>260</v>
      </c>
      <c r="AV327" s="19" t="s">
        <v>260</v>
      </c>
      <c r="AW327" s="19" t="s">
        <v>261</v>
      </c>
      <c r="AX327" s="19" t="s">
        <v>262</v>
      </c>
      <c r="AY327" s="19" t="s">
        <v>263</v>
      </c>
      <c r="AZ327" s="19" t="s">
        <v>264</v>
      </c>
      <c r="BA327" s="20">
        <v>43627</v>
      </c>
      <c r="BB327" s="19" t="s">
        <v>479</v>
      </c>
      <c r="BC327" s="19" t="s">
        <v>5386</v>
      </c>
      <c r="BD327" s="19" t="s">
        <v>365</v>
      </c>
      <c r="BE327" s="19" t="s">
        <v>130</v>
      </c>
      <c r="BF327" s="19" t="s">
        <v>5387</v>
      </c>
      <c r="BG327" s="19"/>
      <c r="BH327" s="19" t="s">
        <v>5388</v>
      </c>
      <c r="BI327" s="19" t="s">
        <v>5388</v>
      </c>
      <c r="BJ327" s="19" t="s">
        <v>166</v>
      </c>
      <c r="BK327" s="19" t="s">
        <v>167</v>
      </c>
      <c r="BL327" s="19" t="s">
        <v>168</v>
      </c>
      <c r="BM327" s="19" t="s">
        <v>169</v>
      </c>
      <c r="BN327" s="21">
        <v>139.57</v>
      </c>
      <c r="BO327" s="21">
        <v>4944.1555939999998</v>
      </c>
      <c r="BQ327" s="2"/>
      <c r="BR327" s="2"/>
      <c r="BS327" s="2"/>
      <c r="BT327" s="2"/>
      <c r="BU327" s="22"/>
      <c r="BV327" s="2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</row>
    <row r="328" spans="1:95" x14ac:dyDescent="0.25">
      <c r="A328" s="18">
        <v>325</v>
      </c>
      <c r="B328" s="19" t="s">
        <v>5389</v>
      </c>
      <c r="C328" s="19" t="s">
        <v>5390</v>
      </c>
      <c r="D328" s="20">
        <v>46017</v>
      </c>
      <c r="E328" s="20">
        <v>36012</v>
      </c>
      <c r="F328" s="19" t="s">
        <v>5391</v>
      </c>
      <c r="G328" s="19" t="s">
        <v>139</v>
      </c>
      <c r="H328" s="19" t="s">
        <v>94</v>
      </c>
      <c r="I328" s="19"/>
      <c r="J328" s="19"/>
      <c r="K328" s="19"/>
      <c r="L328" s="19" t="s">
        <v>244</v>
      </c>
      <c r="M328" s="19" t="s">
        <v>245</v>
      </c>
      <c r="N328" s="19" t="s">
        <v>5392</v>
      </c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 t="s">
        <v>101</v>
      </c>
      <c r="Z328" s="19" t="s">
        <v>102</v>
      </c>
      <c r="AA328" s="19" t="s">
        <v>103</v>
      </c>
      <c r="AB328" s="19" t="s">
        <v>173</v>
      </c>
      <c r="AC328" s="19" t="s">
        <v>174</v>
      </c>
      <c r="AD328" s="19" t="s">
        <v>5393</v>
      </c>
      <c r="AE328" s="19" t="s">
        <v>5394</v>
      </c>
      <c r="AF328" s="19" t="s">
        <v>5395</v>
      </c>
      <c r="AG328" s="19" t="s">
        <v>343</v>
      </c>
      <c r="AH328" s="19" t="s">
        <v>344</v>
      </c>
      <c r="AI328" s="19" t="s">
        <v>111</v>
      </c>
      <c r="AJ328" s="19" t="s">
        <v>5396</v>
      </c>
      <c r="AK328" s="19"/>
      <c r="AL328" s="19"/>
      <c r="AM328" s="19" t="s">
        <v>5397</v>
      </c>
      <c r="AN328" s="19" t="s">
        <v>5398</v>
      </c>
      <c r="AO328" s="19" t="s">
        <v>255</v>
      </c>
      <c r="AP328" s="19" t="s">
        <v>256</v>
      </c>
      <c r="AQ328" s="19" t="s">
        <v>117</v>
      </c>
      <c r="AR328" s="19" t="s">
        <v>257</v>
      </c>
      <c r="AS328" s="19" t="s">
        <v>258</v>
      </c>
      <c r="AT328" s="19" t="s">
        <v>259</v>
      </c>
      <c r="AU328" s="19" t="s">
        <v>260</v>
      </c>
      <c r="AV328" s="19" t="s">
        <v>260</v>
      </c>
      <c r="AW328" s="19" t="s">
        <v>261</v>
      </c>
      <c r="AX328" s="19" t="s">
        <v>262</v>
      </c>
      <c r="AY328" s="19" t="s">
        <v>263</v>
      </c>
      <c r="AZ328" s="19" t="s">
        <v>264</v>
      </c>
      <c r="BA328" s="20">
        <v>43627</v>
      </c>
      <c r="BB328" s="19" t="s">
        <v>331</v>
      </c>
      <c r="BC328" s="19" t="s">
        <v>5399</v>
      </c>
      <c r="BD328" s="19" t="s">
        <v>343</v>
      </c>
      <c r="BE328" s="19" t="s">
        <v>130</v>
      </c>
      <c r="BF328" s="19" t="s">
        <v>5400</v>
      </c>
      <c r="BG328" s="19"/>
      <c r="BH328" s="19" t="s">
        <v>5401</v>
      </c>
      <c r="BI328" s="19" t="s">
        <v>5401</v>
      </c>
      <c r="BJ328" s="19" t="s">
        <v>166</v>
      </c>
      <c r="BK328" s="19" t="s">
        <v>167</v>
      </c>
      <c r="BL328" s="19" t="s">
        <v>168</v>
      </c>
      <c r="BM328" s="19" t="s">
        <v>169</v>
      </c>
      <c r="BN328" s="21">
        <v>279.13900000000001</v>
      </c>
      <c r="BO328" s="21">
        <v>9888.2757638000003</v>
      </c>
      <c r="BQ328" s="2"/>
      <c r="BR328" s="2"/>
      <c r="BS328" s="2"/>
      <c r="BT328" s="2"/>
      <c r="BU328" s="22"/>
      <c r="BV328" s="2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</row>
    <row r="329" spans="1:95" x14ac:dyDescent="0.25">
      <c r="A329" s="18">
        <v>326</v>
      </c>
      <c r="B329" s="19" t="s">
        <v>5402</v>
      </c>
      <c r="C329" s="19" t="s">
        <v>5403</v>
      </c>
      <c r="D329" s="20">
        <v>46016</v>
      </c>
      <c r="E329" s="20">
        <v>34603</v>
      </c>
      <c r="F329" s="19"/>
      <c r="G329" s="19"/>
      <c r="H329" s="19" t="s">
        <v>94</v>
      </c>
      <c r="I329" s="19"/>
      <c r="J329" s="19" t="s">
        <v>287</v>
      </c>
      <c r="K329" s="19" t="s">
        <v>288</v>
      </c>
      <c r="L329" s="19" t="s">
        <v>101</v>
      </c>
      <c r="M329" s="19" t="s">
        <v>290</v>
      </c>
      <c r="N329" s="19" t="s">
        <v>5404</v>
      </c>
      <c r="O329" s="19" t="s">
        <v>100</v>
      </c>
      <c r="P329" s="19"/>
      <c r="Q329" s="19"/>
      <c r="R329" s="19"/>
      <c r="S329" s="19"/>
      <c r="T329" s="19"/>
      <c r="U329" s="19"/>
      <c r="V329" s="19"/>
      <c r="W329" s="19"/>
      <c r="X329" s="19"/>
      <c r="Y329" s="19" t="s">
        <v>101</v>
      </c>
      <c r="Z329" s="19" t="s">
        <v>102</v>
      </c>
      <c r="AA329" s="19" t="s">
        <v>103</v>
      </c>
      <c r="AB329" s="19" t="s">
        <v>1025</v>
      </c>
      <c r="AC329" s="19" t="s">
        <v>1026</v>
      </c>
      <c r="AD329" s="19" t="s">
        <v>5405</v>
      </c>
      <c r="AE329" s="19"/>
      <c r="AF329" s="19"/>
      <c r="AG329" s="19" t="s">
        <v>5406</v>
      </c>
      <c r="AH329" s="19" t="s">
        <v>376</v>
      </c>
      <c r="AI329" s="19" t="s">
        <v>111</v>
      </c>
      <c r="AJ329" s="19" t="s">
        <v>5407</v>
      </c>
      <c r="AK329" s="19"/>
      <c r="AL329" s="19"/>
      <c r="AM329" s="19" t="s">
        <v>5408</v>
      </c>
      <c r="AN329" s="19" t="s">
        <v>5409</v>
      </c>
      <c r="AO329" s="19" t="s">
        <v>3620</v>
      </c>
      <c r="AP329" s="19" t="s">
        <v>3621</v>
      </c>
      <c r="AQ329" s="19" t="s">
        <v>117</v>
      </c>
      <c r="AR329" s="19" t="s">
        <v>3622</v>
      </c>
      <c r="AS329" s="19" t="s">
        <v>3623</v>
      </c>
      <c r="AT329" s="19" t="s">
        <v>3624</v>
      </c>
      <c r="AU329" s="19" t="s">
        <v>3625</v>
      </c>
      <c r="AV329" s="19" t="s">
        <v>122</v>
      </c>
      <c r="AW329" s="19" t="s">
        <v>1412</v>
      </c>
      <c r="AX329" s="19" t="s">
        <v>124</v>
      </c>
      <c r="AY329" s="19" t="s">
        <v>3626</v>
      </c>
      <c r="AZ329" s="19" t="s">
        <v>3627</v>
      </c>
      <c r="BA329" s="20">
        <v>45530</v>
      </c>
      <c r="BB329" s="19" t="s">
        <v>1388</v>
      </c>
      <c r="BC329" s="19" t="s">
        <v>5410</v>
      </c>
      <c r="BD329" s="19" t="s">
        <v>5411</v>
      </c>
      <c r="BE329" s="19" t="s">
        <v>130</v>
      </c>
      <c r="BF329" s="19" t="s">
        <v>5412</v>
      </c>
      <c r="BG329" s="19"/>
      <c r="BH329" s="19" t="s">
        <v>5413</v>
      </c>
      <c r="BI329" s="19" t="s">
        <v>5413</v>
      </c>
      <c r="BJ329" s="19" t="s">
        <v>166</v>
      </c>
      <c r="BK329" s="19" t="s">
        <v>221</v>
      </c>
      <c r="BL329" s="19" t="s">
        <v>222</v>
      </c>
      <c r="BM329" s="19" t="s">
        <v>169</v>
      </c>
      <c r="BN329" s="21">
        <v>28.425999999999998</v>
      </c>
      <c r="BO329" s="21">
        <v>988.79272479999997</v>
      </c>
      <c r="BQ329" s="2"/>
      <c r="BR329" s="2"/>
      <c r="BS329" s="2"/>
      <c r="BT329" s="2"/>
      <c r="BU329" s="22"/>
      <c r="BV329" s="2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</row>
    <row r="330" spans="1:95" x14ac:dyDescent="0.25">
      <c r="A330" s="18">
        <v>327</v>
      </c>
      <c r="B330" s="19" t="s">
        <v>5414</v>
      </c>
      <c r="C330" s="19" t="s">
        <v>5415</v>
      </c>
      <c r="D330" s="20">
        <v>46017</v>
      </c>
      <c r="E330" s="20">
        <v>32767</v>
      </c>
      <c r="F330" s="19"/>
      <c r="G330" s="19"/>
      <c r="H330" s="19" t="s">
        <v>94</v>
      </c>
      <c r="I330" s="19"/>
      <c r="J330" s="19"/>
      <c r="K330" s="19"/>
      <c r="L330" s="19" t="s">
        <v>467</v>
      </c>
      <c r="M330" s="19" t="s">
        <v>468</v>
      </c>
      <c r="N330" s="19" t="s">
        <v>5416</v>
      </c>
      <c r="O330" s="19" t="s">
        <v>100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19" t="s">
        <v>101</v>
      </c>
      <c r="Z330" s="19" t="s">
        <v>102</v>
      </c>
      <c r="AA330" s="19" t="s">
        <v>103</v>
      </c>
      <c r="AB330" s="19" t="s">
        <v>1025</v>
      </c>
      <c r="AC330" s="19" t="s">
        <v>1026</v>
      </c>
      <c r="AD330" s="19" t="s">
        <v>5417</v>
      </c>
      <c r="AE330" s="19" t="s">
        <v>5418</v>
      </c>
      <c r="AF330" s="19" t="s">
        <v>5419</v>
      </c>
      <c r="AG330" s="19" t="s">
        <v>4449</v>
      </c>
      <c r="AH330" s="19" t="s">
        <v>124</v>
      </c>
      <c r="AI330" s="19" t="s">
        <v>111</v>
      </c>
      <c r="AJ330" s="19" t="s">
        <v>1839</v>
      </c>
      <c r="AK330" s="19"/>
      <c r="AL330" s="19"/>
      <c r="AM330" s="19" t="s">
        <v>5420</v>
      </c>
      <c r="AN330" s="19" t="s">
        <v>5421</v>
      </c>
      <c r="AO330" s="19" t="s">
        <v>208</v>
      </c>
      <c r="AP330" s="19" t="s">
        <v>209</v>
      </c>
      <c r="AQ330" s="19" t="s">
        <v>117</v>
      </c>
      <c r="AR330" s="19" t="s">
        <v>210</v>
      </c>
      <c r="AS330" s="19" t="s">
        <v>211</v>
      </c>
      <c r="AT330" s="19" t="s">
        <v>212</v>
      </c>
      <c r="AU330" s="19" t="s">
        <v>213</v>
      </c>
      <c r="AV330" s="19" t="s">
        <v>214</v>
      </c>
      <c r="AW330" s="19" t="s">
        <v>215</v>
      </c>
      <c r="AX330" s="19" t="s">
        <v>149</v>
      </c>
      <c r="AY330" s="19" t="s">
        <v>216</v>
      </c>
      <c r="AZ330" s="19" t="s">
        <v>217</v>
      </c>
      <c r="BA330" s="20">
        <v>35521</v>
      </c>
      <c r="BB330" s="19" t="s">
        <v>5422</v>
      </c>
      <c r="BC330" s="19" t="s">
        <v>5423</v>
      </c>
      <c r="BD330" s="19" t="s">
        <v>4449</v>
      </c>
      <c r="BE330" s="19" t="s">
        <v>130</v>
      </c>
      <c r="BF330" s="19" t="s">
        <v>5424</v>
      </c>
      <c r="BG330" s="19"/>
      <c r="BH330" s="19" t="s">
        <v>5425</v>
      </c>
      <c r="BI330" s="19" t="s">
        <v>5425</v>
      </c>
      <c r="BJ330" s="19" t="s">
        <v>1259</v>
      </c>
      <c r="BK330" s="19" t="s">
        <v>1491</v>
      </c>
      <c r="BL330" s="19" t="s">
        <v>122</v>
      </c>
      <c r="BM330" s="19" t="s">
        <v>196</v>
      </c>
      <c r="BN330" s="21">
        <v>56.850999999999999</v>
      </c>
      <c r="BO330" s="21">
        <v>1977.5506648</v>
      </c>
      <c r="BQ330" s="2"/>
      <c r="BR330" s="2"/>
      <c r="BS330" s="2"/>
      <c r="BT330" s="2"/>
      <c r="BU330" s="22"/>
      <c r="BV330" s="2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</row>
    <row r="331" spans="1:95" x14ac:dyDescent="0.25">
      <c r="A331" s="18">
        <v>328</v>
      </c>
      <c r="B331" s="19" t="s">
        <v>5426</v>
      </c>
      <c r="C331" s="19" t="s">
        <v>5427</v>
      </c>
      <c r="D331" s="20">
        <v>46020</v>
      </c>
      <c r="E331" s="20">
        <v>32115</v>
      </c>
      <c r="F331" s="19"/>
      <c r="G331" s="19"/>
      <c r="H331" s="19" t="s">
        <v>94</v>
      </c>
      <c r="I331" s="19"/>
      <c r="J331" s="19"/>
      <c r="K331" s="19"/>
      <c r="L331" s="19" t="s">
        <v>2080</v>
      </c>
      <c r="M331" s="19" t="s">
        <v>141</v>
      </c>
      <c r="N331" s="19" t="s">
        <v>5428</v>
      </c>
      <c r="O331" s="19" t="s">
        <v>100</v>
      </c>
      <c r="P331" s="19"/>
      <c r="Q331" s="19"/>
      <c r="R331" s="19"/>
      <c r="S331" s="19"/>
      <c r="T331" s="19"/>
      <c r="U331" s="19"/>
      <c r="V331" s="19"/>
      <c r="W331" s="19"/>
      <c r="X331" s="19"/>
      <c r="Y331" s="19" t="s">
        <v>3160</v>
      </c>
      <c r="Z331" s="19" t="s">
        <v>3161</v>
      </c>
      <c r="AA331" s="19" t="s">
        <v>103</v>
      </c>
      <c r="AB331" s="19" t="s">
        <v>5429</v>
      </c>
      <c r="AC331" s="19" t="s">
        <v>5430</v>
      </c>
      <c r="AD331" s="19" t="s">
        <v>5431</v>
      </c>
      <c r="AE331" s="19" t="s">
        <v>5432</v>
      </c>
      <c r="AF331" s="19"/>
      <c r="AG331" s="19" t="s">
        <v>122</v>
      </c>
      <c r="AH331" s="19" t="s">
        <v>124</v>
      </c>
      <c r="AI331" s="19" t="s">
        <v>111</v>
      </c>
      <c r="AJ331" s="19" t="s">
        <v>5433</v>
      </c>
      <c r="AK331" s="19"/>
      <c r="AL331" s="19" t="s">
        <v>5434</v>
      </c>
      <c r="AM331" s="19" t="s">
        <v>5435</v>
      </c>
      <c r="AN331" s="19" t="s">
        <v>5436</v>
      </c>
      <c r="AO331" s="19" t="s">
        <v>2088</v>
      </c>
      <c r="AP331" s="19" t="s">
        <v>2089</v>
      </c>
      <c r="AQ331" s="19" t="s">
        <v>94</v>
      </c>
      <c r="AR331" s="19" t="s">
        <v>2090</v>
      </c>
      <c r="AS331" s="19" t="s">
        <v>2091</v>
      </c>
      <c r="AT331" s="19" t="s">
        <v>2092</v>
      </c>
      <c r="AU331" s="19" t="s">
        <v>2093</v>
      </c>
      <c r="AV331" s="19" t="s">
        <v>122</v>
      </c>
      <c r="AW331" s="19" t="s">
        <v>2094</v>
      </c>
      <c r="AX331" s="19" t="s">
        <v>901</v>
      </c>
      <c r="AY331" s="19" t="s">
        <v>2095</v>
      </c>
      <c r="AZ331" s="19" t="s">
        <v>2096</v>
      </c>
      <c r="BA331" s="20">
        <v>39974</v>
      </c>
      <c r="BB331" s="19" t="s">
        <v>2097</v>
      </c>
      <c r="BC331" s="19" t="s">
        <v>5437</v>
      </c>
      <c r="BD331" s="19" t="s">
        <v>219</v>
      </c>
      <c r="BE331" s="19" t="s">
        <v>3180</v>
      </c>
      <c r="BF331" s="19" t="s">
        <v>5438</v>
      </c>
      <c r="BG331" s="19" t="s">
        <v>5439</v>
      </c>
      <c r="BH331" s="19" t="s">
        <v>5440</v>
      </c>
      <c r="BI331" s="19" t="s">
        <v>5440</v>
      </c>
      <c r="BJ331" s="19" t="s">
        <v>1259</v>
      </c>
      <c r="BK331" s="19" t="s">
        <v>195</v>
      </c>
      <c r="BL331" s="19" t="s">
        <v>122</v>
      </c>
      <c r="BM331" s="19" t="s">
        <v>196</v>
      </c>
      <c r="BN331" s="21">
        <v>7.6070000000000002</v>
      </c>
      <c r="BO331" s="21">
        <v>2014.1609211</v>
      </c>
      <c r="BQ331" s="2"/>
      <c r="BR331" s="2"/>
      <c r="BS331" s="2"/>
      <c r="BT331" s="2"/>
      <c r="BU331" s="22"/>
      <c r="BV331" s="2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</row>
    <row r="332" spans="1:95" x14ac:dyDescent="0.25">
      <c r="A332" s="18">
        <v>329</v>
      </c>
      <c r="B332" s="19" t="s">
        <v>5441</v>
      </c>
      <c r="C332" s="19" t="s">
        <v>5442</v>
      </c>
      <c r="D332" s="20">
        <v>45998</v>
      </c>
      <c r="E332" s="20">
        <v>36062</v>
      </c>
      <c r="F332" s="19"/>
      <c r="G332" s="19"/>
      <c r="H332" s="19" t="s">
        <v>94</v>
      </c>
      <c r="I332" s="19"/>
      <c r="J332" s="19"/>
      <c r="K332" s="19"/>
      <c r="L332" s="19" t="s">
        <v>244</v>
      </c>
      <c r="M332" s="19" t="s">
        <v>245</v>
      </c>
      <c r="N332" s="19" t="s">
        <v>5443</v>
      </c>
      <c r="O332" s="19" t="s">
        <v>100</v>
      </c>
      <c r="P332" s="19"/>
      <c r="Q332" s="19"/>
      <c r="R332" s="19"/>
      <c r="S332" s="19"/>
      <c r="T332" s="19"/>
      <c r="U332" s="19"/>
      <c r="V332" s="19"/>
      <c r="W332" s="19"/>
      <c r="X332" s="19"/>
      <c r="Y332" s="19" t="s">
        <v>101</v>
      </c>
      <c r="Z332" s="19" t="s">
        <v>102</v>
      </c>
      <c r="AA332" s="19" t="s">
        <v>103</v>
      </c>
      <c r="AB332" s="19" t="s">
        <v>247</v>
      </c>
      <c r="AC332" s="19" t="s">
        <v>248</v>
      </c>
      <c r="AD332" s="19" t="s">
        <v>5444</v>
      </c>
      <c r="AE332" s="19" t="s">
        <v>5445</v>
      </c>
      <c r="AF332" s="19" t="s">
        <v>5446</v>
      </c>
      <c r="AG332" s="19" t="s">
        <v>5447</v>
      </c>
      <c r="AH332" s="19" t="s">
        <v>110</v>
      </c>
      <c r="AI332" s="19" t="s">
        <v>111</v>
      </c>
      <c r="AJ332" s="19" t="s">
        <v>5446</v>
      </c>
      <c r="AK332" s="19"/>
      <c r="AL332" s="19"/>
      <c r="AM332" s="19" t="s">
        <v>5448</v>
      </c>
      <c r="AN332" s="19" t="s">
        <v>5449</v>
      </c>
      <c r="AO332" s="19" t="s">
        <v>255</v>
      </c>
      <c r="AP332" s="19" t="s">
        <v>256</v>
      </c>
      <c r="AQ332" s="19" t="s">
        <v>117</v>
      </c>
      <c r="AR332" s="19" t="s">
        <v>257</v>
      </c>
      <c r="AS332" s="19" t="s">
        <v>258</v>
      </c>
      <c r="AT332" s="19" t="s">
        <v>259</v>
      </c>
      <c r="AU332" s="19" t="s">
        <v>260</v>
      </c>
      <c r="AV332" s="19" t="s">
        <v>260</v>
      </c>
      <c r="AW332" s="19" t="s">
        <v>261</v>
      </c>
      <c r="AX332" s="19" t="s">
        <v>262</v>
      </c>
      <c r="AY332" s="19" t="s">
        <v>263</v>
      </c>
      <c r="AZ332" s="19" t="s">
        <v>264</v>
      </c>
      <c r="BA332" s="20">
        <v>43627</v>
      </c>
      <c r="BB332" s="19" t="s">
        <v>1388</v>
      </c>
      <c r="BC332" s="19" t="s">
        <v>5450</v>
      </c>
      <c r="BD332" s="19" t="s">
        <v>5451</v>
      </c>
      <c r="BE332" s="19" t="s">
        <v>130</v>
      </c>
      <c r="BF332" s="19" t="s">
        <v>5452</v>
      </c>
      <c r="BG332" s="19"/>
      <c r="BH332" s="19" t="s">
        <v>5453</v>
      </c>
      <c r="BI332" s="19" t="s">
        <v>5453</v>
      </c>
      <c r="BJ332" s="19" t="s">
        <v>194</v>
      </c>
      <c r="BK332" s="19" t="s">
        <v>195</v>
      </c>
      <c r="BL332" s="19" t="s">
        <v>122</v>
      </c>
      <c r="BM332" s="19" t="s">
        <v>196</v>
      </c>
      <c r="BN332" s="21">
        <v>2.2890000000000001</v>
      </c>
      <c r="BO332" s="21">
        <v>1003.7548836</v>
      </c>
      <c r="BQ332" s="2"/>
      <c r="BR332" s="2"/>
      <c r="BS332" s="2"/>
      <c r="BT332" s="2"/>
      <c r="BU332" s="22"/>
      <c r="BV332" s="2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</row>
    <row r="333" spans="1:95" x14ac:dyDescent="0.25">
      <c r="A333" s="18">
        <v>330</v>
      </c>
      <c r="B333" s="19" t="s">
        <v>5454</v>
      </c>
      <c r="C333" s="19" t="s">
        <v>5455</v>
      </c>
      <c r="D333" s="20">
        <v>45999</v>
      </c>
      <c r="E333" s="20">
        <v>35890</v>
      </c>
      <c r="F333" s="19" t="s">
        <v>5456</v>
      </c>
      <c r="G333" s="19" t="s">
        <v>139</v>
      </c>
      <c r="H333" s="19" t="s">
        <v>94</v>
      </c>
      <c r="I333" s="19"/>
      <c r="J333" s="19"/>
      <c r="K333" s="19"/>
      <c r="L333" s="19" t="s">
        <v>244</v>
      </c>
      <c r="M333" s="19" t="s">
        <v>245</v>
      </c>
      <c r="N333" s="19" t="s">
        <v>5457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 t="s">
        <v>101</v>
      </c>
      <c r="Z333" s="19" t="s">
        <v>102</v>
      </c>
      <c r="AA333" s="19" t="s">
        <v>103</v>
      </c>
      <c r="AB333" s="19" t="s">
        <v>143</v>
      </c>
      <c r="AC333" s="19" t="s">
        <v>144</v>
      </c>
      <c r="AD333" s="19" t="s">
        <v>5458</v>
      </c>
      <c r="AE333" s="19" t="s">
        <v>5459</v>
      </c>
      <c r="AF333" s="19" t="s">
        <v>5460</v>
      </c>
      <c r="AG333" s="19" t="s">
        <v>5461</v>
      </c>
      <c r="AH333" s="19" t="s">
        <v>3516</v>
      </c>
      <c r="AI333" s="19" t="s">
        <v>111</v>
      </c>
      <c r="AJ333" s="19" t="s">
        <v>5462</v>
      </c>
      <c r="AK333" s="19"/>
      <c r="AL333" s="19"/>
      <c r="AM333" s="19" t="s">
        <v>5463</v>
      </c>
      <c r="AN333" s="19" t="s">
        <v>5464</v>
      </c>
      <c r="AO333" s="19" t="s">
        <v>255</v>
      </c>
      <c r="AP333" s="19" t="s">
        <v>256</v>
      </c>
      <c r="AQ333" s="19" t="s">
        <v>117</v>
      </c>
      <c r="AR333" s="19" t="s">
        <v>257</v>
      </c>
      <c r="AS333" s="19" t="s">
        <v>258</v>
      </c>
      <c r="AT333" s="19" t="s">
        <v>259</v>
      </c>
      <c r="AU333" s="19" t="s">
        <v>260</v>
      </c>
      <c r="AV333" s="19" t="s">
        <v>260</v>
      </c>
      <c r="AW333" s="19" t="s">
        <v>261</v>
      </c>
      <c r="AX333" s="19" t="s">
        <v>262</v>
      </c>
      <c r="AY333" s="19" t="s">
        <v>263</v>
      </c>
      <c r="AZ333" s="19" t="s">
        <v>264</v>
      </c>
      <c r="BA333" s="20">
        <v>43627</v>
      </c>
      <c r="BB333" s="19" t="s">
        <v>331</v>
      </c>
      <c r="BC333" s="19" t="s">
        <v>5465</v>
      </c>
      <c r="BD333" s="19" t="s">
        <v>5466</v>
      </c>
      <c r="BE333" s="19" t="s">
        <v>130</v>
      </c>
      <c r="BF333" s="19" t="s">
        <v>5467</v>
      </c>
      <c r="BG333" s="19"/>
      <c r="BH333" s="19" t="s">
        <v>5468</v>
      </c>
      <c r="BI333" s="19" t="s">
        <v>5468</v>
      </c>
      <c r="BJ333" s="19" t="s">
        <v>166</v>
      </c>
      <c r="BK333" s="19" t="s">
        <v>167</v>
      </c>
      <c r="BL333" s="19" t="s">
        <v>168</v>
      </c>
      <c r="BM333" s="19" t="s">
        <v>169</v>
      </c>
      <c r="BN333" s="21">
        <v>13.679</v>
      </c>
      <c r="BO333" s="21">
        <v>521.03310999999997</v>
      </c>
      <c r="BQ333" s="2"/>
      <c r="BR333" s="2"/>
      <c r="BS333" s="2"/>
      <c r="BT333" s="2"/>
      <c r="BU333" s="22"/>
      <c r="BV333" s="2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</row>
    <row r="334" spans="1:95" x14ac:dyDescent="0.25">
      <c r="A334" s="18">
        <v>331</v>
      </c>
      <c r="B334" s="19" t="s">
        <v>5469</v>
      </c>
      <c r="C334" s="19" t="s">
        <v>5470</v>
      </c>
      <c r="D334" s="20">
        <v>46022</v>
      </c>
      <c r="E334" s="20">
        <v>26463</v>
      </c>
      <c r="F334" s="19"/>
      <c r="G334" s="19"/>
      <c r="H334" s="19" t="s">
        <v>94</v>
      </c>
      <c r="I334" s="19"/>
      <c r="J334" s="19"/>
      <c r="K334" s="19"/>
      <c r="L334" s="19"/>
      <c r="M334" s="19"/>
      <c r="N334" s="19" t="s">
        <v>5471</v>
      </c>
      <c r="O334" s="19" t="s">
        <v>100</v>
      </c>
      <c r="P334" s="19"/>
      <c r="Q334" s="19"/>
      <c r="R334" s="19"/>
      <c r="S334" s="19"/>
      <c r="T334" s="19"/>
      <c r="U334" s="19"/>
      <c r="V334" s="19"/>
      <c r="W334" s="19"/>
      <c r="X334" s="19"/>
      <c r="Y334" s="19" t="s">
        <v>101</v>
      </c>
      <c r="Z334" s="19" t="s">
        <v>102</v>
      </c>
      <c r="AA334" s="19" t="s">
        <v>103</v>
      </c>
      <c r="AB334" s="19" t="s">
        <v>201</v>
      </c>
      <c r="AC334" s="19" t="s">
        <v>202</v>
      </c>
      <c r="AD334" s="19" t="s">
        <v>5472</v>
      </c>
      <c r="AE334" s="19"/>
      <c r="AF334" s="19"/>
      <c r="AG334" s="19" t="s">
        <v>5473</v>
      </c>
      <c r="AH334" s="19" t="s">
        <v>124</v>
      </c>
      <c r="AI334" s="19" t="s">
        <v>111</v>
      </c>
      <c r="AJ334" s="19" t="s">
        <v>5474</v>
      </c>
      <c r="AK334" s="19"/>
      <c r="AL334" s="19"/>
      <c r="AM334" s="19" t="s">
        <v>5475</v>
      </c>
      <c r="AN334" s="19" t="s">
        <v>5476</v>
      </c>
      <c r="AO334" s="19" t="s">
        <v>5477</v>
      </c>
      <c r="AP334" s="19" t="s">
        <v>5478</v>
      </c>
      <c r="AQ334" s="19" t="s">
        <v>117</v>
      </c>
      <c r="AR334" s="19" t="s">
        <v>5479</v>
      </c>
      <c r="AS334" s="19" t="s">
        <v>5480</v>
      </c>
      <c r="AT334" s="19" t="s">
        <v>5481</v>
      </c>
      <c r="AU334" s="19"/>
      <c r="AV334" s="19" t="s">
        <v>5482</v>
      </c>
      <c r="AW334" s="19" t="s">
        <v>5474</v>
      </c>
      <c r="AX334" s="19" t="s">
        <v>124</v>
      </c>
      <c r="AY334" s="19" t="s">
        <v>5483</v>
      </c>
      <c r="AZ334" s="19" t="s">
        <v>5484</v>
      </c>
      <c r="BA334" s="20">
        <v>45729</v>
      </c>
      <c r="BB334" s="19" t="s">
        <v>331</v>
      </c>
      <c r="BC334" s="19" t="s">
        <v>5485</v>
      </c>
      <c r="BD334" s="19" t="s">
        <v>5485</v>
      </c>
      <c r="BE334" s="19" t="s">
        <v>130</v>
      </c>
      <c r="BF334" s="19" t="s">
        <v>5486</v>
      </c>
      <c r="BG334" s="19"/>
      <c r="BH334" s="19" t="s">
        <v>5487</v>
      </c>
      <c r="BI334" s="19" t="s">
        <v>5487</v>
      </c>
      <c r="BJ334" s="19"/>
      <c r="BK334" s="19" t="s">
        <v>221</v>
      </c>
      <c r="BL334" s="19" t="s">
        <v>222</v>
      </c>
      <c r="BM334" s="19" t="s">
        <v>169</v>
      </c>
      <c r="BN334" s="21">
        <v>0</v>
      </c>
      <c r="BO334" s="21">
        <v>0</v>
      </c>
      <c r="BQ334" s="2"/>
      <c r="BR334" s="2"/>
      <c r="BS334" s="2"/>
      <c r="BT334" s="2"/>
      <c r="BU334" s="22"/>
      <c r="BV334" s="2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</row>
    <row r="335" spans="1:95" x14ac:dyDescent="0.25">
      <c r="A335" s="18">
        <v>332</v>
      </c>
      <c r="B335" s="19" t="s">
        <v>5488</v>
      </c>
      <c r="C335" s="19" t="s">
        <v>5489</v>
      </c>
      <c r="D335" s="20">
        <v>45999</v>
      </c>
      <c r="E335" s="20">
        <v>34168</v>
      </c>
      <c r="F335" s="19" t="s">
        <v>5490</v>
      </c>
      <c r="G335" s="19" t="s">
        <v>139</v>
      </c>
      <c r="H335" s="19" t="s">
        <v>94</v>
      </c>
      <c r="I335" s="19"/>
      <c r="J335" s="19"/>
      <c r="K335" s="19"/>
      <c r="L335" s="19" t="s">
        <v>244</v>
      </c>
      <c r="M335" s="19" t="s">
        <v>245</v>
      </c>
      <c r="N335" s="19" t="s">
        <v>5491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 t="s">
        <v>101</v>
      </c>
      <c r="Z335" s="19" t="s">
        <v>102</v>
      </c>
      <c r="AA335" s="19" t="s">
        <v>103</v>
      </c>
      <c r="AB335" s="19" t="s">
        <v>143</v>
      </c>
      <c r="AC335" s="19" t="s">
        <v>144</v>
      </c>
      <c r="AD335" s="19" t="s">
        <v>5492</v>
      </c>
      <c r="AE335" s="19" t="s">
        <v>5493</v>
      </c>
      <c r="AF335" s="19" t="s">
        <v>5494</v>
      </c>
      <c r="AG335" s="19" t="s">
        <v>219</v>
      </c>
      <c r="AH335" s="19" t="s">
        <v>124</v>
      </c>
      <c r="AI335" s="19"/>
      <c r="AJ335" s="19" t="s">
        <v>2267</v>
      </c>
      <c r="AK335" s="19"/>
      <c r="AL335" s="19"/>
      <c r="AM335" s="19" t="s">
        <v>5495</v>
      </c>
      <c r="AN335" s="19" t="s">
        <v>5496</v>
      </c>
      <c r="AO335" s="19" t="s">
        <v>255</v>
      </c>
      <c r="AP335" s="19" t="s">
        <v>256</v>
      </c>
      <c r="AQ335" s="19" t="s">
        <v>117</v>
      </c>
      <c r="AR335" s="19" t="s">
        <v>257</v>
      </c>
      <c r="AS335" s="19" t="s">
        <v>258</v>
      </c>
      <c r="AT335" s="19" t="s">
        <v>259</v>
      </c>
      <c r="AU335" s="19" t="s">
        <v>260</v>
      </c>
      <c r="AV335" s="19" t="s">
        <v>260</v>
      </c>
      <c r="AW335" s="19" t="s">
        <v>261</v>
      </c>
      <c r="AX335" s="19" t="s">
        <v>262</v>
      </c>
      <c r="AY335" s="19" t="s">
        <v>263</v>
      </c>
      <c r="AZ335" s="19" t="s">
        <v>264</v>
      </c>
      <c r="BA335" s="20">
        <v>43627</v>
      </c>
      <c r="BB335" s="19" t="s">
        <v>444</v>
      </c>
      <c r="BC335" s="19" t="s">
        <v>5497</v>
      </c>
      <c r="BD335" s="19" t="s">
        <v>219</v>
      </c>
      <c r="BE335" s="19" t="s">
        <v>130</v>
      </c>
      <c r="BF335" s="19" t="s">
        <v>5498</v>
      </c>
      <c r="BG335" s="19"/>
      <c r="BH335" s="19" t="s">
        <v>5499</v>
      </c>
      <c r="BI335" s="19" t="s">
        <v>5499</v>
      </c>
      <c r="BJ335" s="19" t="s">
        <v>166</v>
      </c>
      <c r="BK335" s="19" t="s">
        <v>167</v>
      </c>
      <c r="BL335" s="19" t="s">
        <v>168</v>
      </c>
      <c r="BM335" s="19" t="s">
        <v>169</v>
      </c>
      <c r="BN335" s="21">
        <v>273.584</v>
      </c>
      <c r="BO335" s="21">
        <v>10420.814560000001</v>
      </c>
      <c r="BQ335" s="2"/>
      <c r="BR335" s="2"/>
      <c r="BS335" s="2"/>
      <c r="BT335" s="2"/>
      <c r="BU335" s="22"/>
      <c r="BV335" s="2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</row>
    <row r="336" spans="1:95" x14ac:dyDescent="0.25">
      <c r="A336" s="18">
        <v>333</v>
      </c>
      <c r="B336" s="19" t="s">
        <v>5500</v>
      </c>
      <c r="C336" s="19" t="s">
        <v>5501</v>
      </c>
      <c r="D336" s="20">
        <v>45999</v>
      </c>
      <c r="E336" s="20">
        <v>32617</v>
      </c>
      <c r="F336" s="19"/>
      <c r="G336" s="19"/>
      <c r="H336" s="19" t="s">
        <v>94</v>
      </c>
      <c r="I336" s="19"/>
      <c r="J336" s="19"/>
      <c r="K336" s="19"/>
      <c r="L336" s="19" t="s">
        <v>101</v>
      </c>
      <c r="M336" s="19" t="s">
        <v>290</v>
      </c>
      <c r="N336" s="19" t="s">
        <v>5502</v>
      </c>
      <c r="O336" s="19" t="s">
        <v>100</v>
      </c>
      <c r="P336" s="19"/>
      <c r="Q336" s="19"/>
      <c r="R336" s="19"/>
      <c r="S336" s="19"/>
      <c r="T336" s="19"/>
      <c r="U336" s="19"/>
      <c r="V336" s="19"/>
      <c r="W336" s="19"/>
      <c r="X336" s="19"/>
      <c r="Y336" s="19" t="s">
        <v>101</v>
      </c>
      <c r="Z336" s="19" t="s">
        <v>102</v>
      </c>
      <c r="AA336" s="19" t="s">
        <v>103</v>
      </c>
      <c r="AB336" s="19" t="s">
        <v>173</v>
      </c>
      <c r="AC336" s="19" t="s">
        <v>174</v>
      </c>
      <c r="AD336" s="19" t="s">
        <v>5503</v>
      </c>
      <c r="AE336" s="19" t="s">
        <v>5504</v>
      </c>
      <c r="AF336" s="19"/>
      <c r="AG336" s="19" t="s">
        <v>5505</v>
      </c>
      <c r="AH336" s="19" t="s">
        <v>327</v>
      </c>
      <c r="AI336" s="19" t="s">
        <v>111</v>
      </c>
      <c r="AJ336" s="19" t="s">
        <v>5506</v>
      </c>
      <c r="AK336" s="19"/>
      <c r="AL336" s="19"/>
      <c r="AM336" s="19" t="s">
        <v>5507</v>
      </c>
      <c r="AN336" s="19" t="s">
        <v>5508</v>
      </c>
      <c r="AO336" s="19" t="s">
        <v>835</v>
      </c>
      <c r="AP336" s="19" t="s">
        <v>836</v>
      </c>
      <c r="AQ336" s="19" t="s">
        <v>117</v>
      </c>
      <c r="AR336" s="19" t="s">
        <v>837</v>
      </c>
      <c r="AS336" s="19" t="s">
        <v>838</v>
      </c>
      <c r="AT336" s="19" t="s">
        <v>839</v>
      </c>
      <c r="AU336" s="19" t="s">
        <v>840</v>
      </c>
      <c r="AV336" s="19" t="s">
        <v>841</v>
      </c>
      <c r="AW336" s="19"/>
      <c r="AX336" s="19" t="s">
        <v>707</v>
      </c>
      <c r="AY336" s="19" t="s">
        <v>842</v>
      </c>
      <c r="AZ336" s="19" t="s">
        <v>843</v>
      </c>
      <c r="BA336" s="20">
        <v>45453</v>
      </c>
      <c r="BB336" s="19" t="s">
        <v>349</v>
      </c>
      <c r="BC336" s="19" t="s">
        <v>5509</v>
      </c>
      <c r="BD336" s="19" t="s">
        <v>5510</v>
      </c>
      <c r="BE336" s="19" t="s">
        <v>130</v>
      </c>
      <c r="BF336" s="19" t="s">
        <v>5511</v>
      </c>
      <c r="BG336" s="19"/>
      <c r="BH336" s="19" t="s">
        <v>5512</v>
      </c>
      <c r="BI336" s="19" t="s">
        <v>5512</v>
      </c>
      <c r="BJ336" s="19" t="s">
        <v>194</v>
      </c>
      <c r="BK336" s="19" t="s">
        <v>195</v>
      </c>
      <c r="BL336" s="19" t="s">
        <v>122</v>
      </c>
      <c r="BM336" s="19" t="s">
        <v>196</v>
      </c>
      <c r="BN336" s="21">
        <v>10.734</v>
      </c>
      <c r="BO336" s="21">
        <v>380.2433628</v>
      </c>
      <c r="BQ336" s="2"/>
      <c r="BR336" s="2"/>
      <c r="BS336" s="2"/>
      <c r="BT336" s="2"/>
      <c r="BU336" s="22"/>
      <c r="BV336" s="2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</row>
    <row r="337" spans="1:95" x14ac:dyDescent="0.25">
      <c r="A337" s="18">
        <v>334</v>
      </c>
      <c r="B337" s="19" t="s">
        <v>5513</v>
      </c>
      <c r="C337" s="19" t="s">
        <v>5514</v>
      </c>
      <c r="D337" s="20">
        <v>46021</v>
      </c>
      <c r="E337" s="20">
        <v>33472</v>
      </c>
      <c r="F337" s="19"/>
      <c r="G337" s="19"/>
      <c r="H337" s="19" t="s">
        <v>94</v>
      </c>
      <c r="I337" s="19"/>
      <c r="J337" s="19" t="s">
        <v>3080</v>
      </c>
      <c r="K337" s="19" t="s">
        <v>3081</v>
      </c>
      <c r="L337" s="19" t="s">
        <v>244</v>
      </c>
      <c r="M337" s="19" t="s">
        <v>245</v>
      </c>
      <c r="N337" s="19" t="s">
        <v>5515</v>
      </c>
      <c r="O337" s="19" t="s">
        <v>100</v>
      </c>
      <c r="P337" s="19"/>
      <c r="Q337" s="19"/>
      <c r="R337" s="19"/>
      <c r="S337" s="19"/>
      <c r="T337" s="19"/>
      <c r="U337" s="19"/>
      <c r="V337" s="19"/>
      <c r="W337" s="19"/>
      <c r="X337" s="19"/>
      <c r="Y337" s="19" t="s">
        <v>101</v>
      </c>
      <c r="Z337" s="19" t="s">
        <v>102</v>
      </c>
      <c r="AA337" s="19" t="s">
        <v>103</v>
      </c>
      <c r="AB337" s="19" t="s">
        <v>402</v>
      </c>
      <c r="AC337" s="19" t="s">
        <v>403</v>
      </c>
      <c r="AD337" s="19" t="s">
        <v>5516</v>
      </c>
      <c r="AE337" s="19" t="s">
        <v>5517</v>
      </c>
      <c r="AF337" s="19"/>
      <c r="AG337" s="19" t="s">
        <v>5518</v>
      </c>
      <c r="AH337" s="19" t="s">
        <v>376</v>
      </c>
      <c r="AI337" s="19" t="s">
        <v>111</v>
      </c>
      <c r="AJ337" s="19" t="s">
        <v>5519</v>
      </c>
      <c r="AK337" s="19"/>
      <c r="AL337" s="19"/>
      <c r="AM337" s="19" t="s">
        <v>5520</v>
      </c>
      <c r="AN337" s="19" t="s">
        <v>5521</v>
      </c>
      <c r="AO337" s="19" t="s">
        <v>5522</v>
      </c>
      <c r="AP337" s="19" t="s">
        <v>5523</v>
      </c>
      <c r="AQ337" s="19" t="s">
        <v>117</v>
      </c>
      <c r="AR337" s="19" t="s">
        <v>5524</v>
      </c>
      <c r="AS337" s="19" t="s">
        <v>5525</v>
      </c>
      <c r="AT337" s="19"/>
      <c r="AU337" s="19"/>
      <c r="AV337" s="19" t="s">
        <v>5526</v>
      </c>
      <c r="AW337" s="19" t="s">
        <v>5519</v>
      </c>
      <c r="AX337" s="19" t="s">
        <v>376</v>
      </c>
      <c r="AY337" s="19" t="s">
        <v>5527</v>
      </c>
      <c r="AZ337" s="19" t="s">
        <v>5528</v>
      </c>
      <c r="BA337" s="20">
        <v>43103</v>
      </c>
      <c r="BB337" s="19" t="s">
        <v>265</v>
      </c>
      <c r="BC337" s="19" t="s">
        <v>5518</v>
      </c>
      <c r="BD337" s="19" t="s">
        <v>5518</v>
      </c>
      <c r="BE337" s="19" t="s">
        <v>130</v>
      </c>
      <c r="BF337" s="19" t="s">
        <v>5529</v>
      </c>
      <c r="BG337" s="19"/>
      <c r="BH337" s="19" t="s">
        <v>5530</v>
      </c>
      <c r="BI337" s="19" t="s">
        <v>5530</v>
      </c>
      <c r="BJ337" s="19" t="s">
        <v>166</v>
      </c>
      <c r="BK337" s="19" t="s">
        <v>195</v>
      </c>
      <c r="BL337" s="19" t="s">
        <v>122</v>
      </c>
      <c r="BM337" s="19" t="s">
        <v>196</v>
      </c>
      <c r="BN337" s="21">
        <v>0</v>
      </c>
      <c r="BO337" s="21">
        <v>0</v>
      </c>
      <c r="BQ337" s="2"/>
      <c r="BR337" s="2"/>
      <c r="BS337" s="2"/>
      <c r="BT337" s="2"/>
      <c r="BU337" s="22"/>
      <c r="BV337" s="2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</row>
    <row r="338" spans="1:95" x14ac:dyDescent="0.25">
      <c r="A338" s="18">
        <v>335</v>
      </c>
      <c r="B338" s="19" t="s">
        <v>5531</v>
      </c>
      <c r="C338" s="19" t="s">
        <v>5532</v>
      </c>
      <c r="D338" s="20">
        <v>45995</v>
      </c>
      <c r="E338" s="20">
        <v>31016</v>
      </c>
      <c r="F338" s="19"/>
      <c r="G338" s="19"/>
      <c r="H338" s="19" t="s">
        <v>94</v>
      </c>
      <c r="I338" s="19"/>
      <c r="J338" s="19"/>
      <c r="K338" s="19"/>
      <c r="L338" s="19" t="s">
        <v>467</v>
      </c>
      <c r="M338" s="19" t="s">
        <v>468</v>
      </c>
      <c r="N338" s="19" t="s">
        <v>5533</v>
      </c>
      <c r="O338" s="19" t="s">
        <v>100</v>
      </c>
      <c r="P338" s="19"/>
      <c r="Q338" s="19"/>
      <c r="R338" s="19"/>
      <c r="S338" s="19"/>
      <c r="T338" s="19"/>
      <c r="U338" s="19"/>
      <c r="V338" s="19"/>
      <c r="W338" s="19"/>
      <c r="X338" s="19"/>
      <c r="Y338" s="19" t="s">
        <v>101</v>
      </c>
      <c r="Z338" s="19" t="s">
        <v>102</v>
      </c>
      <c r="AA338" s="19" t="s">
        <v>103</v>
      </c>
      <c r="AB338" s="19" t="s">
        <v>1372</v>
      </c>
      <c r="AC338" s="19" t="s">
        <v>1373</v>
      </c>
      <c r="AD338" s="19" t="s">
        <v>5534</v>
      </c>
      <c r="AE338" s="19" t="s">
        <v>5535</v>
      </c>
      <c r="AF338" s="19" t="s">
        <v>5536</v>
      </c>
      <c r="AG338" s="19" t="s">
        <v>3919</v>
      </c>
      <c r="AH338" s="19" t="s">
        <v>515</v>
      </c>
      <c r="AI338" s="19" t="s">
        <v>111</v>
      </c>
      <c r="AJ338" s="19" t="s">
        <v>5537</v>
      </c>
      <c r="AK338" s="19"/>
      <c r="AL338" s="19"/>
      <c r="AM338" s="19" t="s">
        <v>5538</v>
      </c>
      <c r="AN338" s="19" t="s">
        <v>5539</v>
      </c>
      <c r="AO338" s="19" t="s">
        <v>4873</v>
      </c>
      <c r="AP338" s="19" t="s">
        <v>4874</v>
      </c>
      <c r="AQ338" s="19" t="s">
        <v>117</v>
      </c>
      <c r="AR338" s="19" t="s">
        <v>4875</v>
      </c>
      <c r="AS338" s="19" t="s">
        <v>4876</v>
      </c>
      <c r="AT338" s="19" t="s">
        <v>4877</v>
      </c>
      <c r="AU338" s="19" t="s">
        <v>4878</v>
      </c>
      <c r="AV338" s="19" t="s">
        <v>122</v>
      </c>
      <c r="AW338" s="19" t="s">
        <v>2313</v>
      </c>
      <c r="AX338" s="19" t="s">
        <v>901</v>
      </c>
      <c r="AY338" s="19" t="s">
        <v>4879</v>
      </c>
      <c r="AZ338" s="19" t="s">
        <v>4880</v>
      </c>
      <c r="BA338" s="20">
        <v>34995</v>
      </c>
      <c r="BB338" s="19" t="s">
        <v>4881</v>
      </c>
      <c r="BC338" s="19" t="s">
        <v>5540</v>
      </c>
      <c r="BD338" s="19" t="s">
        <v>1300</v>
      </c>
      <c r="BE338" s="19" t="s">
        <v>130</v>
      </c>
      <c r="BF338" s="19" t="s">
        <v>5541</v>
      </c>
      <c r="BG338" s="19"/>
      <c r="BH338" s="19" t="s">
        <v>5542</v>
      </c>
      <c r="BI338" s="19" t="s">
        <v>5542</v>
      </c>
      <c r="BJ338" s="19" t="s">
        <v>1259</v>
      </c>
      <c r="BK338" s="19" t="s">
        <v>195</v>
      </c>
      <c r="BL338" s="19" t="s">
        <v>122</v>
      </c>
      <c r="BM338" s="19" t="s">
        <v>196</v>
      </c>
      <c r="BN338" s="21">
        <v>404.26499999999999</v>
      </c>
      <c r="BO338" s="21">
        <v>15644.327823</v>
      </c>
      <c r="BQ338" s="2"/>
      <c r="BR338" s="2"/>
      <c r="BS338" s="2"/>
      <c r="BT338" s="2"/>
      <c r="BU338" s="22"/>
      <c r="BV338" s="2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</row>
    <row r="339" spans="1:95" x14ac:dyDescent="0.25">
      <c r="A339" s="18">
        <v>336</v>
      </c>
      <c r="B339" s="19" t="s">
        <v>5543</v>
      </c>
      <c r="C339" s="19" t="s">
        <v>5544</v>
      </c>
      <c r="D339" s="20">
        <v>45995</v>
      </c>
      <c r="E339" s="20">
        <v>34875</v>
      </c>
      <c r="F339" s="19"/>
      <c r="G339" s="19"/>
      <c r="H339" s="19" t="s">
        <v>94</v>
      </c>
      <c r="I339" s="19"/>
      <c r="J339" s="19"/>
      <c r="K339" s="19"/>
      <c r="L339" s="19" t="s">
        <v>244</v>
      </c>
      <c r="M339" s="19" t="s">
        <v>245</v>
      </c>
      <c r="N339" s="19" t="s">
        <v>5545</v>
      </c>
      <c r="O339" s="19" t="s">
        <v>100</v>
      </c>
      <c r="P339" s="19"/>
      <c r="Q339" s="19"/>
      <c r="R339" s="19"/>
      <c r="S339" s="19"/>
      <c r="T339" s="19"/>
      <c r="U339" s="19"/>
      <c r="V339" s="19"/>
      <c r="W339" s="19"/>
      <c r="X339" s="19"/>
      <c r="Y339" s="19" t="s">
        <v>101</v>
      </c>
      <c r="Z339" s="19" t="s">
        <v>102</v>
      </c>
      <c r="AA339" s="19" t="s">
        <v>103</v>
      </c>
      <c r="AB339" s="19" t="s">
        <v>143</v>
      </c>
      <c r="AC339" s="19" t="s">
        <v>144</v>
      </c>
      <c r="AD339" s="19" t="s">
        <v>5546</v>
      </c>
      <c r="AE339" s="19" t="s">
        <v>5547</v>
      </c>
      <c r="AF339" s="19" t="s">
        <v>5548</v>
      </c>
      <c r="AG339" s="19" t="s">
        <v>1585</v>
      </c>
      <c r="AH339" s="19" t="s">
        <v>262</v>
      </c>
      <c r="AI339" s="19" t="s">
        <v>111</v>
      </c>
      <c r="AJ339" s="19" t="s">
        <v>5549</v>
      </c>
      <c r="AK339" s="19"/>
      <c r="AL339" s="19"/>
      <c r="AM339" s="19" t="s">
        <v>5550</v>
      </c>
      <c r="AN339" s="19" t="s">
        <v>5551</v>
      </c>
      <c r="AO339" s="19" t="s">
        <v>255</v>
      </c>
      <c r="AP339" s="19" t="s">
        <v>256</v>
      </c>
      <c r="AQ339" s="19" t="s">
        <v>117</v>
      </c>
      <c r="AR339" s="19" t="s">
        <v>257</v>
      </c>
      <c r="AS339" s="19" t="s">
        <v>258</v>
      </c>
      <c r="AT339" s="19" t="s">
        <v>259</v>
      </c>
      <c r="AU339" s="19" t="s">
        <v>260</v>
      </c>
      <c r="AV339" s="19" t="s">
        <v>260</v>
      </c>
      <c r="AW339" s="19" t="s">
        <v>261</v>
      </c>
      <c r="AX339" s="19" t="s">
        <v>262</v>
      </c>
      <c r="AY339" s="19" t="s">
        <v>263</v>
      </c>
      <c r="AZ339" s="19" t="s">
        <v>264</v>
      </c>
      <c r="BA339" s="20">
        <v>43627</v>
      </c>
      <c r="BB339" s="19" t="s">
        <v>331</v>
      </c>
      <c r="BC339" s="19" t="s">
        <v>5552</v>
      </c>
      <c r="BD339" s="19" t="s">
        <v>5553</v>
      </c>
      <c r="BE339" s="19" t="s">
        <v>130</v>
      </c>
      <c r="BF339" s="19" t="s">
        <v>5554</v>
      </c>
      <c r="BG339" s="19"/>
      <c r="BH339" s="19" t="s">
        <v>5555</v>
      </c>
      <c r="BI339" s="19" t="s">
        <v>5555</v>
      </c>
      <c r="BJ339" s="19" t="s">
        <v>194</v>
      </c>
      <c r="BK339" s="19" t="s">
        <v>195</v>
      </c>
      <c r="BL339" s="19" t="s">
        <v>122</v>
      </c>
      <c r="BM339" s="19" t="s">
        <v>196</v>
      </c>
      <c r="BN339" s="21">
        <v>67.472999999999999</v>
      </c>
      <c r="BO339" s="21">
        <v>2570.04657</v>
      </c>
      <c r="BQ339" s="2"/>
      <c r="BR339" s="2"/>
      <c r="BS339" s="2"/>
      <c r="BT339" s="2"/>
      <c r="BU339" s="22"/>
      <c r="BV339" s="2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</row>
    <row r="340" spans="1:95" x14ac:dyDescent="0.25">
      <c r="A340" s="18">
        <v>337</v>
      </c>
      <c r="B340" s="19" t="s">
        <v>5556</v>
      </c>
      <c r="C340" s="19" t="s">
        <v>5557</v>
      </c>
      <c r="D340" s="20">
        <v>45996</v>
      </c>
      <c r="E340" s="20">
        <v>33740</v>
      </c>
      <c r="F340" s="19" t="s">
        <v>5558</v>
      </c>
      <c r="G340" s="19" t="s">
        <v>139</v>
      </c>
      <c r="H340" s="19" t="s">
        <v>117</v>
      </c>
      <c r="I340" s="19" t="s">
        <v>5559</v>
      </c>
      <c r="J340" s="19"/>
      <c r="K340" s="19"/>
      <c r="L340" s="19" t="s">
        <v>467</v>
      </c>
      <c r="M340" s="19" t="s">
        <v>468</v>
      </c>
      <c r="N340" s="19" t="s">
        <v>5560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 t="s">
        <v>101</v>
      </c>
      <c r="Z340" s="19" t="s">
        <v>102</v>
      </c>
      <c r="AA340" s="19" t="s">
        <v>103</v>
      </c>
      <c r="AB340" s="19" t="s">
        <v>953</v>
      </c>
      <c r="AC340" s="19" t="s">
        <v>954</v>
      </c>
      <c r="AD340" s="19" t="s">
        <v>5561</v>
      </c>
      <c r="AE340" s="19"/>
      <c r="AF340" s="19"/>
      <c r="AG340" s="19" t="s">
        <v>5562</v>
      </c>
      <c r="AH340" s="19" t="s">
        <v>515</v>
      </c>
      <c r="AI340" s="19" t="s">
        <v>111</v>
      </c>
      <c r="AJ340" s="19" t="s">
        <v>5563</v>
      </c>
      <c r="AK340" s="19"/>
      <c r="AL340" s="19"/>
      <c r="AM340" s="19" t="s">
        <v>5564</v>
      </c>
      <c r="AN340" s="19" t="s">
        <v>5565</v>
      </c>
      <c r="AO340" s="19" t="s">
        <v>476</v>
      </c>
      <c r="AP340" s="19" t="s">
        <v>477</v>
      </c>
      <c r="AQ340" s="19" t="s">
        <v>117</v>
      </c>
      <c r="AR340" s="19" t="s">
        <v>478</v>
      </c>
      <c r="AS340" s="19"/>
      <c r="AT340" s="19"/>
      <c r="AU340" s="19"/>
      <c r="AV340" s="19"/>
      <c r="AW340" s="19"/>
      <c r="AX340" s="19"/>
      <c r="AY340" s="19"/>
      <c r="AZ340" s="19"/>
      <c r="BA340" s="20">
        <v>44452</v>
      </c>
      <c r="BB340" s="19" t="s">
        <v>331</v>
      </c>
      <c r="BC340" s="19" t="s">
        <v>5566</v>
      </c>
      <c r="BD340" s="19" t="s">
        <v>5566</v>
      </c>
      <c r="BE340" s="19" t="s">
        <v>130</v>
      </c>
      <c r="BF340" s="19" t="s">
        <v>5567</v>
      </c>
      <c r="BG340" s="19"/>
      <c r="BH340" s="19" t="s">
        <v>5568</v>
      </c>
      <c r="BI340" s="19" t="s">
        <v>5568</v>
      </c>
      <c r="BJ340" s="19" t="s">
        <v>166</v>
      </c>
      <c r="BK340" s="19" t="s">
        <v>167</v>
      </c>
      <c r="BL340" s="19" t="s">
        <v>168</v>
      </c>
      <c r="BM340" s="19" t="s">
        <v>169</v>
      </c>
      <c r="BN340" s="21">
        <v>12.862</v>
      </c>
      <c r="BO340" s="21">
        <v>518.10322540000004</v>
      </c>
      <c r="BQ340" s="2"/>
      <c r="BR340" s="2"/>
      <c r="BS340" s="2"/>
      <c r="BT340" s="2"/>
      <c r="BU340" s="22"/>
      <c r="BV340" s="2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</row>
    <row r="341" spans="1:95" x14ac:dyDescent="0.25">
      <c r="A341" s="18">
        <v>338</v>
      </c>
      <c r="B341" s="19" t="s">
        <v>5569</v>
      </c>
      <c r="C341" s="19" t="s">
        <v>5570</v>
      </c>
      <c r="D341" s="20">
        <v>45995</v>
      </c>
      <c r="E341" s="20">
        <v>33149</v>
      </c>
      <c r="F341" s="19" t="s">
        <v>5571</v>
      </c>
      <c r="G341" s="19" t="s">
        <v>139</v>
      </c>
      <c r="H341" s="19" t="s">
        <v>94</v>
      </c>
      <c r="I341" s="19"/>
      <c r="J341" s="19"/>
      <c r="K341" s="19"/>
      <c r="L341" s="19" t="s">
        <v>244</v>
      </c>
      <c r="M341" s="19" t="s">
        <v>245</v>
      </c>
      <c r="N341" s="19" t="s">
        <v>5572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 t="s">
        <v>101</v>
      </c>
      <c r="Z341" s="19" t="s">
        <v>102</v>
      </c>
      <c r="AA341" s="19" t="s">
        <v>103</v>
      </c>
      <c r="AB341" s="19" t="s">
        <v>173</v>
      </c>
      <c r="AC341" s="19" t="s">
        <v>174</v>
      </c>
      <c r="AD341" s="19" t="s">
        <v>5573</v>
      </c>
      <c r="AE341" s="19" t="s">
        <v>5574</v>
      </c>
      <c r="AF341" s="19"/>
      <c r="AG341" s="19" t="s">
        <v>1868</v>
      </c>
      <c r="AH341" s="19" t="s">
        <v>327</v>
      </c>
      <c r="AI341" s="19"/>
      <c r="AJ341" s="19" t="s">
        <v>5575</v>
      </c>
      <c r="AK341" s="19"/>
      <c r="AL341" s="19"/>
      <c r="AM341" s="19" t="s">
        <v>5576</v>
      </c>
      <c r="AN341" s="19" t="s">
        <v>5577</v>
      </c>
      <c r="AO341" s="19" t="s">
        <v>255</v>
      </c>
      <c r="AP341" s="19" t="s">
        <v>256</v>
      </c>
      <c r="AQ341" s="19" t="s">
        <v>117</v>
      </c>
      <c r="AR341" s="19" t="s">
        <v>257</v>
      </c>
      <c r="AS341" s="19" t="s">
        <v>258</v>
      </c>
      <c r="AT341" s="19" t="s">
        <v>259</v>
      </c>
      <c r="AU341" s="19" t="s">
        <v>260</v>
      </c>
      <c r="AV341" s="19" t="s">
        <v>260</v>
      </c>
      <c r="AW341" s="19" t="s">
        <v>261</v>
      </c>
      <c r="AX341" s="19" t="s">
        <v>262</v>
      </c>
      <c r="AY341" s="19" t="s">
        <v>263</v>
      </c>
      <c r="AZ341" s="19" t="s">
        <v>264</v>
      </c>
      <c r="BA341" s="20">
        <v>43627</v>
      </c>
      <c r="BB341" s="19" t="s">
        <v>331</v>
      </c>
      <c r="BC341" s="19" t="s">
        <v>5578</v>
      </c>
      <c r="BD341" s="19" t="s">
        <v>5578</v>
      </c>
      <c r="BE341" s="19" t="s">
        <v>130</v>
      </c>
      <c r="BF341" s="19" t="s">
        <v>5579</v>
      </c>
      <c r="BG341" s="19"/>
      <c r="BH341" s="19" t="s">
        <v>5580</v>
      </c>
      <c r="BI341" s="19" t="s">
        <v>5580</v>
      </c>
      <c r="BJ341" s="19" t="s">
        <v>166</v>
      </c>
      <c r="BK341" s="19" t="s">
        <v>167</v>
      </c>
      <c r="BL341" s="19" t="s">
        <v>168</v>
      </c>
      <c r="BM341" s="19" t="s">
        <v>169</v>
      </c>
      <c r="BN341" s="21">
        <v>0</v>
      </c>
      <c r="BO341" s="21">
        <v>0</v>
      </c>
      <c r="BQ341" s="2"/>
      <c r="BR341" s="2"/>
      <c r="BS341" s="2"/>
      <c r="BT341" s="2"/>
      <c r="BU341" s="22"/>
      <c r="BV341" s="2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</row>
    <row r="342" spans="1:95" x14ac:dyDescent="0.25">
      <c r="A342" s="18">
        <v>339</v>
      </c>
      <c r="B342" s="19" t="s">
        <v>5581</v>
      </c>
      <c r="C342" s="19" t="s">
        <v>5582</v>
      </c>
      <c r="D342" s="20">
        <v>45996</v>
      </c>
      <c r="E342" s="20">
        <v>37579</v>
      </c>
      <c r="F342" s="19"/>
      <c r="G342" s="19"/>
      <c r="H342" s="19" t="s">
        <v>94</v>
      </c>
      <c r="I342" s="19"/>
      <c r="J342" s="19" t="s">
        <v>2625</v>
      </c>
      <c r="K342" s="19" t="s">
        <v>2626</v>
      </c>
      <c r="L342" s="19" t="s">
        <v>97</v>
      </c>
      <c r="M342" s="19" t="s">
        <v>98</v>
      </c>
      <c r="N342" s="19" t="s">
        <v>5583</v>
      </c>
      <c r="O342" s="19" t="s">
        <v>100</v>
      </c>
      <c r="P342" s="19"/>
      <c r="Q342" s="19"/>
      <c r="R342" s="19"/>
      <c r="S342" s="19"/>
      <c r="T342" s="19"/>
      <c r="U342" s="19"/>
      <c r="V342" s="19"/>
      <c r="W342" s="19"/>
      <c r="X342" s="19"/>
      <c r="Y342" s="19" t="s">
        <v>101</v>
      </c>
      <c r="Z342" s="19" t="s">
        <v>102</v>
      </c>
      <c r="AA342" s="19" t="s">
        <v>103</v>
      </c>
      <c r="AB342" s="19" t="s">
        <v>789</v>
      </c>
      <c r="AC342" s="19" t="s">
        <v>790</v>
      </c>
      <c r="AD342" s="19" t="s">
        <v>5584</v>
      </c>
      <c r="AE342" s="19" t="s">
        <v>5585</v>
      </c>
      <c r="AF342" s="19"/>
      <c r="AG342" s="19" t="s">
        <v>4302</v>
      </c>
      <c r="AH342" s="19" t="s">
        <v>298</v>
      </c>
      <c r="AI342" s="19" t="s">
        <v>111</v>
      </c>
      <c r="AJ342" s="19" t="s">
        <v>5586</v>
      </c>
      <c r="AK342" s="19"/>
      <c r="AL342" s="19"/>
      <c r="AM342" s="19" t="s">
        <v>5587</v>
      </c>
      <c r="AN342" s="19" t="s">
        <v>5588</v>
      </c>
      <c r="AO342" s="19" t="s">
        <v>5589</v>
      </c>
      <c r="AP342" s="19" t="s">
        <v>5590</v>
      </c>
      <c r="AQ342" s="19" t="s">
        <v>117</v>
      </c>
      <c r="AR342" s="19" t="s">
        <v>5591</v>
      </c>
      <c r="AS342" s="19" t="s">
        <v>5592</v>
      </c>
      <c r="AT342" s="19"/>
      <c r="AU342" s="19"/>
      <c r="AV342" s="19" t="s">
        <v>4302</v>
      </c>
      <c r="AW342" s="19" t="s">
        <v>5586</v>
      </c>
      <c r="AX342" s="19" t="s">
        <v>309</v>
      </c>
      <c r="AY342" s="19" t="s">
        <v>5593</v>
      </c>
      <c r="AZ342" s="19" t="s">
        <v>5594</v>
      </c>
      <c r="BA342" s="20">
        <v>45677</v>
      </c>
      <c r="BB342" s="19" t="s">
        <v>312</v>
      </c>
      <c r="BC342" s="19" t="s">
        <v>5595</v>
      </c>
      <c r="BD342" s="19" t="s">
        <v>5596</v>
      </c>
      <c r="BE342" s="19" t="s">
        <v>130</v>
      </c>
      <c r="BF342" s="19" t="s">
        <v>5597</v>
      </c>
      <c r="BG342" s="19"/>
      <c r="BH342" s="19" t="s">
        <v>5598</v>
      </c>
      <c r="BI342" s="19" t="s">
        <v>5598</v>
      </c>
      <c r="BJ342" s="19"/>
      <c r="BK342" s="19" t="s">
        <v>4309</v>
      </c>
      <c r="BL342" s="19" t="s">
        <v>4302</v>
      </c>
      <c r="BM342" s="19" t="s">
        <v>135</v>
      </c>
      <c r="BN342" s="21">
        <v>0</v>
      </c>
      <c r="BO342" s="21">
        <v>0</v>
      </c>
      <c r="BQ342" s="2"/>
      <c r="BR342" s="2"/>
      <c r="BS342" s="2"/>
      <c r="BT342" s="2"/>
      <c r="BU342" s="22"/>
      <c r="BV342" s="2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</row>
    <row r="343" spans="1:95" x14ac:dyDescent="0.25">
      <c r="A343" s="18">
        <v>340</v>
      </c>
      <c r="B343" s="19" t="s">
        <v>5599</v>
      </c>
      <c r="C343" s="19" t="s">
        <v>5600</v>
      </c>
      <c r="D343" s="20">
        <v>46000</v>
      </c>
      <c r="E343" s="20">
        <v>35268</v>
      </c>
      <c r="F343" s="19"/>
      <c r="G343" s="19"/>
      <c r="H343" s="19" t="s">
        <v>94</v>
      </c>
      <c r="I343" s="19"/>
      <c r="J343" s="19"/>
      <c r="K343" s="19"/>
      <c r="L343" s="19" t="s">
        <v>101</v>
      </c>
      <c r="M343" s="19" t="s">
        <v>290</v>
      </c>
      <c r="N343" s="19" t="s">
        <v>5601</v>
      </c>
      <c r="O343" s="19" t="s">
        <v>100</v>
      </c>
      <c r="P343" s="19"/>
      <c r="Q343" s="19"/>
      <c r="R343" s="19"/>
      <c r="S343" s="19"/>
      <c r="T343" s="19"/>
      <c r="U343" s="19"/>
      <c r="V343" s="19"/>
      <c r="W343" s="19"/>
      <c r="X343" s="19"/>
      <c r="Y343" s="19" t="s">
        <v>3160</v>
      </c>
      <c r="Z343" s="19" t="s">
        <v>3161</v>
      </c>
      <c r="AA343" s="19" t="s">
        <v>103</v>
      </c>
      <c r="AB343" s="19" t="s">
        <v>292</v>
      </c>
      <c r="AC343" s="19" t="s">
        <v>293</v>
      </c>
      <c r="AD343" s="19" t="s">
        <v>5602</v>
      </c>
      <c r="AE343" s="19" t="s">
        <v>5603</v>
      </c>
      <c r="AF343" s="19" t="s">
        <v>4156</v>
      </c>
      <c r="AG343" s="19" t="s">
        <v>1749</v>
      </c>
      <c r="AH343" s="19" t="s">
        <v>327</v>
      </c>
      <c r="AI343" s="19" t="s">
        <v>111</v>
      </c>
      <c r="AJ343" s="19" t="s">
        <v>1750</v>
      </c>
      <c r="AK343" s="19"/>
      <c r="AL343" s="19"/>
      <c r="AM343" s="19" t="s">
        <v>5604</v>
      </c>
      <c r="AN343" s="19" t="s">
        <v>5605</v>
      </c>
      <c r="AO343" s="19" t="s">
        <v>750</v>
      </c>
      <c r="AP343" s="19" t="s">
        <v>751</v>
      </c>
      <c r="AQ343" s="19" t="s">
        <v>117</v>
      </c>
      <c r="AR343" s="19" t="s">
        <v>752</v>
      </c>
      <c r="AS343" s="19" t="s">
        <v>753</v>
      </c>
      <c r="AT343" s="19" t="s">
        <v>754</v>
      </c>
      <c r="AU343" s="19"/>
      <c r="AV343" s="19" t="s">
        <v>755</v>
      </c>
      <c r="AW343" s="19" t="s">
        <v>756</v>
      </c>
      <c r="AX343" s="19" t="s">
        <v>757</v>
      </c>
      <c r="AY343" s="19" t="s">
        <v>758</v>
      </c>
      <c r="AZ343" s="19" t="s">
        <v>759</v>
      </c>
      <c r="BA343" s="20">
        <v>42966</v>
      </c>
      <c r="BB343" s="19" t="s">
        <v>751</v>
      </c>
      <c r="BC343" s="19" t="s">
        <v>760</v>
      </c>
      <c r="BD343" s="19" t="s">
        <v>219</v>
      </c>
      <c r="BE343" s="19" t="s">
        <v>3180</v>
      </c>
      <c r="BF343" s="19" t="s">
        <v>5606</v>
      </c>
      <c r="BG343" s="19"/>
      <c r="BH343" s="19" t="s">
        <v>762</v>
      </c>
      <c r="BI343" s="19" t="s">
        <v>762</v>
      </c>
      <c r="BJ343" s="19" t="s">
        <v>194</v>
      </c>
      <c r="BK343" s="19" t="s">
        <v>591</v>
      </c>
      <c r="BL343" s="19" t="s">
        <v>122</v>
      </c>
      <c r="BM343" s="19" t="s">
        <v>592</v>
      </c>
      <c r="BN343" s="21">
        <v>1252.693</v>
      </c>
      <c r="BO343" s="21">
        <v>20623.7112055</v>
      </c>
      <c r="BQ343" s="2"/>
      <c r="BR343" s="2"/>
      <c r="BS343" s="2"/>
      <c r="BT343" s="2"/>
      <c r="BU343" s="22"/>
      <c r="BV343" s="2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</row>
    <row r="344" spans="1:95" x14ac:dyDescent="0.25">
      <c r="A344" s="18">
        <v>341</v>
      </c>
      <c r="B344" s="19" t="s">
        <v>5607</v>
      </c>
      <c r="C344" s="19" t="s">
        <v>5608</v>
      </c>
      <c r="D344" s="20">
        <v>46001</v>
      </c>
      <c r="E344" s="20">
        <v>32001</v>
      </c>
      <c r="F344" s="19"/>
      <c r="G344" s="19"/>
      <c r="H344" s="19" t="s">
        <v>94</v>
      </c>
      <c r="I344" s="19"/>
      <c r="J344" s="19" t="s">
        <v>287</v>
      </c>
      <c r="K344" s="19" t="s">
        <v>288</v>
      </c>
      <c r="L344" s="19" t="s">
        <v>3808</v>
      </c>
      <c r="M344" s="19" t="s">
        <v>2360</v>
      </c>
      <c r="N344" s="19" t="s">
        <v>5609</v>
      </c>
      <c r="O344" s="19" t="s">
        <v>100</v>
      </c>
      <c r="P344" s="19"/>
      <c r="Q344" s="19"/>
      <c r="R344" s="19"/>
      <c r="S344" s="19"/>
      <c r="T344" s="19"/>
      <c r="U344" s="19"/>
      <c r="V344" s="19"/>
      <c r="W344" s="19"/>
      <c r="X344" s="19"/>
      <c r="Y344" s="19" t="s">
        <v>101</v>
      </c>
      <c r="Z344" s="19" t="s">
        <v>102</v>
      </c>
      <c r="AA344" s="19" t="s">
        <v>103</v>
      </c>
      <c r="AB344" s="19" t="s">
        <v>402</v>
      </c>
      <c r="AC344" s="19" t="s">
        <v>403</v>
      </c>
      <c r="AD344" s="19" t="s">
        <v>5610</v>
      </c>
      <c r="AE344" s="19" t="s">
        <v>5611</v>
      </c>
      <c r="AF344" s="19" t="s">
        <v>5612</v>
      </c>
      <c r="AG344" s="19" t="s">
        <v>2468</v>
      </c>
      <c r="AH344" s="19" t="s">
        <v>231</v>
      </c>
      <c r="AI344" s="19" t="s">
        <v>111</v>
      </c>
      <c r="AJ344" s="19" t="s">
        <v>5613</v>
      </c>
      <c r="AK344" s="19"/>
      <c r="AL344" s="19"/>
      <c r="AM344" s="19" t="s">
        <v>5614</v>
      </c>
      <c r="AN344" s="19" t="s">
        <v>5615</v>
      </c>
      <c r="AO344" s="19" t="s">
        <v>5616</v>
      </c>
      <c r="AP344" s="19" t="s">
        <v>5617</v>
      </c>
      <c r="AQ344" s="19" t="s">
        <v>117</v>
      </c>
      <c r="AR344" s="19" t="s">
        <v>5618</v>
      </c>
      <c r="AS344" s="19" t="s">
        <v>5619</v>
      </c>
      <c r="AT344" s="19" t="s">
        <v>5620</v>
      </c>
      <c r="AU344" s="19"/>
      <c r="AV344" s="19" t="s">
        <v>2365</v>
      </c>
      <c r="AW344" s="19" t="s">
        <v>5621</v>
      </c>
      <c r="AX344" s="19" t="s">
        <v>231</v>
      </c>
      <c r="AY344" s="19" t="s">
        <v>5622</v>
      </c>
      <c r="AZ344" s="19" t="s">
        <v>5623</v>
      </c>
      <c r="BA344" s="20">
        <v>45769</v>
      </c>
      <c r="BB344" s="19" t="s">
        <v>781</v>
      </c>
      <c r="BC344" s="19" t="s">
        <v>5612</v>
      </c>
      <c r="BD344" s="19" t="s">
        <v>2365</v>
      </c>
      <c r="BE344" s="19" t="s">
        <v>130</v>
      </c>
      <c r="BF344" s="19" t="s">
        <v>5624</v>
      </c>
      <c r="BG344" s="19" t="s">
        <v>5625</v>
      </c>
      <c r="BH344" s="19" t="s">
        <v>5626</v>
      </c>
      <c r="BI344" s="19" t="s">
        <v>5626</v>
      </c>
      <c r="BJ344" s="19" t="s">
        <v>166</v>
      </c>
      <c r="BK344" s="19" t="s">
        <v>2682</v>
      </c>
      <c r="BL344" s="19" t="s">
        <v>2365</v>
      </c>
      <c r="BM344" s="19" t="s">
        <v>135</v>
      </c>
      <c r="BN344" s="21">
        <v>53.627000000000002</v>
      </c>
      <c r="BO344" s="21">
        <v>101533.60791000001</v>
      </c>
      <c r="BQ344" s="2"/>
      <c r="BR344" s="2"/>
      <c r="BS344" s="2"/>
      <c r="BT344" s="2"/>
      <c r="BU344" s="22"/>
      <c r="BV344" s="2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</row>
    <row r="345" spans="1:95" x14ac:dyDescent="0.25">
      <c r="A345" s="18">
        <v>342</v>
      </c>
      <c r="B345" s="19" t="s">
        <v>5627</v>
      </c>
      <c r="C345" s="19" t="s">
        <v>5628</v>
      </c>
      <c r="D345" s="20">
        <v>46000</v>
      </c>
      <c r="E345" s="20">
        <v>33787</v>
      </c>
      <c r="F345" s="19"/>
      <c r="G345" s="19"/>
      <c r="H345" s="19" t="s">
        <v>94</v>
      </c>
      <c r="I345" s="19"/>
      <c r="J345" s="19"/>
      <c r="K345" s="19"/>
      <c r="L345" s="19" t="s">
        <v>244</v>
      </c>
      <c r="M345" s="19" t="s">
        <v>245</v>
      </c>
      <c r="N345" s="19" t="s">
        <v>5629</v>
      </c>
      <c r="O345" s="19" t="s">
        <v>100</v>
      </c>
      <c r="P345" s="19"/>
      <c r="Q345" s="19"/>
      <c r="R345" s="19"/>
      <c r="S345" s="19"/>
      <c r="T345" s="19"/>
      <c r="U345" s="19"/>
      <c r="V345" s="19"/>
      <c r="W345" s="19"/>
      <c r="X345" s="19"/>
      <c r="Y345" s="19" t="s">
        <v>101</v>
      </c>
      <c r="Z345" s="19" t="s">
        <v>102</v>
      </c>
      <c r="AA345" s="19" t="s">
        <v>103</v>
      </c>
      <c r="AB345" s="19" t="s">
        <v>292</v>
      </c>
      <c r="AC345" s="19" t="s">
        <v>293</v>
      </c>
      <c r="AD345" s="19" t="s">
        <v>5630</v>
      </c>
      <c r="AE345" s="19" t="s">
        <v>5631</v>
      </c>
      <c r="AF345" s="19"/>
      <c r="AG345" s="19" t="s">
        <v>5632</v>
      </c>
      <c r="AH345" s="19" t="s">
        <v>149</v>
      </c>
      <c r="AI345" s="19" t="s">
        <v>111</v>
      </c>
      <c r="AJ345" s="19" t="s">
        <v>5633</v>
      </c>
      <c r="AK345" s="19"/>
      <c r="AL345" s="19"/>
      <c r="AM345" s="19" t="s">
        <v>5634</v>
      </c>
      <c r="AN345" s="19" t="s">
        <v>5635</v>
      </c>
      <c r="AO345" s="19" t="s">
        <v>5636</v>
      </c>
      <c r="AP345" s="19" t="s">
        <v>5637</v>
      </c>
      <c r="AQ345" s="19" t="s">
        <v>117</v>
      </c>
      <c r="AR345" s="19" t="s">
        <v>5638</v>
      </c>
      <c r="AS345" s="19" t="s">
        <v>5639</v>
      </c>
      <c r="AT345" s="19" t="s">
        <v>5640</v>
      </c>
      <c r="AU345" s="19" t="s">
        <v>5641</v>
      </c>
      <c r="AV345" s="19" t="s">
        <v>5642</v>
      </c>
      <c r="AW345" s="19" t="s">
        <v>5633</v>
      </c>
      <c r="AX345" s="19" t="s">
        <v>149</v>
      </c>
      <c r="AY345" s="19" t="s">
        <v>5643</v>
      </c>
      <c r="AZ345" s="19" t="s">
        <v>5644</v>
      </c>
      <c r="BA345" s="20">
        <v>39078</v>
      </c>
      <c r="BB345" s="19" t="s">
        <v>265</v>
      </c>
      <c r="BC345" s="19" t="s">
        <v>5645</v>
      </c>
      <c r="BD345" s="19" t="s">
        <v>3226</v>
      </c>
      <c r="BE345" s="19" t="s">
        <v>130</v>
      </c>
      <c r="BF345" s="19" t="s">
        <v>5646</v>
      </c>
      <c r="BG345" s="19"/>
      <c r="BH345" s="19" t="s">
        <v>5647</v>
      </c>
      <c r="BI345" s="19" t="s">
        <v>5647</v>
      </c>
      <c r="BJ345" s="19" t="s">
        <v>194</v>
      </c>
      <c r="BK345" s="19" t="s">
        <v>591</v>
      </c>
      <c r="BL345" s="19" t="s">
        <v>122</v>
      </c>
      <c r="BM345" s="19" t="s">
        <v>592</v>
      </c>
      <c r="BN345" s="21">
        <v>125.26900000000001</v>
      </c>
      <c r="BO345" s="21">
        <v>2062.3661815</v>
      </c>
      <c r="BQ345" s="2"/>
      <c r="BR345" s="2"/>
      <c r="BS345" s="2"/>
      <c r="BT345" s="2"/>
      <c r="BU345" s="22"/>
      <c r="BV345" s="2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</row>
    <row r="346" spans="1:95" x14ac:dyDescent="0.25">
      <c r="A346" s="18">
        <v>343</v>
      </c>
      <c r="B346" s="19" t="s">
        <v>5648</v>
      </c>
      <c r="C346" s="19" t="s">
        <v>5649</v>
      </c>
      <c r="D346" s="20">
        <v>46000</v>
      </c>
      <c r="E346" s="20">
        <v>35301</v>
      </c>
      <c r="F346" s="19"/>
      <c r="G346" s="19"/>
      <c r="H346" s="19" t="s">
        <v>94</v>
      </c>
      <c r="I346" s="19"/>
      <c r="J346" s="19"/>
      <c r="K346" s="19"/>
      <c r="L346" s="19" t="s">
        <v>467</v>
      </c>
      <c r="M346" s="19" t="s">
        <v>468</v>
      </c>
      <c r="N346" s="19" t="s">
        <v>5650</v>
      </c>
      <c r="O346" s="19" t="s">
        <v>100</v>
      </c>
      <c r="P346" s="19"/>
      <c r="Q346" s="19"/>
      <c r="R346" s="19"/>
      <c r="S346" s="19"/>
      <c r="T346" s="19"/>
      <c r="U346" s="19"/>
      <c r="V346" s="19"/>
      <c r="W346" s="19"/>
      <c r="X346" s="19"/>
      <c r="Y346" s="19" t="s">
        <v>101</v>
      </c>
      <c r="Z346" s="19" t="s">
        <v>102</v>
      </c>
      <c r="AA346" s="19" t="s">
        <v>103</v>
      </c>
      <c r="AB346" s="19" t="s">
        <v>1372</v>
      </c>
      <c r="AC346" s="19" t="s">
        <v>1373</v>
      </c>
      <c r="AD346" s="19" t="s">
        <v>5651</v>
      </c>
      <c r="AE346" s="19" t="s">
        <v>5652</v>
      </c>
      <c r="AF346" s="19" t="s">
        <v>5653</v>
      </c>
      <c r="AG346" s="19" t="s">
        <v>5654</v>
      </c>
      <c r="AH346" s="19" t="s">
        <v>1015</v>
      </c>
      <c r="AI346" s="19" t="s">
        <v>111</v>
      </c>
      <c r="AJ346" s="19" t="s">
        <v>5653</v>
      </c>
      <c r="AK346" s="19"/>
      <c r="AL346" s="19"/>
      <c r="AM346" s="19" t="s">
        <v>5655</v>
      </c>
      <c r="AN346" s="19" t="s">
        <v>5656</v>
      </c>
      <c r="AO346" s="19" t="s">
        <v>5657</v>
      </c>
      <c r="AP346" s="19" t="s">
        <v>5658</v>
      </c>
      <c r="AQ346" s="19" t="s">
        <v>117</v>
      </c>
      <c r="AR346" s="19" t="s">
        <v>5659</v>
      </c>
      <c r="AS346" s="19" t="s">
        <v>5660</v>
      </c>
      <c r="AT346" s="19" t="s">
        <v>5661</v>
      </c>
      <c r="AU346" s="19"/>
      <c r="AV346" s="19" t="s">
        <v>5662</v>
      </c>
      <c r="AW346" s="19" t="s">
        <v>5663</v>
      </c>
      <c r="AX346" s="19" t="s">
        <v>1015</v>
      </c>
      <c r="AY346" s="19" t="s">
        <v>5664</v>
      </c>
      <c r="AZ346" s="19" t="s">
        <v>5665</v>
      </c>
      <c r="BA346" s="20">
        <v>45580</v>
      </c>
      <c r="BB346" s="19" t="s">
        <v>331</v>
      </c>
      <c r="BC346" s="19" t="s">
        <v>5654</v>
      </c>
      <c r="BD346" s="19" t="s">
        <v>5654</v>
      </c>
      <c r="BE346" s="19" t="s">
        <v>130</v>
      </c>
      <c r="BF346" s="19" t="s">
        <v>5666</v>
      </c>
      <c r="BG346" s="19"/>
      <c r="BH346" s="19" t="s">
        <v>5667</v>
      </c>
      <c r="BI346" s="19" t="s">
        <v>5667</v>
      </c>
      <c r="BJ346" s="19" t="s">
        <v>5668</v>
      </c>
      <c r="BK346" s="19" t="s">
        <v>591</v>
      </c>
      <c r="BL346" s="19" t="s">
        <v>122</v>
      </c>
      <c r="BM346" s="19" t="s">
        <v>592</v>
      </c>
      <c r="BN346" s="21">
        <v>465.74599999999998</v>
      </c>
      <c r="BO346" s="21">
        <v>18023.5318572</v>
      </c>
      <c r="BQ346" s="2"/>
      <c r="BR346" s="2"/>
      <c r="BS346" s="2"/>
      <c r="BT346" s="2"/>
      <c r="BU346" s="22"/>
      <c r="BV346" s="2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</row>
    <row r="347" spans="1:95" x14ac:dyDescent="0.25">
      <c r="A347" s="18">
        <v>344</v>
      </c>
      <c r="B347" s="19" t="s">
        <v>5669</v>
      </c>
      <c r="C347" s="19" t="s">
        <v>5670</v>
      </c>
      <c r="D347" s="20">
        <v>45994</v>
      </c>
      <c r="E347" s="20">
        <v>38809</v>
      </c>
      <c r="F347" s="19" t="s">
        <v>5671</v>
      </c>
      <c r="G347" s="19" t="s">
        <v>139</v>
      </c>
      <c r="H347" s="19" t="s">
        <v>94</v>
      </c>
      <c r="I347" s="19"/>
      <c r="J347" s="19"/>
      <c r="K347" s="19"/>
      <c r="L347" s="19" t="s">
        <v>244</v>
      </c>
      <c r="M347" s="19" t="s">
        <v>245</v>
      </c>
      <c r="N347" s="19" t="s">
        <v>5672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 t="s">
        <v>101</v>
      </c>
      <c r="Z347" s="19" t="s">
        <v>102</v>
      </c>
      <c r="AA347" s="19" t="s">
        <v>103</v>
      </c>
      <c r="AB347" s="19" t="s">
        <v>143</v>
      </c>
      <c r="AC347" s="19" t="s">
        <v>144</v>
      </c>
      <c r="AD347" s="19" t="s">
        <v>5673</v>
      </c>
      <c r="AE347" s="19" t="s">
        <v>5674</v>
      </c>
      <c r="AF347" s="19" t="s">
        <v>5675</v>
      </c>
      <c r="AG347" s="19" t="s">
        <v>375</v>
      </c>
      <c r="AH347" s="19" t="s">
        <v>376</v>
      </c>
      <c r="AI347" s="19" t="s">
        <v>111</v>
      </c>
      <c r="AJ347" s="19" t="s">
        <v>5676</v>
      </c>
      <c r="AK347" s="19"/>
      <c r="AL347" s="19"/>
      <c r="AM347" s="19" t="s">
        <v>5677</v>
      </c>
      <c r="AN347" s="19" t="s">
        <v>5678</v>
      </c>
      <c r="AO347" s="19" t="s">
        <v>255</v>
      </c>
      <c r="AP347" s="19" t="s">
        <v>256</v>
      </c>
      <c r="AQ347" s="19" t="s">
        <v>117</v>
      </c>
      <c r="AR347" s="19" t="s">
        <v>257</v>
      </c>
      <c r="AS347" s="19" t="s">
        <v>258</v>
      </c>
      <c r="AT347" s="19" t="s">
        <v>259</v>
      </c>
      <c r="AU347" s="19" t="s">
        <v>260</v>
      </c>
      <c r="AV347" s="19" t="s">
        <v>260</v>
      </c>
      <c r="AW347" s="19" t="s">
        <v>261</v>
      </c>
      <c r="AX347" s="19" t="s">
        <v>262</v>
      </c>
      <c r="AY347" s="19" t="s">
        <v>263</v>
      </c>
      <c r="AZ347" s="19" t="s">
        <v>264</v>
      </c>
      <c r="BA347" s="20">
        <v>43627</v>
      </c>
      <c r="BB347" s="19" t="s">
        <v>331</v>
      </c>
      <c r="BC347" s="19" t="s">
        <v>5679</v>
      </c>
      <c r="BD347" s="19" t="s">
        <v>375</v>
      </c>
      <c r="BE347" s="19" t="s">
        <v>130</v>
      </c>
      <c r="BF347" s="19" t="s">
        <v>5680</v>
      </c>
      <c r="BG347" s="19"/>
      <c r="BH347" s="19" t="s">
        <v>5681</v>
      </c>
      <c r="BI347" s="19" t="s">
        <v>5681</v>
      </c>
      <c r="BJ347" s="19" t="s">
        <v>166</v>
      </c>
      <c r="BK347" s="19" t="s">
        <v>167</v>
      </c>
      <c r="BL347" s="19" t="s">
        <v>168</v>
      </c>
      <c r="BM347" s="19" t="s">
        <v>169</v>
      </c>
      <c r="BN347" s="21">
        <v>0</v>
      </c>
      <c r="BO347" s="21">
        <v>0</v>
      </c>
      <c r="BQ347" s="2"/>
      <c r="BR347" s="2"/>
      <c r="BS347" s="2"/>
      <c r="BT347" s="2"/>
      <c r="BU347" s="22"/>
      <c r="BV347" s="2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</row>
    <row r="348" spans="1:95" x14ac:dyDescent="0.25">
      <c r="A348" s="18">
        <v>345</v>
      </c>
      <c r="B348" s="19" t="s">
        <v>5682</v>
      </c>
      <c r="C348" s="19" t="s">
        <v>5683</v>
      </c>
      <c r="D348" s="20">
        <v>45999</v>
      </c>
      <c r="E348" s="20">
        <v>33294</v>
      </c>
      <c r="F348" s="19"/>
      <c r="G348" s="19"/>
      <c r="H348" s="19" t="s">
        <v>94</v>
      </c>
      <c r="I348" s="19"/>
      <c r="J348" s="19"/>
      <c r="K348" s="19"/>
      <c r="L348" s="19" t="s">
        <v>244</v>
      </c>
      <c r="M348" s="19" t="s">
        <v>245</v>
      </c>
      <c r="N348" s="19" t="s">
        <v>5684</v>
      </c>
      <c r="O348" s="19" t="s">
        <v>100</v>
      </c>
      <c r="P348" s="19"/>
      <c r="Q348" s="19"/>
      <c r="R348" s="19"/>
      <c r="S348" s="19"/>
      <c r="T348" s="19"/>
      <c r="U348" s="19"/>
      <c r="V348" s="19"/>
      <c r="W348" s="19"/>
      <c r="X348" s="19"/>
      <c r="Y348" s="19" t="s">
        <v>101</v>
      </c>
      <c r="Z348" s="19" t="s">
        <v>102</v>
      </c>
      <c r="AA348" s="19" t="s">
        <v>103</v>
      </c>
      <c r="AB348" s="19" t="s">
        <v>5034</v>
      </c>
      <c r="AC348" s="19" t="s">
        <v>5035</v>
      </c>
      <c r="AD348" s="19" t="s">
        <v>5685</v>
      </c>
      <c r="AE348" s="19" t="s">
        <v>5686</v>
      </c>
      <c r="AF348" s="19"/>
      <c r="AG348" s="19" t="s">
        <v>5383</v>
      </c>
      <c r="AH348" s="19" t="s">
        <v>188</v>
      </c>
      <c r="AI348" s="19" t="s">
        <v>111</v>
      </c>
      <c r="AJ348" s="19" t="s">
        <v>2480</v>
      </c>
      <c r="AK348" s="19"/>
      <c r="AL348" s="19"/>
      <c r="AM348" s="19" t="s">
        <v>5687</v>
      </c>
      <c r="AN348" s="19" t="s">
        <v>5688</v>
      </c>
      <c r="AO348" s="19" t="s">
        <v>4873</v>
      </c>
      <c r="AP348" s="19" t="s">
        <v>4874</v>
      </c>
      <c r="AQ348" s="19" t="s">
        <v>117</v>
      </c>
      <c r="AR348" s="19" t="s">
        <v>4875</v>
      </c>
      <c r="AS348" s="19" t="s">
        <v>4876</v>
      </c>
      <c r="AT348" s="19" t="s">
        <v>4877</v>
      </c>
      <c r="AU348" s="19" t="s">
        <v>4878</v>
      </c>
      <c r="AV348" s="19" t="s">
        <v>122</v>
      </c>
      <c r="AW348" s="19" t="s">
        <v>2313</v>
      </c>
      <c r="AX348" s="19" t="s">
        <v>901</v>
      </c>
      <c r="AY348" s="19" t="s">
        <v>4879</v>
      </c>
      <c r="AZ348" s="19" t="s">
        <v>4880</v>
      </c>
      <c r="BA348" s="20">
        <v>34995</v>
      </c>
      <c r="BB348" s="19" t="s">
        <v>4881</v>
      </c>
      <c r="BC348" s="19" t="s">
        <v>5689</v>
      </c>
      <c r="BD348" s="19" t="s">
        <v>219</v>
      </c>
      <c r="BE348" s="19" t="s">
        <v>130</v>
      </c>
      <c r="BF348" s="19" t="s">
        <v>5690</v>
      </c>
      <c r="BG348" s="19"/>
      <c r="BH348" s="19" t="s">
        <v>5691</v>
      </c>
      <c r="BI348" s="19" t="s">
        <v>5691</v>
      </c>
      <c r="BJ348" s="19" t="s">
        <v>1259</v>
      </c>
      <c r="BK348" s="19" t="s">
        <v>195</v>
      </c>
      <c r="BL348" s="19" t="s">
        <v>122</v>
      </c>
      <c r="BM348" s="19" t="s">
        <v>196</v>
      </c>
      <c r="BN348" s="21">
        <v>5.58</v>
      </c>
      <c r="BO348" s="21">
        <v>985.37220000000002</v>
      </c>
      <c r="BQ348" s="2"/>
      <c r="BR348" s="2"/>
      <c r="BS348" s="2"/>
      <c r="BT348" s="2"/>
      <c r="BU348" s="22"/>
      <c r="BV348" s="2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</row>
    <row r="349" spans="1:95" x14ac:dyDescent="0.25">
      <c r="A349" s="18">
        <v>346</v>
      </c>
      <c r="B349" s="19" t="s">
        <v>5692</v>
      </c>
      <c r="C349" s="19" t="s">
        <v>5693</v>
      </c>
      <c r="D349" s="20">
        <v>46006</v>
      </c>
      <c r="E349" s="20">
        <v>23178</v>
      </c>
      <c r="F349" s="19" t="s">
        <v>5694</v>
      </c>
      <c r="G349" s="19" t="s">
        <v>1248</v>
      </c>
      <c r="H349" s="19" t="s">
        <v>94</v>
      </c>
      <c r="I349" s="19"/>
      <c r="J349" s="19" t="s">
        <v>95</v>
      </c>
      <c r="K349" s="19" t="s">
        <v>96</v>
      </c>
      <c r="L349" s="19" t="s">
        <v>97</v>
      </c>
      <c r="M349" s="19" t="s">
        <v>98</v>
      </c>
      <c r="N349" s="19" t="s">
        <v>5695</v>
      </c>
      <c r="O349" s="19" t="s">
        <v>1337</v>
      </c>
      <c r="P349" s="19"/>
      <c r="Q349" s="19"/>
      <c r="R349" s="19"/>
      <c r="S349" s="19"/>
      <c r="T349" s="19"/>
      <c r="U349" s="19"/>
      <c r="V349" s="19"/>
      <c r="W349" s="19"/>
      <c r="X349" s="19"/>
      <c r="Y349" s="19" t="s">
        <v>101</v>
      </c>
      <c r="Z349" s="19" t="s">
        <v>102</v>
      </c>
      <c r="AA349" s="19" t="s">
        <v>103</v>
      </c>
      <c r="AB349" s="19" t="s">
        <v>850</v>
      </c>
      <c r="AC349" s="19" t="s">
        <v>851</v>
      </c>
      <c r="AD349" s="19" t="s">
        <v>5696</v>
      </c>
      <c r="AE349" s="19" t="s">
        <v>5697</v>
      </c>
      <c r="AF349" s="19"/>
      <c r="AG349" s="19" t="s">
        <v>616</v>
      </c>
      <c r="AH349" s="19" t="s">
        <v>124</v>
      </c>
      <c r="AI349" s="19" t="s">
        <v>111</v>
      </c>
      <c r="AJ349" s="19" t="s">
        <v>5698</v>
      </c>
      <c r="AK349" s="19"/>
      <c r="AL349" s="19"/>
      <c r="AM349" s="19" t="s">
        <v>5699</v>
      </c>
      <c r="AN349" s="19" t="s">
        <v>5700</v>
      </c>
      <c r="AO349" s="19" t="s">
        <v>5701</v>
      </c>
      <c r="AP349" s="19" t="s">
        <v>5702</v>
      </c>
      <c r="AQ349" s="19" t="s">
        <v>117</v>
      </c>
      <c r="AR349" s="19" t="s">
        <v>5703</v>
      </c>
      <c r="AS349" s="19" t="s">
        <v>5704</v>
      </c>
      <c r="AT349" s="19" t="s">
        <v>5705</v>
      </c>
      <c r="AU349" s="19" t="s">
        <v>5706</v>
      </c>
      <c r="AV349" s="19" t="s">
        <v>623</v>
      </c>
      <c r="AW349" s="19" t="s">
        <v>5707</v>
      </c>
      <c r="AX349" s="19" t="s">
        <v>124</v>
      </c>
      <c r="AY349" s="19" t="s">
        <v>5708</v>
      </c>
      <c r="AZ349" s="19" t="s">
        <v>5709</v>
      </c>
      <c r="BA349" s="20">
        <v>45352</v>
      </c>
      <c r="BB349" s="19" t="s">
        <v>5710</v>
      </c>
      <c r="BC349" s="19" t="s">
        <v>5711</v>
      </c>
      <c r="BD349" s="19" t="s">
        <v>219</v>
      </c>
      <c r="BE349" s="19" t="s">
        <v>130</v>
      </c>
      <c r="BF349" s="19" t="s">
        <v>5712</v>
      </c>
      <c r="BG349" s="19" t="s">
        <v>5713</v>
      </c>
      <c r="BH349" s="19" t="s">
        <v>5714</v>
      </c>
      <c r="BI349" s="19" t="s">
        <v>5714</v>
      </c>
      <c r="BJ349" s="19" t="s">
        <v>166</v>
      </c>
      <c r="BK349" s="19" t="s">
        <v>5715</v>
      </c>
      <c r="BL349" s="19" t="s">
        <v>616</v>
      </c>
      <c r="BM349" s="19" t="s">
        <v>196</v>
      </c>
      <c r="BN349" s="21">
        <v>2285.7040000000002</v>
      </c>
      <c r="BO349" s="21">
        <v>251404.58296</v>
      </c>
      <c r="BQ349" s="2"/>
      <c r="BR349" s="2"/>
      <c r="BS349" s="2"/>
      <c r="BT349" s="2"/>
      <c r="BU349" s="22"/>
      <c r="BV349" s="2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</row>
    <row r="350" spans="1:95" x14ac:dyDescent="0.25">
      <c r="A350" s="18">
        <v>347</v>
      </c>
      <c r="B350" s="19" t="s">
        <v>5716</v>
      </c>
      <c r="C350" s="19" t="s">
        <v>5717</v>
      </c>
      <c r="D350" s="20">
        <v>46012</v>
      </c>
      <c r="E350" s="20">
        <v>45930</v>
      </c>
      <c r="F350" s="19"/>
      <c r="G350" s="19"/>
      <c r="H350" s="19" t="s">
        <v>94</v>
      </c>
      <c r="I350" s="19"/>
      <c r="J350" s="19" t="s">
        <v>95</v>
      </c>
      <c r="K350" s="19" t="s">
        <v>96</v>
      </c>
      <c r="L350" s="19" t="s">
        <v>2080</v>
      </c>
      <c r="M350" s="19" t="s">
        <v>141</v>
      </c>
      <c r="N350" s="19" t="s">
        <v>5718</v>
      </c>
      <c r="O350" s="19" t="s">
        <v>100</v>
      </c>
      <c r="P350" s="19"/>
      <c r="Q350" s="19"/>
      <c r="R350" s="19"/>
      <c r="S350" s="19"/>
      <c r="T350" s="19"/>
      <c r="U350" s="19"/>
      <c r="V350" s="19"/>
      <c r="W350" s="19"/>
      <c r="X350" s="19"/>
      <c r="Y350" s="19" t="s">
        <v>467</v>
      </c>
      <c r="Z350" s="19" t="s">
        <v>2237</v>
      </c>
      <c r="AA350" s="19" t="s">
        <v>103</v>
      </c>
      <c r="AB350" s="19" t="s">
        <v>487</v>
      </c>
      <c r="AC350" s="19" t="s">
        <v>488</v>
      </c>
      <c r="AD350" s="19" t="s">
        <v>5719</v>
      </c>
      <c r="AE350" s="19" t="s">
        <v>5720</v>
      </c>
      <c r="AF350" s="19"/>
      <c r="AG350" s="19" t="s">
        <v>2758</v>
      </c>
      <c r="AH350" s="19" t="s">
        <v>327</v>
      </c>
      <c r="AI350" s="19" t="s">
        <v>111</v>
      </c>
      <c r="AJ350" s="19" t="s">
        <v>5721</v>
      </c>
      <c r="AK350" s="19"/>
      <c r="AL350" s="19"/>
      <c r="AM350" s="19" t="s">
        <v>5722</v>
      </c>
      <c r="AN350" s="19" t="s">
        <v>5723</v>
      </c>
      <c r="AO350" s="19" t="s">
        <v>5724</v>
      </c>
      <c r="AP350" s="19" t="s">
        <v>5725</v>
      </c>
      <c r="AQ350" s="19" t="s">
        <v>117</v>
      </c>
      <c r="AR350" s="19" t="s">
        <v>5726</v>
      </c>
      <c r="AS350" s="19" t="s">
        <v>5727</v>
      </c>
      <c r="AT350" s="19" t="s">
        <v>5728</v>
      </c>
      <c r="AU350" s="19" t="s">
        <v>5729</v>
      </c>
      <c r="AV350" s="19" t="s">
        <v>1140</v>
      </c>
      <c r="AW350" s="19" t="s">
        <v>3214</v>
      </c>
      <c r="AX350" s="19" t="s">
        <v>327</v>
      </c>
      <c r="AY350" s="19" t="s">
        <v>5730</v>
      </c>
      <c r="AZ350" s="19" t="s">
        <v>5731</v>
      </c>
      <c r="BA350" s="20">
        <v>40336</v>
      </c>
      <c r="BB350" s="19" t="s">
        <v>781</v>
      </c>
      <c r="BC350" s="19" t="s">
        <v>5732</v>
      </c>
      <c r="BD350" s="19" t="s">
        <v>1140</v>
      </c>
      <c r="BE350" s="19" t="s">
        <v>130</v>
      </c>
      <c r="BF350" s="19" t="s">
        <v>5733</v>
      </c>
      <c r="BG350" s="19" t="s">
        <v>5734</v>
      </c>
      <c r="BH350" s="19" t="s">
        <v>5735</v>
      </c>
      <c r="BI350" s="19" t="s">
        <v>5735</v>
      </c>
      <c r="BJ350" s="19" t="s">
        <v>166</v>
      </c>
      <c r="BK350" s="19" t="s">
        <v>5736</v>
      </c>
      <c r="BL350" s="19" t="s">
        <v>5737</v>
      </c>
      <c r="BM350" s="19" t="s">
        <v>5738</v>
      </c>
      <c r="BN350" s="21">
        <v>0</v>
      </c>
      <c r="BO350" s="21">
        <v>0</v>
      </c>
      <c r="BQ350" s="2"/>
      <c r="BR350" s="2"/>
      <c r="BS350" s="2"/>
      <c r="BT350" s="2"/>
      <c r="BU350" s="22"/>
      <c r="BV350" s="2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</row>
    <row r="351" spans="1:95" x14ac:dyDescent="0.25">
      <c r="A351" s="18">
        <v>348</v>
      </c>
      <c r="B351" s="19" t="s">
        <v>5739</v>
      </c>
      <c r="C351" s="19" t="s">
        <v>5740</v>
      </c>
      <c r="D351" s="20">
        <v>46006</v>
      </c>
      <c r="E351" s="20">
        <v>33442</v>
      </c>
      <c r="F351" s="19" t="s">
        <v>5741</v>
      </c>
      <c r="G351" s="19" t="s">
        <v>139</v>
      </c>
      <c r="H351" s="19" t="s">
        <v>94</v>
      </c>
      <c r="I351" s="19"/>
      <c r="J351" s="19"/>
      <c r="K351" s="19"/>
      <c r="L351" s="19" t="s">
        <v>101</v>
      </c>
      <c r="M351" s="19" t="s">
        <v>290</v>
      </c>
      <c r="N351" s="19" t="s">
        <v>5742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 t="s">
        <v>101</v>
      </c>
      <c r="Z351" s="19" t="s">
        <v>102</v>
      </c>
      <c r="AA351" s="19" t="s">
        <v>103</v>
      </c>
      <c r="AB351" s="19" t="s">
        <v>2051</v>
      </c>
      <c r="AC351" s="19" t="s">
        <v>2052</v>
      </c>
      <c r="AD351" s="19" t="s">
        <v>5743</v>
      </c>
      <c r="AE351" s="19"/>
      <c r="AF351" s="19"/>
      <c r="AG351" s="19" t="s">
        <v>392</v>
      </c>
      <c r="AH351" s="19" t="s">
        <v>327</v>
      </c>
      <c r="AI351" s="19" t="s">
        <v>111</v>
      </c>
      <c r="AJ351" s="19" t="s">
        <v>5744</v>
      </c>
      <c r="AK351" s="19"/>
      <c r="AL351" s="19"/>
      <c r="AM351" s="19" t="s">
        <v>5745</v>
      </c>
      <c r="AN351" s="19" t="s">
        <v>5746</v>
      </c>
      <c r="AO351" s="19" t="s">
        <v>476</v>
      </c>
      <c r="AP351" s="19" t="s">
        <v>477</v>
      </c>
      <c r="AQ351" s="19" t="s">
        <v>117</v>
      </c>
      <c r="AR351" s="19" t="s">
        <v>478</v>
      </c>
      <c r="AS351" s="19"/>
      <c r="AT351" s="19"/>
      <c r="AU351" s="19"/>
      <c r="AV351" s="19"/>
      <c r="AW351" s="19"/>
      <c r="AX351" s="19"/>
      <c r="AY351" s="19"/>
      <c r="AZ351" s="19"/>
      <c r="BA351" s="20">
        <v>44452</v>
      </c>
      <c r="BB351" s="19" t="s">
        <v>5747</v>
      </c>
      <c r="BC351" s="19" t="s">
        <v>5748</v>
      </c>
      <c r="BD351" s="19" t="s">
        <v>392</v>
      </c>
      <c r="BE351" s="19" t="s">
        <v>130</v>
      </c>
      <c r="BF351" s="19" t="s">
        <v>5749</v>
      </c>
      <c r="BG351" s="19"/>
      <c r="BH351" s="19" t="s">
        <v>5750</v>
      </c>
      <c r="BI351" s="19" t="s">
        <v>5750</v>
      </c>
      <c r="BJ351" s="19" t="s">
        <v>166</v>
      </c>
      <c r="BK351" s="19" t="s">
        <v>167</v>
      </c>
      <c r="BL351" s="19" t="s">
        <v>168</v>
      </c>
      <c r="BM351" s="19" t="s">
        <v>169</v>
      </c>
      <c r="BN351" s="21">
        <v>925.14300000000003</v>
      </c>
      <c r="BO351" s="21">
        <v>10246.421296500001</v>
      </c>
      <c r="BQ351" s="2"/>
      <c r="BR351" s="2"/>
      <c r="BS351" s="2"/>
      <c r="BT351" s="2"/>
      <c r="BU351" s="22"/>
      <c r="BV351" s="2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</row>
    <row r="352" spans="1:95" x14ac:dyDescent="0.25">
      <c r="A352" s="18">
        <v>349</v>
      </c>
      <c r="B352" s="19" t="s">
        <v>5751</v>
      </c>
      <c r="C352" s="19" t="s">
        <v>5752</v>
      </c>
      <c r="D352" s="20">
        <v>46006</v>
      </c>
      <c r="E352" s="20">
        <v>32010</v>
      </c>
      <c r="F352" s="19" t="s">
        <v>5753</v>
      </c>
      <c r="G352" s="19" t="s">
        <v>139</v>
      </c>
      <c r="H352" s="19" t="s">
        <v>94</v>
      </c>
      <c r="I352" s="19"/>
      <c r="J352" s="19"/>
      <c r="K352" s="19"/>
      <c r="L352" s="19" t="s">
        <v>244</v>
      </c>
      <c r="M352" s="19" t="s">
        <v>245</v>
      </c>
      <c r="N352" s="19" t="s">
        <v>5754</v>
      </c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 t="s">
        <v>101</v>
      </c>
      <c r="Z352" s="19" t="s">
        <v>102</v>
      </c>
      <c r="AA352" s="19" t="s">
        <v>103</v>
      </c>
      <c r="AB352" s="19" t="s">
        <v>173</v>
      </c>
      <c r="AC352" s="19" t="s">
        <v>174</v>
      </c>
      <c r="AD352" s="19" t="s">
        <v>5755</v>
      </c>
      <c r="AE352" s="19" t="s">
        <v>5756</v>
      </c>
      <c r="AF352" s="19" t="s">
        <v>5757</v>
      </c>
      <c r="AG352" s="19" t="s">
        <v>5758</v>
      </c>
      <c r="AH352" s="19" t="s">
        <v>231</v>
      </c>
      <c r="AI352" s="19"/>
      <c r="AJ352" s="19" t="s">
        <v>5759</v>
      </c>
      <c r="AK352" s="19"/>
      <c r="AL352" s="19"/>
      <c r="AM352" s="19" t="s">
        <v>5760</v>
      </c>
      <c r="AN352" s="19" t="s">
        <v>5761</v>
      </c>
      <c r="AO352" s="19" t="s">
        <v>255</v>
      </c>
      <c r="AP352" s="19" t="s">
        <v>256</v>
      </c>
      <c r="AQ352" s="19" t="s">
        <v>117</v>
      </c>
      <c r="AR352" s="19" t="s">
        <v>257</v>
      </c>
      <c r="AS352" s="19" t="s">
        <v>258</v>
      </c>
      <c r="AT352" s="19" t="s">
        <v>259</v>
      </c>
      <c r="AU352" s="19" t="s">
        <v>260</v>
      </c>
      <c r="AV352" s="19" t="s">
        <v>260</v>
      </c>
      <c r="AW352" s="19" t="s">
        <v>261</v>
      </c>
      <c r="AX352" s="19" t="s">
        <v>262</v>
      </c>
      <c r="AY352" s="19" t="s">
        <v>263</v>
      </c>
      <c r="AZ352" s="19" t="s">
        <v>264</v>
      </c>
      <c r="BA352" s="20">
        <v>43627</v>
      </c>
      <c r="BB352" s="19" t="s">
        <v>479</v>
      </c>
      <c r="BC352" s="19" t="s">
        <v>5762</v>
      </c>
      <c r="BD352" s="19" t="s">
        <v>5762</v>
      </c>
      <c r="BE352" s="19" t="s">
        <v>130</v>
      </c>
      <c r="BF352" s="19" t="s">
        <v>5763</v>
      </c>
      <c r="BG352" s="19"/>
      <c r="BH352" s="19" t="s">
        <v>5764</v>
      </c>
      <c r="BI352" s="19" t="s">
        <v>5764</v>
      </c>
      <c r="BJ352" s="19" t="s">
        <v>166</v>
      </c>
      <c r="BK352" s="19" t="s">
        <v>167</v>
      </c>
      <c r="BL352" s="19" t="s">
        <v>168</v>
      </c>
      <c r="BM352" s="19" t="s">
        <v>169</v>
      </c>
      <c r="BN352" s="21">
        <v>3.3090000000000002</v>
      </c>
      <c r="BO352" s="21">
        <v>117.21867779999999</v>
      </c>
      <c r="BQ352" s="2"/>
      <c r="BR352" s="2"/>
      <c r="BS352" s="2"/>
      <c r="BT352" s="2"/>
      <c r="BU352" s="22"/>
      <c r="BV352" s="2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</row>
    <row r="353" spans="1:95" x14ac:dyDescent="0.25">
      <c r="A353" s="18">
        <v>350</v>
      </c>
      <c r="B353" s="19" t="s">
        <v>5765</v>
      </c>
      <c r="C353" s="19" t="s">
        <v>5766</v>
      </c>
      <c r="D353" s="20">
        <v>46006</v>
      </c>
      <c r="E353" s="20">
        <v>38659</v>
      </c>
      <c r="F353" s="19" t="s">
        <v>5767</v>
      </c>
      <c r="G353" s="19" t="s">
        <v>139</v>
      </c>
      <c r="H353" s="19" t="s">
        <v>94</v>
      </c>
      <c r="I353" s="19"/>
      <c r="J353" s="19"/>
      <c r="K353" s="19"/>
      <c r="L353" s="19" t="s">
        <v>244</v>
      </c>
      <c r="M353" s="19" t="s">
        <v>245</v>
      </c>
      <c r="N353" s="19" t="s">
        <v>5768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 t="s">
        <v>101</v>
      </c>
      <c r="Z353" s="19" t="s">
        <v>102</v>
      </c>
      <c r="AA353" s="19" t="s">
        <v>103</v>
      </c>
      <c r="AB353" s="19" t="s">
        <v>173</v>
      </c>
      <c r="AC353" s="19" t="s">
        <v>174</v>
      </c>
      <c r="AD353" s="19" t="s">
        <v>5769</v>
      </c>
      <c r="AE353" s="19" t="s">
        <v>5770</v>
      </c>
      <c r="AF353" s="19" t="s">
        <v>5771</v>
      </c>
      <c r="AG353" s="19" t="s">
        <v>2700</v>
      </c>
      <c r="AH353" s="19" t="s">
        <v>942</v>
      </c>
      <c r="AI353" s="19" t="s">
        <v>111</v>
      </c>
      <c r="AJ353" s="19" t="s">
        <v>2701</v>
      </c>
      <c r="AK353" s="19"/>
      <c r="AL353" s="19"/>
      <c r="AM353" s="19" t="s">
        <v>5772</v>
      </c>
      <c r="AN353" s="19" t="s">
        <v>5773</v>
      </c>
      <c r="AO353" s="19" t="s">
        <v>255</v>
      </c>
      <c r="AP353" s="19" t="s">
        <v>256</v>
      </c>
      <c r="AQ353" s="19" t="s">
        <v>117</v>
      </c>
      <c r="AR353" s="19" t="s">
        <v>257</v>
      </c>
      <c r="AS353" s="19" t="s">
        <v>258</v>
      </c>
      <c r="AT353" s="19" t="s">
        <v>259</v>
      </c>
      <c r="AU353" s="19" t="s">
        <v>260</v>
      </c>
      <c r="AV353" s="19" t="s">
        <v>260</v>
      </c>
      <c r="AW353" s="19" t="s">
        <v>261</v>
      </c>
      <c r="AX353" s="19" t="s">
        <v>262</v>
      </c>
      <c r="AY353" s="19" t="s">
        <v>263</v>
      </c>
      <c r="AZ353" s="19" t="s">
        <v>264</v>
      </c>
      <c r="BA353" s="20">
        <v>43627</v>
      </c>
      <c r="BB353" s="19" t="s">
        <v>1388</v>
      </c>
      <c r="BC353" s="19" t="s">
        <v>5774</v>
      </c>
      <c r="BD353" s="19" t="s">
        <v>2700</v>
      </c>
      <c r="BE353" s="19" t="s">
        <v>130</v>
      </c>
      <c r="BF353" s="19" t="s">
        <v>5775</v>
      </c>
      <c r="BG353" s="19"/>
      <c r="BH353" s="19" t="s">
        <v>5776</v>
      </c>
      <c r="BI353" s="19" t="s">
        <v>5776</v>
      </c>
      <c r="BJ353" s="19" t="s">
        <v>166</v>
      </c>
      <c r="BK353" s="19" t="s">
        <v>167</v>
      </c>
      <c r="BL353" s="19" t="s">
        <v>168</v>
      </c>
      <c r="BM353" s="19" t="s">
        <v>169</v>
      </c>
      <c r="BN353" s="21">
        <v>16.542999999999999</v>
      </c>
      <c r="BO353" s="21">
        <v>586.02254059999996</v>
      </c>
      <c r="BQ353" s="2"/>
      <c r="BR353" s="2"/>
      <c r="BS353" s="2"/>
      <c r="BT353" s="2"/>
      <c r="BU353" s="22"/>
      <c r="BV353" s="2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</row>
    <row r="354" spans="1:95" x14ac:dyDescent="0.25">
      <c r="A354" s="18">
        <v>351</v>
      </c>
      <c r="B354" s="19" t="s">
        <v>5777</v>
      </c>
      <c r="C354" s="19" t="s">
        <v>5778</v>
      </c>
      <c r="D354" s="20">
        <v>46009</v>
      </c>
      <c r="E354" s="20">
        <v>31453</v>
      </c>
      <c r="F354" s="19"/>
      <c r="G354" s="19"/>
      <c r="H354" s="19" t="s">
        <v>94</v>
      </c>
      <c r="I354" s="19"/>
      <c r="J354" s="19"/>
      <c r="K354" s="19"/>
      <c r="L354" s="19" t="s">
        <v>140</v>
      </c>
      <c r="M354" s="19" t="s">
        <v>141</v>
      </c>
      <c r="N354" s="19" t="s">
        <v>5779</v>
      </c>
      <c r="O354" s="19" t="s">
        <v>100</v>
      </c>
      <c r="P354" s="19"/>
      <c r="Q354" s="19"/>
      <c r="R354" s="19"/>
      <c r="S354" s="19"/>
      <c r="T354" s="19"/>
      <c r="U354" s="19"/>
      <c r="V354" s="19"/>
      <c r="W354" s="19"/>
      <c r="X354" s="19"/>
      <c r="Y354" s="19" t="s">
        <v>101</v>
      </c>
      <c r="Z354" s="19" t="s">
        <v>102</v>
      </c>
      <c r="AA354" s="19" t="s">
        <v>103</v>
      </c>
      <c r="AB354" s="19" t="s">
        <v>2173</v>
      </c>
      <c r="AC354" s="19" t="s">
        <v>2174</v>
      </c>
      <c r="AD354" s="19" t="s">
        <v>5780</v>
      </c>
      <c r="AE354" s="19" t="s">
        <v>5781</v>
      </c>
      <c r="AF354" s="19" t="s">
        <v>5782</v>
      </c>
      <c r="AG354" s="19" t="s">
        <v>148</v>
      </c>
      <c r="AH354" s="19" t="s">
        <v>149</v>
      </c>
      <c r="AI354" s="19" t="s">
        <v>111</v>
      </c>
      <c r="AJ354" s="19" t="s">
        <v>441</v>
      </c>
      <c r="AK354" s="19"/>
      <c r="AL354" s="19"/>
      <c r="AM354" s="19" t="s">
        <v>5783</v>
      </c>
      <c r="AN354" s="19" t="s">
        <v>5784</v>
      </c>
      <c r="AO354" s="19" t="s">
        <v>5785</v>
      </c>
      <c r="AP354" s="19" t="s">
        <v>5786</v>
      </c>
      <c r="AQ354" s="19" t="s">
        <v>117</v>
      </c>
      <c r="AR354" s="19" t="s">
        <v>5787</v>
      </c>
      <c r="AS354" s="19" t="s">
        <v>5788</v>
      </c>
      <c r="AT354" s="19" t="s">
        <v>5789</v>
      </c>
      <c r="AU354" s="19" t="s">
        <v>5790</v>
      </c>
      <c r="AV354" s="19" t="s">
        <v>148</v>
      </c>
      <c r="AW354" s="19" t="s">
        <v>5791</v>
      </c>
      <c r="AX354" s="19" t="s">
        <v>149</v>
      </c>
      <c r="AY354" s="19" t="s">
        <v>5792</v>
      </c>
      <c r="AZ354" s="19" t="s">
        <v>5793</v>
      </c>
      <c r="BA354" s="20">
        <v>39248</v>
      </c>
      <c r="BB354" s="19" t="s">
        <v>161</v>
      </c>
      <c r="BC354" s="19" t="s">
        <v>5794</v>
      </c>
      <c r="BD354" s="19" t="s">
        <v>148</v>
      </c>
      <c r="BE354" s="19" t="s">
        <v>130</v>
      </c>
      <c r="BF354" s="19" t="s">
        <v>5795</v>
      </c>
      <c r="BG354" s="19"/>
      <c r="BH354" s="19" t="s">
        <v>5796</v>
      </c>
      <c r="BI354" s="19" t="s">
        <v>5796</v>
      </c>
      <c r="BJ354" s="19" t="s">
        <v>194</v>
      </c>
      <c r="BK354" s="19" t="s">
        <v>591</v>
      </c>
      <c r="BL354" s="19" t="s">
        <v>122</v>
      </c>
      <c r="BM354" s="19" t="s">
        <v>592</v>
      </c>
      <c r="BN354" s="21">
        <v>746.96299999999997</v>
      </c>
      <c r="BO354" s="21">
        <v>20018.608400000001</v>
      </c>
      <c r="BQ354" s="2"/>
      <c r="BR354" s="2"/>
      <c r="BS354" s="2"/>
      <c r="BT354" s="2"/>
      <c r="BU354" s="22"/>
      <c r="BV354" s="2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</row>
    <row r="355" spans="1:95" x14ac:dyDescent="0.25">
      <c r="A355" s="18">
        <v>352</v>
      </c>
      <c r="B355" s="19" t="s">
        <v>5797</v>
      </c>
      <c r="C355" s="19" t="s">
        <v>5798</v>
      </c>
      <c r="D355" s="20">
        <v>46006</v>
      </c>
      <c r="E355" s="20">
        <v>36595</v>
      </c>
      <c r="F355" s="19"/>
      <c r="G355" s="19"/>
      <c r="H355" s="19" t="s">
        <v>94</v>
      </c>
      <c r="I355" s="19"/>
      <c r="J355" s="19"/>
      <c r="K355" s="19"/>
      <c r="L355" s="19" t="s">
        <v>244</v>
      </c>
      <c r="M355" s="19" t="s">
        <v>245</v>
      </c>
      <c r="N355" s="19" t="s">
        <v>5799</v>
      </c>
      <c r="O355" s="19" t="s">
        <v>100</v>
      </c>
      <c r="P355" s="19"/>
      <c r="Q355" s="19"/>
      <c r="R355" s="19"/>
      <c r="S355" s="19"/>
      <c r="T355" s="19"/>
      <c r="U355" s="19"/>
      <c r="V355" s="19"/>
      <c r="W355" s="19"/>
      <c r="X355" s="19"/>
      <c r="Y355" s="19" t="s">
        <v>101</v>
      </c>
      <c r="Z355" s="19" t="s">
        <v>102</v>
      </c>
      <c r="AA355" s="19" t="s">
        <v>103</v>
      </c>
      <c r="AB355" s="19" t="s">
        <v>1025</v>
      </c>
      <c r="AC355" s="19" t="s">
        <v>1026</v>
      </c>
      <c r="AD355" s="19" t="s">
        <v>5800</v>
      </c>
      <c r="AE355" s="19" t="s">
        <v>5801</v>
      </c>
      <c r="AF355" s="19" t="s">
        <v>5802</v>
      </c>
      <c r="AG355" s="19" t="s">
        <v>148</v>
      </c>
      <c r="AH355" s="19" t="s">
        <v>149</v>
      </c>
      <c r="AI355" s="19" t="s">
        <v>111</v>
      </c>
      <c r="AJ355" s="19" t="s">
        <v>794</v>
      </c>
      <c r="AK355" s="19"/>
      <c r="AL355" s="19"/>
      <c r="AM355" s="19" t="s">
        <v>5803</v>
      </c>
      <c r="AN355" s="19" t="s">
        <v>5804</v>
      </c>
      <c r="AO355" s="19" t="s">
        <v>208</v>
      </c>
      <c r="AP355" s="19" t="s">
        <v>209</v>
      </c>
      <c r="AQ355" s="19" t="s">
        <v>117</v>
      </c>
      <c r="AR355" s="19" t="s">
        <v>210</v>
      </c>
      <c r="AS355" s="19" t="s">
        <v>211</v>
      </c>
      <c r="AT355" s="19" t="s">
        <v>212</v>
      </c>
      <c r="AU355" s="19" t="s">
        <v>213</v>
      </c>
      <c r="AV355" s="19" t="s">
        <v>214</v>
      </c>
      <c r="AW355" s="19" t="s">
        <v>215</v>
      </c>
      <c r="AX355" s="19" t="s">
        <v>149</v>
      </c>
      <c r="AY355" s="19" t="s">
        <v>216</v>
      </c>
      <c r="AZ355" s="19" t="s">
        <v>217</v>
      </c>
      <c r="BA355" s="20">
        <v>35521</v>
      </c>
      <c r="BB355" s="19" t="s">
        <v>444</v>
      </c>
      <c r="BC355" s="19" t="s">
        <v>5805</v>
      </c>
      <c r="BD355" s="19" t="s">
        <v>148</v>
      </c>
      <c r="BE355" s="19" t="s">
        <v>130</v>
      </c>
      <c r="BF355" s="19" t="s">
        <v>5806</v>
      </c>
      <c r="BG355" s="19"/>
      <c r="BH355" s="19" t="s">
        <v>5807</v>
      </c>
      <c r="BI355" s="19" t="s">
        <v>5807</v>
      </c>
      <c r="BJ355" s="19" t="s">
        <v>194</v>
      </c>
      <c r="BK355" s="19" t="s">
        <v>3715</v>
      </c>
      <c r="BL355" s="19" t="s">
        <v>122</v>
      </c>
      <c r="BM355" s="19" t="s">
        <v>196</v>
      </c>
      <c r="BN355" s="21">
        <v>50.533000000000001</v>
      </c>
      <c r="BO355" s="21">
        <v>1757.7802984</v>
      </c>
      <c r="BQ355" s="2"/>
      <c r="BR355" s="2"/>
      <c r="BS355" s="2"/>
      <c r="BT355" s="2"/>
      <c r="BU355" s="22"/>
      <c r="BV355" s="2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</row>
    <row r="356" spans="1:95" x14ac:dyDescent="0.25">
      <c r="A356" s="18">
        <v>353</v>
      </c>
      <c r="B356" s="19" t="s">
        <v>5808</v>
      </c>
      <c r="C356" s="19" t="s">
        <v>3345</v>
      </c>
      <c r="D356" s="20">
        <v>46006</v>
      </c>
      <c r="E356" s="20">
        <v>37134</v>
      </c>
      <c r="F356" s="19" t="s">
        <v>5809</v>
      </c>
      <c r="G356" s="19" t="s">
        <v>139</v>
      </c>
      <c r="H356" s="19" t="s">
        <v>94</v>
      </c>
      <c r="I356" s="19"/>
      <c r="J356" s="19"/>
      <c r="K356" s="19"/>
      <c r="L356" s="19" t="s">
        <v>244</v>
      </c>
      <c r="M356" s="19" t="s">
        <v>245</v>
      </c>
      <c r="N356" s="19" t="s">
        <v>5810</v>
      </c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 t="s">
        <v>101</v>
      </c>
      <c r="Z356" s="19" t="s">
        <v>102</v>
      </c>
      <c r="AA356" s="19" t="s">
        <v>103</v>
      </c>
      <c r="AB356" s="19" t="s">
        <v>173</v>
      </c>
      <c r="AC356" s="19" t="s">
        <v>174</v>
      </c>
      <c r="AD356" s="19" t="s">
        <v>5811</v>
      </c>
      <c r="AE356" s="19" t="s">
        <v>5812</v>
      </c>
      <c r="AF356" s="19" t="s">
        <v>5813</v>
      </c>
      <c r="AG356" s="19" t="s">
        <v>472</v>
      </c>
      <c r="AH356" s="19" t="s">
        <v>188</v>
      </c>
      <c r="AI356" s="19"/>
      <c r="AJ356" s="19" t="s">
        <v>2452</v>
      </c>
      <c r="AK356" s="19"/>
      <c r="AL356" s="19"/>
      <c r="AM356" s="19" t="s">
        <v>5814</v>
      </c>
      <c r="AN356" s="19" t="s">
        <v>5815</v>
      </c>
      <c r="AO356" s="19" t="s">
        <v>255</v>
      </c>
      <c r="AP356" s="19" t="s">
        <v>256</v>
      </c>
      <c r="AQ356" s="19" t="s">
        <v>117</v>
      </c>
      <c r="AR356" s="19" t="s">
        <v>257</v>
      </c>
      <c r="AS356" s="19" t="s">
        <v>258</v>
      </c>
      <c r="AT356" s="19" t="s">
        <v>259</v>
      </c>
      <c r="AU356" s="19" t="s">
        <v>260</v>
      </c>
      <c r="AV356" s="19" t="s">
        <v>260</v>
      </c>
      <c r="AW356" s="19" t="s">
        <v>261</v>
      </c>
      <c r="AX356" s="19" t="s">
        <v>262</v>
      </c>
      <c r="AY356" s="19" t="s">
        <v>263</v>
      </c>
      <c r="AZ356" s="19" t="s">
        <v>264</v>
      </c>
      <c r="BA356" s="20">
        <v>43627</v>
      </c>
      <c r="BB356" s="19" t="s">
        <v>363</v>
      </c>
      <c r="BC356" s="19" t="s">
        <v>5816</v>
      </c>
      <c r="BD356" s="19" t="s">
        <v>365</v>
      </c>
      <c r="BE356" s="19" t="s">
        <v>130</v>
      </c>
      <c r="BF356" s="19" t="s">
        <v>5817</v>
      </c>
      <c r="BG356" s="19"/>
      <c r="BH356" s="19" t="s">
        <v>5818</v>
      </c>
      <c r="BI356" s="19" t="s">
        <v>5818</v>
      </c>
      <c r="BJ356" s="19" t="s">
        <v>166</v>
      </c>
      <c r="BK356" s="19" t="s">
        <v>167</v>
      </c>
      <c r="BL356" s="19" t="s">
        <v>168</v>
      </c>
      <c r="BM356" s="19" t="s">
        <v>169</v>
      </c>
      <c r="BN356" s="21">
        <v>255.65100000000001</v>
      </c>
      <c r="BO356" s="21">
        <v>9056.2321542000009</v>
      </c>
      <c r="BQ356" s="2"/>
      <c r="BR356" s="2"/>
      <c r="BS356" s="2"/>
      <c r="BT356" s="2"/>
      <c r="BU356" s="22"/>
      <c r="BV356" s="2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</row>
    <row r="357" spans="1:95" x14ac:dyDescent="0.25">
      <c r="A357" s="18">
        <v>354</v>
      </c>
      <c r="B357" s="19" t="s">
        <v>5819</v>
      </c>
      <c r="C357" s="19" t="s">
        <v>5820</v>
      </c>
      <c r="D357" s="20">
        <v>46013</v>
      </c>
      <c r="E357" s="20">
        <v>31086</v>
      </c>
      <c r="F357" s="19" t="s">
        <v>5821</v>
      </c>
      <c r="G357" s="19" t="s">
        <v>139</v>
      </c>
      <c r="H357" s="19" t="s">
        <v>94</v>
      </c>
      <c r="I357" s="19"/>
      <c r="J357" s="19"/>
      <c r="K357" s="19"/>
      <c r="L357" s="19" t="s">
        <v>244</v>
      </c>
      <c r="M357" s="19" t="s">
        <v>245</v>
      </c>
      <c r="N357" s="19" t="s">
        <v>5822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 t="s">
        <v>101</v>
      </c>
      <c r="Z357" s="19" t="s">
        <v>102</v>
      </c>
      <c r="AA357" s="19" t="s">
        <v>103</v>
      </c>
      <c r="AB357" s="19" t="s">
        <v>953</v>
      </c>
      <c r="AC357" s="19" t="s">
        <v>954</v>
      </c>
      <c r="AD357" s="19" t="s">
        <v>5823</v>
      </c>
      <c r="AE357" s="19" t="s">
        <v>5824</v>
      </c>
      <c r="AF357" s="19"/>
      <c r="AG357" s="19" t="s">
        <v>5825</v>
      </c>
      <c r="AH357" s="19" t="s">
        <v>262</v>
      </c>
      <c r="AI357" s="19"/>
      <c r="AJ357" s="19" t="s">
        <v>5826</v>
      </c>
      <c r="AK357" s="19"/>
      <c r="AL357" s="19"/>
      <c r="AM357" s="19" t="s">
        <v>5827</v>
      </c>
      <c r="AN357" s="19" t="s">
        <v>5828</v>
      </c>
      <c r="AO357" s="19" t="s">
        <v>255</v>
      </c>
      <c r="AP357" s="19" t="s">
        <v>256</v>
      </c>
      <c r="AQ357" s="19" t="s">
        <v>117</v>
      </c>
      <c r="AR357" s="19" t="s">
        <v>257</v>
      </c>
      <c r="AS357" s="19" t="s">
        <v>258</v>
      </c>
      <c r="AT357" s="19" t="s">
        <v>259</v>
      </c>
      <c r="AU357" s="19" t="s">
        <v>260</v>
      </c>
      <c r="AV357" s="19" t="s">
        <v>260</v>
      </c>
      <c r="AW357" s="19" t="s">
        <v>261</v>
      </c>
      <c r="AX357" s="19" t="s">
        <v>262</v>
      </c>
      <c r="AY357" s="19" t="s">
        <v>263</v>
      </c>
      <c r="AZ357" s="19" t="s">
        <v>264</v>
      </c>
      <c r="BA357" s="20">
        <v>43627</v>
      </c>
      <c r="BB357" s="19" t="s">
        <v>540</v>
      </c>
      <c r="BC357" s="19" t="s">
        <v>5829</v>
      </c>
      <c r="BD357" s="19" t="s">
        <v>5829</v>
      </c>
      <c r="BE357" s="19" t="s">
        <v>130</v>
      </c>
      <c r="BF357" s="19" t="s">
        <v>5830</v>
      </c>
      <c r="BG357" s="19"/>
      <c r="BH357" s="19" t="s">
        <v>5831</v>
      </c>
      <c r="BI357" s="19" t="s">
        <v>5831</v>
      </c>
      <c r="BJ357" s="19" t="s">
        <v>166</v>
      </c>
      <c r="BK357" s="19" t="s">
        <v>167</v>
      </c>
      <c r="BL357" s="19" t="s">
        <v>168</v>
      </c>
      <c r="BM357" s="19" t="s">
        <v>169</v>
      </c>
      <c r="BN357" s="21">
        <v>12.327999999999999</v>
      </c>
      <c r="BO357" s="21">
        <v>496.59279759999998</v>
      </c>
      <c r="BQ357" s="2"/>
      <c r="BR357" s="2"/>
      <c r="BS357" s="2"/>
      <c r="BT357" s="2"/>
      <c r="BU357" s="22"/>
      <c r="BV357" s="2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</row>
    <row r="358" spans="1:95" x14ac:dyDescent="0.25">
      <c r="A358" s="18">
        <v>355</v>
      </c>
      <c r="B358" s="19" t="s">
        <v>5832</v>
      </c>
      <c r="C358" s="19" t="s">
        <v>5833</v>
      </c>
      <c r="D358" s="20">
        <v>46009</v>
      </c>
      <c r="E358" s="20">
        <v>18010</v>
      </c>
      <c r="F358" s="19"/>
      <c r="G358" s="19"/>
      <c r="H358" s="19" t="s">
        <v>94</v>
      </c>
      <c r="I358" s="19"/>
      <c r="J358" s="19" t="s">
        <v>95</v>
      </c>
      <c r="K358" s="19" t="s">
        <v>96</v>
      </c>
      <c r="L358" s="19" t="s">
        <v>1825</v>
      </c>
      <c r="M358" s="19" t="s">
        <v>610</v>
      </c>
      <c r="N358" s="19" t="s">
        <v>5834</v>
      </c>
      <c r="O358" s="19" t="s">
        <v>100</v>
      </c>
      <c r="P358" s="19"/>
      <c r="Q358" s="19"/>
      <c r="R358" s="19"/>
      <c r="S358" s="19"/>
      <c r="T358" s="19"/>
      <c r="U358" s="19"/>
      <c r="V358" s="19"/>
      <c r="W358" s="19"/>
      <c r="X358" s="19"/>
      <c r="Y358" s="19" t="s">
        <v>101</v>
      </c>
      <c r="Z358" s="19" t="s">
        <v>102</v>
      </c>
      <c r="AA358" s="19" t="s">
        <v>103</v>
      </c>
      <c r="AB358" s="19" t="s">
        <v>292</v>
      </c>
      <c r="AC358" s="19" t="s">
        <v>293</v>
      </c>
      <c r="AD358" s="19" t="s">
        <v>5835</v>
      </c>
      <c r="AE358" s="19" t="s">
        <v>5836</v>
      </c>
      <c r="AF358" s="19"/>
      <c r="AG358" s="19" t="s">
        <v>5837</v>
      </c>
      <c r="AH358" s="19" t="s">
        <v>124</v>
      </c>
      <c r="AI358" s="19" t="s">
        <v>111</v>
      </c>
      <c r="AJ358" s="19" t="s">
        <v>5838</v>
      </c>
      <c r="AK358" s="19"/>
      <c r="AL358" s="19"/>
      <c r="AM358" s="19" t="s">
        <v>5839</v>
      </c>
      <c r="AN358" s="19" t="s">
        <v>5840</v>
      </c>
      <c r="AO358" s="19" t="s">
        <v>5841</v>
      </c>
      <c r="AP358" s="19" t="s">
        <v>5842</v>
      </c>
      <c r="AQ358" s="19" t="s">
        <v>117</v>
      </c>
      <c r="AR358" s="19" t="s">
        <v>5843</v>
      </c>
      <c r="AS358" s="19" t="s">
        <v>5844</v>
      </c>
      <c r="AT358" s="19" t="s">
        <v>5845</v>
      </c>
      <c r="AU358" s="19" t="s">
        <v>5846</v>
      </c>
      <c r="AV358" s="19" t="s">
        <v>5837</v>
      </c>
      <c r="AW358" s="19" t="s">
        <v>5847</v>
      </c>
      <c r="AX358" s="19" t="s">
        <v>124</v>
      </c>
      <c r="AY358" s="19" t="s">
        <v>5848</v>
      </c>
      <c r="AZ358" s="19" t="s">
        <v>5849</v>
      </c>
      <c r="BA358" s="20">
        <v>44757</v>
      </c>
      <c r="BB358" s="19" t="s">
        <v>5850</v>
      </c>
      <c r="BC358" s="19" t="s">
        <v>5851</v>
      </c>
      <c r="BD358" s="19" t="s">
        <v>5851</v>
      </c>
      <c r="BE358" s="19" t="s">
        <v>130</v>
      </c>
      <c r="BF358" s="19" t="s">
        <v>5852</v>
      </c>
      <c r="BG358" s="19" t="s">
        <v>5853</v>
      </c>
      <c r="BH358" s="19" t="s">
        <v>5854</v>
      </c>
      <c r="BI358" s="19" t="s">
        <v>5854</v>
      </c>
      <c r="BJ358" s="19" t="s">
        <v>166</v>
      </c>
      <c r="BK358" s="19" t="s">
        <v>5855</v>
      </c>
      <c r="BL358" s="19" t="s">
        <v>5837</v>
      </c>
      <c r="BM358" s="19" t="s">
        <v>196</v>
      </c>
      <c r="BN358" s="21">
        <v>9220.8320000000003</v>
      </c>
      <c r="BO358" s="21">
        <v>151807.167632</v>
      </c>
      <c r="BQ358" s="2"/>
      <c r="BR358" s="2"/>
      <c r="BS358" s="2"/>
      <c r="BT358" s="2"/>
      <c r="BU358" s="22"/>
      <c r="BV358" s="2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</row>
    <row r="359" spans="1:95" x14ac:dyDescent="0.25">
      <c r="A359" s="18">
        <v>356</v>
      </c>
      <c r="B359" s="19" t="s">
        <v>5856</v>
      </c>
      <c r="C359" s="19" t="s">
        <v>5857</v>
      </c>
      <c r="D359" s="20">
        <v>46013</v>
      </c>
      <c r="E359" s="20">
        <v>32462</v>
      </c>
      <c r="F359" s="19"/>
      <c r="G359" s="19"/>
      <c r="H359" s="19" t="s">
        <v>94</v>
      </c>
      <c r="I359" s="19"/>
      <c r="J359" s="19"/>
      <c r="K359" s="19"/>
      <c r="L359" s="19" t="s">
        <v>687</v>
      </c>
      <c r="M359" s="19" t="s">
        <v>688</v>
      </c>
      <c r="N359" s="19" t="s">
        <v>5858</v>
      </c>
      <c r="O359" s="19" t="s">
        <v>100</v>
      </c>
      <c r="P359" s="19"/>
      <c r="Q359" s="19"/>
      <c r="R359" s="19"/>
      <c r="S359" s="19"/>
      <c r="T359" s="19"/>
      <c r="U359" s="19"/>
      <c r="V359" s="19"/>
      <c r="W359" s="19"/>
      <c r="X359" s="19"/>
      <c r="Y359" s="19" t="s">
        <v>101</v>
      </c>
      <c r="Z359" s="19" t="s">
        <v>102</v>
      </c>
      <c r="AA359" s="19" t="s">
        <v>103</v>
      </c>
      <c r="AB359" s="19" t="s">
        <v>612</v>
      </c>
      <c r="AC359" s="19" t="s">
        <v>613</v>
      </c>
      <c r="AD359" s="19" t="s">
        <v>5859</v>
      </c>
      <c r="AE359" s="19" t="s">
        <v>5860</v>
      </c>
      <c r="AF359" s="19"/>
      <c r="AG359" s="19" t="s">
        <v>260</v>
      </c>
      <c r="AH359" s="19" t="s">
        <v>262</v>
      </c>
      <c r="AI359" s="19" t="s">
        <v>111</v>
      </c>
      <c r="AJ359" s="19" t="s">
        <v>5861</v>
      </c>
      <c r="AK359" s="19"/>
      <c r="AL359" s="19"/>
      <c r="AM359" s="19" t="s">
        <v>5862</v>
      </c>
      <c r="AN359" s="19" t="s">
        <v>5863</v>
      </c>
      <c r="AO359" s="19" t="s">
        <v>1545</v>
      </c>
      <c r="AP359" s="19" t="s">
        <v>116</v>
      </c>
      <c r="AQ359" s="19" t="s">
        <v>94</v>
      </c>
      <c r="AR359" s="19" t="s">
        <v>118</v>
      </c>
      <c r="AS359" s="19" t="s">
        <v>119</v>
      </c>
      <c r="AT359" s="19" t="s">
        <v>120</v>
      </c>
      <c r="AU359" s="19" t="s">
        <v>121</v>
      </c>
      <c r="AV359" s="19" t="s">
        <v>122</v>
      </c>
      <c r="AW359" s="19" t="s">
        <v>123</v>
      </c>
      <c r="AX359" s="19" t="s">
        <v>124</v>
      </c>
      <c r="AY359" s="19" t="s">
        <v>125</v>
      </c>
      <c r="AZ359" s="19" t="s">
        <v>1546</v>
      </c>
      <c r="BA359" s="20">
        <v>45181</v>
      </c>
      <c r="BB359" s="19" t="s">
        <v>1547</v>
      </c>
      <c r="BC359" s="19" t="s">
        <v>5864</v>
      </c>
      <c r="BD359" s="19" t="s">
        <v>490</v>
      </c>
      <c r="BE359" s="19" t="s">
        <v>130</v>
      </c>
      <c r="BF359" s="19" t="s">
        <v>5865</v>
      </c>
      <c r="BG359" s="19"/>
      <c r="BH359" s="19" t="s">
        <v>5866</v>
      </c>
      <c r="BI359" s="19" t="s">
        <v>5866</v>
      </c>
      <c r="BJ359" s="19" t="s">
        <v>133</v>
      </c>
      <c r="BK359" s="19" t="s">
        <v>195</v>
      </c>
      <c r="BL359" s="19" t="s">
        <v>122</v>
      </c>
      <c r="BM359" s="19" t="s">
        <v>196</v>
      </c>
      <c r="BN359" s="21">
        <v>1.823</v>
      </c>
      <c r="BO359" s="21">
        <v>998.94930999999997</v>
      </c>
      <c r="BQ359" s="2"/>
      <c r="BR359" s="2"/>
      <c r="BS359" s="2"/>
      <c r="BT359" s="2"/>
      <c r="BU359" s="22"/>
      <c r="BV359" s="2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</row>
    <row r="360" spans="1:95" x14ac:dyDescent="0.25">
      <c r="A360" s="18">
        <v>357</v>
      </c>
      <c r="B360" s="19" t="s">
        <v>5867</v>
      </c>
      <c r="C360" s="19" t="s">
        <v>5868</v>
      </c>
      <c r="D360" s="20">
        <v>46014</v>
      </c>
      <c r="E360" s="20">
        <v>26635</v>
      </c>
      <c r="F360" s="19"/>
      <c r="G360" s="19"/>
      <c r="H360" s="19" t="s">
        <v>94</v>
      </c>
      <c r="I360" s="19"/>
      <c r="J360" s="19"/>
      <c r="K360" s="19"/>
      <c r="L360" s="19" t="s">
        <v>140</v>
      </c>
      <c r="M360" s="19" t="s">
        <v>141</v>
      </c>
      <c r="N360" s="19" t="s">
        <v>5869</v>
      </c>
      <c r="O360" s="19" t="s">
        <v>100</v>
      </c>
      <c r="P360" s="19"/>
      <c r="Q360" s="19"/>
      <c r="R360" s="19"/>
      <c r="S360" s="19"/>
      <c r="T360" s="19"/>
      <c r="U360" s="19"/>
      <c r="V360" s="19"/>
      <c r="W360" s="19"/>
      <c r="X360" s="19"/>
      <c r="Y360" s="19" t="s">
        <v>101</v>
      </c>
      <c r="Z360" s="19" t="s">
        <v>102</v>
      </c>
      <c r="AA360" s="19" t="s">
        <v>103</v>
      </c>
      <c r="AB360" s="19" t="s">
        <v>671</v>
      </c>
      <c r="AC360" s="19" t="s">
        <v>672</v>
      </c>
      <c r="AD360" s="19" t="s">
        <v>5870</v>
      </c>
      <c r="AE360" s="19" t="s">
        <v>5871</v>
      </c>
      <c r="AF360" s="19" t="s">
        <v>5872</v>
      </c>
      <c r="AG360" s="19" t="s">
        <v>490</v>
      </c>
      <c r="AH360" s="19" t="s">
        <v>262</v>
      </c>
      <c r="AI360" s="19" t="s">
        <v>111</v>
      </c>
      <c r="AJ360" s="19" t="s">
        <v>5873</v>
      </c>
      <c r="AK360" s="19"/>
      <c r="AL360" s="19"/>
      <c r="AM360" s="19" t="s">
        <v>5874</v>
      </c>
      <c r="AN360" s="19" t="s">
        <v>5875</v>
      </c>
      <c r="AO360" s="19" t="s">
        <v>181</v>
      </c>
      <c r="AP360" s="19" t="s">
        <v>182</v>
      </c>
      <c r="AQ360" s="19" t="s">
        <v>117</v>
      </c>
      <c r="AR360" s="19" t="s">
        <v>183</v>
      </c>
      <c r="AS360" s="19" t="s">
        <v>184</v>
      </c>
      <c r="AT360" s="19" t="s">
        <v>185</v>
      </c>
      <c r="AU360" s="19"/>
      <c r="AV360" s="19" t="s">
        <v>186</v>
      </c>
      <c r="AW360" s="19" t="s">
        <v>187</v>
      </c>
      <c r="AX360" s="19" t="s">
        <v>188</v>
      </c>
      <c r="AY360" s="19"/>
      <c r="AZ360" s="19" t="s">
        <v>189</v>
      </c>
      <c r="BA360" s="20">
        <v>44673</v>
      </c>
      <c r="BB360" s="19" t="s">
        <v>331</v>
      </c>
      <c r="BC360" s="19" t="s">
        <v>5876</v>
      </c>
      <c r="BD360" s="19" t="s">
        <v>260</v>
      </c>
      <c r="BE360" s="19" t="s">
        <v>130</v>
      </c>
      <c r="BF360" s="19" t="s">
        <v>5877</v>
      </c>
      <c r="BG360" s="19"/>
      <c r="BH360" s="19" t="s">
        <v>5878</v>
      </c>
      <c r="BI360" s="19" t="s">
        <v>5878</v>
      </c>
      <c r="BJ360" s="19" t="s">
        <v>194</v>
      </c>
      <c r="BK360" s="19" t="s">
        <v>195</v>
      </c>
      <c r="BL360" s="19" t="s">
        <v>122</v>
      </c>
      <c r="BM360" s="19" t="s">
        <v>196</v>
      </c>
      <c r="BN360" s="21">
        <v>22.311</v>
      </c>
      <c r="BO360" s="21">
        <v>1004.1244038</v>
      </c>
      <c r="BQ360" s="2"/>
      <c r="BR360" s="2"/>
      <c r="BS360" s="2"/>
      <c r="BT360" s="2"/>
      <c r="BU360" s="22"/>
      <c r="BV360" s="2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</row>
    <row r="361" spans="1:95" x14ac:dyDescent="0.25">
      <c r="A361" s="18">
        <v>358</v>
      </c>
      <c r="B361" s="19" t="s">
        <v>5879</v>
      </c>
      <c r="C361" s="19" t="s">
        <v>5880</v>
      </c>
      <c r="D361" s="20">
        <v>46014</v>
      </c>
      <c r="E361" s="20">
        <v>37343</v>
      </c>
      <c r="F361" s="19"/>
      <c r="G361" s="19"/>
      <c r="H361" s="19" t="s">
        <v>94</v>
      </c>
      <c r="I361" s="19"/>
      <c r="J361" s="19"/>
      <c r="K361" s="19"/>
      <c r="L361" s="19" t="s">
        <v>289</v>
      </c>
      <c r="M361" s="19" t="s">
        <v>290</v>
      </c>
      <c r="N361" s="19" t="s">
        <v>5881</v>
      </c>
      <c r="O361" s="19" t="s">
        <v>100</v>
      </c>
      <c r="P361" s="19"/>
      <c r="Q361" s="19"/>
      <c r="R361" s="19"/>
      <c r="S361" s="19"/>
      <c r="T361" s="19"/>
      <c r="U361" s="19"/>
      <c r="V361" s="19"/>
      <c r="W361" s="19"/>
      <c r="X361" s="19"/>
      <c r="Y361" s="19" t="s">
        <v>101</v>
      </c>
      <c r="Z361" s="19" t="s">
        <v>102</v>
      </c>
      <c r="AA361" s="19" t="s">
        <v>103</v>
      </c>
      <c r="AB361" s="19" t="s">
        <v>487</v>
      </c>
      <c r="AC361" s="19" t="s">
        <v>488</v>
      </c>
      <c r="AD361" s="19" t="s">
        <v>5882</v>
      </c>
      <c r="AE361" s="19"/>
      <c r="AF361" s="19"/>
      <c r="AG361" s="19" t="s">
        <v>3439</v>
      </c>
      <c r="AH361" s="19" t="s">
        <v>262</v>
      </c>
      <c r="AI361" s="19" t="s">
        <v>111</v>
      </c>
      <c r="AJ361" s="19" t="s">
        <v>5883</v>
      </c>
      <c r="AK361" s="19"/>
      <c r="AL361" s="19"/>
      <c r="AM361" s="19" t="s">
        <v>5884</v>
      </c>
      <c r="AN361" s="19" t="s">
        <v>5885</v>
      </c>
      <c r="AO361" s="19" t="s">
        <v>494</v>
      </c>
      <c r="AP361" s="19" t="s">
        <v>495</v>
      </c>
      <c r="AQ361" s="19" t="s">
        <v>117</v>
      </c>
      <c r="AR361" s="19" t="s">
        <v>496</v>
      </c>
      <c r="AS361" s="19" t="s">
        <v>497</v>
      </c>
      <c r="AT361" s="19" t="s">
        <v>498</v>
      </c>
      <c r="AU361" s="19" t="s">
        <v>499</v>
      </c>
      <c r="AV361" s="19" t="s">
        <v>168</v>
      </c>
      <c r="AW361" s="19" t="s">
        <v>500</v>
      </c>
      <c r="AX361" s="19" t="s">
        <v>262</v>
      </c>
      <c r="AY361" s="19" t="s">
        <v>501</v>
      </c>
      <c r="AZ361" s="19" t="s">
        <v>502</v>
      </c>
      <c r="BA361" s="20">
        <v>45832</v>
      </c>
      <c r="BB361" s="19" t="s">
        <v>1002</v>
      </c>
      <c r="BC361" s="19" t="s">
        <v>1896</v>
      </c>
      <c r="BD361" s="19" t="s">
        <v>260</v>
      </c>
      <c r="BE361" s="19" t="s">
        <v>130</v>
      </c>
      <c r="BF361" s="19" t="s">
        <v>5886</v>
      </c>
      <c r="BG361" s="19"/>
      <c r="BH361" s="19" t="s">
        <v>1898</v>
      </c>
      <c r="BI361" s="19" t="s">
        <v>1898</v>
      </c>
      <c r="BJ361" s="19" t="s">
        <v>166</v>
      </c>
      <c r="BK361" s="19" t="s">
        <v>167</v>
      </c>
      <c r="BL361" s="19" t="s">
        <v>168</v>
      </c>
      <c r="BM361" s="19" t="s">
        <v>169</v>
      </c>
      <c r="BN361" s="21">
        <v>0.23300000000000001</v>
      </c>
      <c r="BO361" s="21">
        <v>100.89058439999999</v>
      </c>
      <c r="BQ361" s="2"/>
      <c r="BR361" s="2"/>
      <c r="BS361" s="2"/>
      <c r="BT361" s="2"/>
      <c r="BU361" s="22"/>
      <c r="BV361" s="2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</row>
    <row r="362" spans="1:95" x14ac:dyDescent="0.25">
      <c r="A362" s="18">
        <v>359</v>
      </c>
      <c r="B362" s="19" t="s">
        <v>5887</v>
      </c>
      <c r="C362" s="19" t="s">
        <v>5888</v>
      </c>
      <c r="D362" s="20">
        <v>46015</v>
      </c>
      <c r="E362" s="20">
        <v>24040</v>
      </c>
      <c r="F362" s="19"/>
      <c r="G362" s="19"/>
      <c r="H362" s="19" t="s">
        <v>94</v>
      </c>
      <c r="I362" s="19"/>
      <c r="J362" s="19"/>
      <c r="K362" s="19"/>
      <c r="L362" s="19" t="s">
        <v>101</v>
      </c>
      <c r="M362" s="19" t="s">
        <v>290</v>
      </c>
      <c r="N362" s="19" t="s">
        <v>5889</v>
      </c>
      <c r="O362" s="19" t="s">
        <v>100</v>
      </c>
      <c r="P362" s="19"/>
      <c r="Q362" s="19"/>
      <c r="R362" s="19"/>
      <c r="S362" s="19"/>
      <c r="T362" s="19"/>
      <c r="U362" s="19"/>
      <c r="V362" s="19"/>
      <c r="W362" s="19"/>
      <c r="X362" s="19"/>
      <c r="Y362" s="19" t="s">
        <v>101</v>
      </c>
      <c r="Z362" s="19" t="s">
        <v>102</v>
      </c>
      <c r="AA362" s="19" t="s">
        <v>103</v>
      </c>
      <c r="AB362" s="19" t="s">
        <v>1536</v>
      </c>
      <c r="AC362" s="19" t="s">
        <v>1537</v>
      </c>
      <c r="AD362" s="19" t="s">
        <v>5890</v>
      </c>
      <c r="AE362" s="19" t="s">
        <v>5891</v>
      </c>
      <c r="AF362" s="19"/>
      <c r="AG362" s="19" t="s">
        <v>5892</v>
      </c>
      <c r="AH362" s="19" t="s">
        <v>327</v>
      </c>
      <c r="AI362" s="19" t="s">
        <v>111</v>
      </c>
      <c r="AJ362" s="19" t="s">
        <v>5893</v>
      </c>
      <c r="AK362" s="19"/>
      <c r="AL362" s="19"/>
      <c r="AM362" s="19" t="s">
        <v>5894</v>
      </c>
      <c r="AN362" s="19" t="s">
        <v>5895</v>
      </c>
      <c r="AO362" s="19" t="s">
        <v>5896</v>
      </c>
      <c r="AP362" s="19" t="s">
        <v>5897</v>
      </c>
      <c r="AQ362" s="19" t="s">
        <v>117</v>
      </c>
      <c r="AR362" s="19" t="s">
        <v>5898</v>
      </c>
      <c r="AS362" s="19" t="s">
        <v>5899</v>
      </c>
      <c r="AT362" s="19" t="s">
        <v>5900</v>
      </c>
      <c r="AU362" s="19" t="s">
        <v>5901</v>
      </c>
      <c r="AV362" s="19" t="s">
        <v>5892</v>
      </c>
      <c r="AW362" s="19" t="s">
        <v>5893</v>
      </c>
      <c r="AX362" s="19" t="s">
        <v>327</v>
      </c>
      <c r="AY362" s="19" t="s">
        <v>5902</v>
      </c>
      <c r="AZ362" s="19" t="s">
        <v>5903</v>
      </c>
      <c r="BA362" s="20">
        <v>37687</v>
      </c>
      <c r="BB362" s="19" t="s">
        <v>331</v>
      </c>
      <c r="BC362" s="19" t="s">
        <v>5904</v>
      </c>
      <c r="BD362" s="19" t="s">
        <v>5892</v>
      </c>
      <c r="BE362" s="19" t="s">
        <v>130</v>
      </c>
      <c r="BF362" s="19" t="s">
        <v>5905</v>
      </c>
      <c r="BG362" s="19" t="s">
        <v>5906</v>
      </c>
      <c r="BH362" s="19" t="s">
        <v>5907</v>
      </c>
      <c r="BI362" s="19" t="s">
        <v>5907</v>
      </c>
      <c r="BJ362" s="19" t="s">
        <v>166</v>
      </c>
      <c r="BK362" s="19" t="s">
        <v>5908</v>
      </c>
      <c r="BL362" s="19" t="s">
        <v>5892</v>
      </c>
      <c r="BM362" s="19" t="s">
        <v>1045</v>
      </c>
      <c r="BN362" s="21">
        <v>0</v>
      </c>
      <c r="BO362" s="21">
        <v>0</v>
      </c>
      <c r="BQ362" s="2"/>
      <c r="BR362" s="2"/>
      <c r="BS362" s="2"/>
      <c r="BT362" s="2"/>
      <c r="BU362" s="22"/>
      <c r="BV362" s="2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</row>
    <row r="363" spans="1:95" x14ac:dyDescent="0.25">
      <c r="A363" s="18">
        <v>360</v>
      </c>
      <c r="B363" s="19" t="s">
        <v>5909</v>
      </c>
      <c r="C363" s="19" t="s">
        <v>5910</v>
      </c>
      <c r="D363" s="20">
        <v>46017</v>
      </c>
      <c r="E363" s="20">
        <v>30925</v>
      </c>
      <c r="F363" s="19"/>
      <c r="G363" s="19"/>
      <c r="H363" s="19" t="s">
        <v>94</v>
      </c>
      <c r="I363" s="19"/>
      <c r="J363" s="19"/>
      <c r="K363" s="19"/>
      <c r="L363" s="19" t="s">
        <v>2359</v>
      </c>
      <c r="M363" s="19" t="s">
        <v>2360</v>
      </c>
      <c r="N363" s="19" t="s">
        <v>5911</v>
      </c>
      <c r="O363" s="19" t="s">
        <v>100</v>
      </c>
      <c r="P363" s="19"/>
      <c r="Q363" s="19"/>
      <c r="R363" s="19"/>
      <c r="S363" s="19"/>
      <c r="T363" s="19"/>
      <c r="U363" s="19"/>
      <c r="V363" s="19"/>
      <c r="W363" s="19"/>
      <c r="X363" s="19"/>
      <c r="Y363" s="19" t="s">
        <v>101</v>
      </c>
      <c r="Z363" s="19" t="s">
        <v>102</v>
      </c>
      <c r="AA363" s="19" t="s">
        <v>103</v>
      </c>
      <c r="AB363" s="19" t="s">
        <v>5912</v>
      </c>
      <c r="AC363" s="19" t="s">
        <v>5913</v>
      </c>
      <c r="AD363" s="19" t="s">
        <v>5914</v>
      </c>
      <c r="AE363" s="19" t="s">
        <v>5915</v>
      </c>
      <c r="AF363" s="19" t="s">
        <v>5916</v>
      </c>
      <c r="AG363" s="19" t="s">
        <v>219</v>
      </c>
      <c r="AH363" s="19" t="s">
        <v>124</v>
      </c>
      <c r="AI363" s="19" t="s">
        <v>111</v>
      </c>
      <c r="AJ363" s="19" t="s">
        <v>5917</v>
      </c>
      <c r="AK363" s="19"/>
      <c r="AL363" s="19"/>
      <c r="AM363" s="19" t="s">
        <v>5918</v>
      </c>
      <c r="AN363" s="19" t="s">
        <v>5919</v>
      </c>
      <c r="AO363" s="19" t="s">
        <v>3881</v>
      </c>
      <c r="AP363" s="19" t="s">
        <v>3882</v>
      </c>
      <c r="AQ363" s="19" t="s">
        <v>117</v>
      </c>
      <c r="AR363" s="19" t="s">
        <v>3883</v>
      </c>
      <c r="AS363" s="19"/>
      <c r="AT363" s="19"/>
      <c r="AU363" s="19"/>
      <c r="AV363" s="19"/>
      <c r="AW363" s="19"/>
      <c r="AX363" s="19"/>
      <c r="AY363" s="19"/>
      <c r="AZ363" s="19"/>
      <c r="BA363" s="20"/>
      <c r="BB363" s="19" t="s">
        <v>2253</v>
      </c>
      <c r="BC363" s="19" t="s">
        <v>5920</v>
      </c>
      <c r="BD363" s="19" t="s">
        <v>219</v>
      </c>
      <c r="BE363" s="19" t="s">
        <v>130</v>
      </c>
      <c r="BF363" s="19" t="s">
        <v>5921</v>
      </c>
      <c r="BG363" s="19"/>
      <c r="BH363" s="19" t="s">
        <v>5691</v>
      </c>
      <c r="BI363" s="19" t="s">
        <v>5691</v>
      </c>
      <c r="BJ363" s="19" t="s">
        <v>166</v>
      </c>
      <c r="BK363" s="19" t="s">
        <v>1084</v>
      </c>
      <c r="BL363" s="19" t="s">
        <v>222</v>
      </c>
      <c r="BM363" s="19" t="s">
        <v>169</v>
      </c>
      <c r="BN363" s="21">
        <v>11718.255999999999</v>
      </c>
      <c r="BO363" s="21">
        <v>300391.633432</v>
      </c>
      <c r="BQ363" s="2"/>
      <c r="BR363" s="2"/>
      <c r="BS363" s="2"/>
      <c r="BT363" s="2"/>
      <c r="BU363" s="22"/>
      <c r="BV363" s="2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</row>
    <row r="364" spans="1:95" x14ac:dyDescent="0.25">
      <c r="A364" s="18">
        <v>361</v>
      </c>
      <c r="B364" s="19" t="s">
        <v>5922</v>
      </c>
      <c r="C364" s="19" t="s">
        <v>5923</v>
      </c>
      <c r="D364" s="20">
        <v>46021</v>
      </c>
      <c r="E364" s="20">
        <v>35649</v>
      </c>
      <c r="F364" s="19"/>
      <c r="G364" s="19"/>
      <c r="H364" s="19" t="s">
        <v>94</v>
      </c>
      <c r="I364" s="19"/>
      <c r="J364" s="19" t="s">
        <v>287</v>
      </c>
      <c r="K364" s="19" t="s">
        <v>288</v>
      </c>
      <c r="L364" s="19" t="s">
        <v>2080</v>
      </c>
      <c r="M364" s="19" t="s">
        <v>141</v>
      </c>
      <c r="N364" s="19" t="s">
        <v>5924</v>
      </c>
      <c r="O364" s="19" t="s">
        <v>100</v>
      </c>
      <c r="P364" s="19"/>
      <c r="Q364" s="19"/>
      <c r="R364" s="19"/>
      <c r="S364" s="19"/>
      <c r="T364" s="19"/>
      <c r="U364" s="19"/>
      <c r="V364" s="19"/>
      <c r="W364" s="19"/>
      <c r="X364" s="19"/>
      <c r="Y364" s="19" t="s">
        <v>101</v>
      </c>
      <c r="Z364" s="19" t="s">
        <v>102</v>
      </c>
      <c r="AA364" s="19" t="s">
        <v>103</v>
      </c>
      <c r="AB364" s="19" t="s">
        <v>292</v>
      </c>
      <c r="AC364" s="19" t="s">
        <v>293</v>
      </c>
      <c r="AD364" s="19" t="s">
        <v>5925</v>
      </c>
      <c r="AE364" s="19" t="s">
        <v>5925</v>
      </c>
      <c r="AF364" s="19" t="s">
        <v>3193</v>
      </c>
      <c r="AG364" s="19" t="s">
        <v>3193</v>
      </c>
      <c r="AH364" s="19" t="s">
        <v>327</v>
      </c>
      <c r="AI364" s="19" t="s">
        <v>111</v>
      </c>
      <c r="AJ364" s="19" t="s">
        <v>5926</v>
      </c>
      <c r="AK364" s="19"/>
      <c r="AL364" s="19"/>
      <c r="AM364" s="19" t="s">
        <v>5927</v>
      </c>
      <c r="AN364" s="19" t="s">
        <v>5928</v>
      </c>
      <c r="AO364" s="19" t="s">
        <v>4616</v>
      </c>
      <c r="AP364" s="19" t="s">
        <v>2089</v>
      </c>
      <c r="AQ364" s="19" t="s">
        <v>117</v>
      </c>
      <c r="AR364" s="19" t="s">
        <v>2090</v>
      </c>
      <c r="AS364" s="19" t="s">
        <v>2091</v>
      </c>
      <c r="AT364" s="19" t="s">
        <v>2092</v>
      </c>
      <c r="AU364" s="19" t="s">
        <v>2093</v>
      </c>
      <c r="AV364" s="19" t="s">
        <v>122</v>
      </c>
      <c r="AW364" s="19" t="s">
        <v>2094</v>
      </c>
      <c r="AX364" s="19" t="s">
        <v>901</v>
      </c>
      <c r="AY364" s="19" t="s">
        <v>2095</v>
      </c>
      <c r="AZ364" s="19" t="s">
        <v>2096</v>
      </c>
      <c r="BA364" s="20">
        <v>37075</v>
      </c>
      <c r="BB364" s="19" t="s">
        <v>4617</v>
      </c>
      <c r="BC364" s="19" t="s">
        <v>5929</v>
      </c>
      <c r="BD364" s="19" t="s">
        <v>3193</v>
      </c>
      <c r="BE364" s="19" t="s">
        <v>130</v>
      </c>
      <c r="BF364" s="19" t="s">
        <v>5930</v>
      </c>
      <c r="BG364" s="19"/>
      <c r="BH364" s="19" t="s">
        <v>5931</v>
      </c>
      <c r="BI364" s="19" t="s">
        <v>5931</v>
      </c>
      <c r="BJ364" s="19" t="s">
        <v>166</v>
      </c>
      <c r="BK364" s="19" t="s">
        <v>5932</v>
      </c>
      <c r="BL364" s="19" t="s">
        <v>5933</v>
      </c>
      <c r="BM364" s="19" t="s">
        <v>1045</v>
      </c>
      <c r="BN364" s="21">
        <v>121.842</v>
      </c>
      <c r="BO364" s="21">
        <v>2005.9457669999999</v>
      </c>
      <c r="BQ364" s="2"/>
      <c r="BR364" s="2"/>
      <c r="BS364" s="2"/>
      <c r="BT364" s="2"/>
      <c r="BU364" s="22"/>
      <c r="BV364" s="2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</row>
    <row r="365" spans="1:95" x14ac:dyDescent="0.25">
      <c r="A365" s="18">
        <v>362</v>
      </c>
      <c r="B365" s="19" t="s">
        <v>5934</v>
      </c>
      <c r="C365" s="19" t="s">
        <v>5935</v>
      </c>
      <c r="D365" s="20">
        <v>46021</v>
      </c>
      <c r="E365" s="20">
        <v>37053</v>
      </c>
      <c r="F365" s="19" t="s">
        <v>5936</v>
      </c>
      <c r="G365" s="19" t="s">
        <v>139</v>
      </c>
      <c r="H365" s="19" t="s">
        <v>94</v>
      </c>
      <c r="I365" s="19"/>
      <c r="J365" s="19"/>
      <c r="K365" s="19"/>
      <c r="L365" s="19" t="s">
        <v>244</v>
      </c>
      <c r="M365" s="19" t="s">
        <v>245</v>
      </c>
      <c r="N365" s="19" t="s">
        <v>5937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 t="s">
        <v>101</v>
      </c>
      <c r="Z365" s="19" t="s">
        <v>102</v>
      </c>
      <c r="AA365" s="19" t="s">
        <v>103</v>
      </c>
      <c r="AB365" s="19" t="s">
        <v>143</v>
      </c>
      <c r="AC365" s="19" t="s">
        <v>144</v>
      </c>
      <c r="AD365" s="19" t="s">
        <v>5938</v>
      </c>
      <c r="AE365" s="19" t="s">
        <v>5939</v>
      </c>
      <c r="AF365" s="19"/>
      <c r="AG365" s="19" t="s">
        <v>5939</v>
      </c>
      <c r="AH365" s="19" t="s">
        <v>262</v>
      </c>
      <c r="AI365" s="19"/>
      <c r="AJ365" s="19" t="s">
        <v>5940</v>
      </c>
      <c r="AK365" s="19"/>
      <c r="AL365" s="19" t="s">
        <v>5941</v>
      </c>
      <c r="AM365" s="19" t="s">
        <v>5942</v>
      </c>
      <c r="AN365" s="19" t="s">
        <v>5943</v>
      </c>
      <c r="AO365" s="19" t="s">
        <v>154</v>
      </c>
      <c r="AP365" s="19" t="s">
        <v>155</v>
      </c>
      <c r="AQ365" s="19" t="s">
        <v>117</v>
      </c>
      <c r="AR365" s="19" t="s">
        <v>156</v>
      </c>
      <c r="AS365" s="19" t="s">
        <v>157</v>
      </c>
      <c r="AT365" s="19" t="s">
        <v>158</v>
      </c>
      <c r="AU365" s="19"/>
      <c r="AV365" s="19" t="s">
        <v>122</v>
      </c>
      <c r="AW365" s="19"/>
      <c r="AX365" s="19" t="s">
        <v>124</v>
      </c>
      <c r="AY365" s="19" t="s">
        <v>159</v>
      </c>
      <c r="AZ365" s="19" t="s">
        <v>160</v>
      </c>
      <c r="BA365" s="20">
        <v>44676</v>
      </c>
      <c r="BB365" s="19" t="s">
        <v>5944</v>
      </c>
      <c r="BC365" s="19" t="s">
        <v>5945</v>
      </c>
      <c r="BD365" s="19" t="s">
        <v>5945</v>
      </c>
      <c r="BE365" s="19" t="s">
        <v>130</v>
      </c>
      <c r="BF365" s="19" t="s">
        <v>5946</v>
      </c>
      <c r="BG365" s="19"/>
      <c r="BH365" s="19" t="s">
        <v>5947</v>
      </c>
      <c r="BI365" s="19" t="s">
        <v>5947</v>
      </c>
      <c r="BJ365" s="19" t="s">
        <v>166</v>
      </c>
      <c r="BK365" s="19" t="s">
        <v>167</v>
      </c>
      <c r="BL365" s="19" t="s">
        <v>168</v>
      </c>
      <c r="BM365" s="19" t="s">
        <v>169</v>
      </c>
      <c r="BN365" s="21">
        <v>39.956000000000003</v>
      </c>
      <c r="BO365" s="21">
        <v>1521.9240400000001</v>
      </c>
      <c r="BQ365" s="2"/>
      <c r="BR365" s="2"/>
      <c r="BS365" s="2"/>
      <c r="BT365" s="2"/>
      <c r="BU365" s="22"/>
      <c r="BV365" s="2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</row>
    <row r="366" spans="1:95" x14ac:dyDescent="0.25">
      <c r="A366" s="18">
        <v>363</v>
      </c>
      <c r="B366" s="19" t="s">
        <v>5948</v>
      </c>
      <c r="C366" s="19" t="s">
        <v>5949</v>
      </c>
      <c r="D366" s="20">
        <v>46020</v>
      </c>
      <c r="E366" s="20">
        <v>28253</v>
      </c>
      <c r="F366" s="19"/>
      <c r="G366" s="19"/>
      <c r="H366" s="19" t="s">
        <v>94</v>
      </c>
      <c r="I366" s="19"/>
      <c r="J366" s="19" t="s">
        <v>3080</v>
      </c>
      <c r="K366" s="19" t="s">
        <v>3081</v>
      </c>
      <c r="L366" s="19" t="s">
        <v>244</v>
      </c>
      <c r="M366" s="19" t="s">
        <v>245</v>
      </c>
      <c r="N366" s="19" t="s">
        <v>5950</v>
      </c>
      <c r="O366" s="19" t="s">
        <v>100</v>
      </c>
      <c r="P366" s="19"/>
      <c r="Q366" s="19"/>
      <c r="R366" s="19"/>
      <c r="S366" s="19"/>
      <c r="T366" s="19"/>
      <c r="U366" s="19"/>
      <c r="V366" s="19"/>
      <c r="W366" s="19"/>
      <c r="X366" s="19"/>
      <c r="Y366" s="19" t="s">
        <v>101</v>
      </c>
      <c r="Z366" s="19" t="s">
        <v>102</v>
      </c>
      <c r="AA366" s="19" t="s">
        <v>103</v>
      </c>
      <c r="AB366" s="19" t="s">
        <v>402</v>
      </c>
      <c r="AC366" s="19" t="s">
        <v>403</v>
      </c>
      <c r="AD366" s="19" t="s">
        <v>5951</v>
      </c>
      <c r="AE366" s="19" t="s">
        <v>5952</v>
      </c>
      <c r="AF366" s="19" t="s">
        <v>5953</v>
      </c>
      <c r="AG366" s="19" t="s">
        <v>109</v>
      </c>
      <c r="AH366" s="19" t="s">
        <v>110</v>
      </c>
      <c r="AI366" s="19" t="s">
        <v>111</v>
      </c>
      <c r="AJ366" s="19" t="s">
        <v>5954</v>
      </c>
      <c r="AK366" s="19"/>
      <c r="AL366" s="19"/>
      <c r="AM366" s="19" t="s">
        <v>5955</v>
      </c>
      <c r="AN366" s="19" t="s">
        <v>5956</v>
      </c>
      <c r="AO366" s="19" t="s">
        <v>5957</v>
      </c>
      <c r="AP366" s="19" t="s">
        <v>5958</v>
      </c>
      <c r="AQ366" s="19" t="s">
        <v>117</v>
      </c>
      <c r="AR366" s="19" t="s">
        <v>5959</v>
      </c>
      <c r="AS366" s="19" t="s">
        <v>5960</v>
      </c>
      <c r="AT366" s="19" t="s">
        <v>5960</v>
      </c>
      <c r="AU366" s="19"/>
      <c r="AV366" s="19" t="s">
        <v>5961</v>
      </c>
      <c r="AW366" s="19" t="s">
        <v>5962</v>
      </c>
      <c r="AX366" s="19" t="s">
        <v>110</v>
      </c>
      <c r="AY366" s="19" t="s">
        <v>5963</v>
      </c>
      <c r="AZ366" s="19" t="s">
        <v>5964</v>
      </c>
      <c r="BA366" s="20">
        <v>45908</v>
      </c>
      <c r="BB366" s="19" t="s">
        <v>331</v>
      </c>
      <c r="BC366" s="19" t="s">
        <v>5965</v>
      </c>
      <c r="BD366" s="19" t="s">
        <v>129</v>
      </c>
      <c r="BE366" s="19" t="s">
        <v>130</v>
      </c>
      <c r="BF366" s="19" t="s">
        <v>5966</v>
      </c>
      <c r="BG366" s="19"/>
      <c r="BH366" s="19" t="s">
        <v>5967</v>
      </c>
      <c r="BI366" s="19" t="s">
        <v>5967</v>
      </c>
      <c r="BJ366" s="19" t="s">
        <v>166</v>
      </c>
      <c r="BK366" s="19" t="s">
        <v>3183</v>
      </c>
      <c r="BL366" s="19" t="s">
        <v>109</v>
      </c>
      <c r="BM366" s="19" t="s">
        <v>135</v>
      </c>
      <c r="BN366" s="21">
        <v>53.220999999999997</v>
      </c>
      <c r="BO366" s="21">
        <v>100764.91593</v>
      </c>
      <c r="BQ366" s="2"/>
      <c r="BR366" s="2"/>
      <c r="BS366" s="2"/>
      <c r="BT366" s="2"/>
      <c r="BU366" s="22"/>
      <c r="BV366" s="2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</row>
    <row r="367" spans="1:95" x14ac:dyDescent="0.25">
      <c r="A367" s="18">
        <v>364</v>
      </c>
      <c r="B367" s="19" t="s">
        <v>5968</v>
      </c>
      <c r="C367" s="19" t="s">
        <v>5969</v>
      </c>
      <c r="D367" s="20">
        <v>46022</v>
      </c>
      <c r="E367" s="20">
        <v>35504</v>
      </c>
      <c r="F367" s="19" t="s">
        <v>5970</v>
      </c>
      <c r="G367" s="19" t="s">
        <v>139</v>
      </c>
      <c r="H367" s="19" t="s">
        <v>94</v>
      </c>
      <c r="I367" s="19"/>
      <c r="J367" s="19"/>
      <c r="K367" s="19"/>
      <c r="L367" s="19" t="s">
        <v>244</v>
      </c>
      <c r="M367" s="19" t="s">
        <v>245</v>
      </c>
      <c r="N367" s="19" t="s">
        <v>5971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 t="s">
        <v>101</v>
      </c>
      <c r="Z367" s="19" t="s">
        <v>102</v>
      </c>
      <c r="AA367" s="19" t="s">
        <v>103</v>
      </c>
      <c r="AB367" s="19" t="s">
        <v>173</v>
      </c>
      <c r="AC367" s="19" t="s">
        <v>174</v>
      </c>
      <c r="AD367" s="19" t="s">
        <v>5972</v>
      </c>
      <c r="AE367" s="19" t="s">
        <v>5973</v>
      </c>
      <c r="AF367" s="19" t="s">
        <v>1187</v>
      </c>
      <c r="AG367" s="19" t="s">
        <v>2056</v>
      </c>
      <c r="AH367" s="19" t="s">
        <v>1015</v>
      </c>
      <c r="AI367" s="19"/>
      <c r="AJ367" s="19" t="s">
        <v>5974</v>
      </c>
      <c r="AK367" s="19"/>
      <c r="AL367" s="19" t="s">
        <v>5975</v>
      </c>
      <c r="AM367" s="19" t="s">
        <v>5976</v>
      </c>
      <c r="AN367" s="19" t="s">
        <v>5977</v>
      </c>
      <c r="AO367" s="19" t="s">
        <v>154</v>
      </c>
      <c r="AP367" s="19" t="s">
        <v>155</v>
      </c>
      <c r="AQ367" s="19" t="s">
        <v>117</v>
      </c>
      <c r="AR367" s="19" t="s">
        <v>156</v>
      </c>
      <c r="AS367" s="19" t="s">
        <v>157</v>
      </c>
      <c r="AT367" s="19" t="s">
        <v>158</v>
      </c>
      <c r="AU367" s="19"/>
      <c r="AV367" s="19" t="s">
        <v>122</v>
      </c>
      <c r="AW367" s="19"/>
      <c r="AX367" s="19" t="s">
        <v>124</v>
      </c>
      <c r="AY367" s="19" t="s">
        <v>159</v>
      </c>
      <c r="AZ367" s="19" t="s">
        <v>160</v>
      </c>
      <c r="BA367" s="20">
        <v>44676</v>
      </c>
      <c r="BB367" s="19" t="s">
        <v>331</v>
      </c>
      <c r="BC367" s="19" t="s">
        <v>5978</v>
      </c>
      <c r="BD367" s="19" t="s">
        <v>2056</v>
      </c>
      <c r="BE367" s="19" t="s">
        <v>130</v>
      </c>
      <c r="BF367" s="19" t="s">
        <v>5979</v>
      </c>
      <c r="BG367" s="19"/>
      <c r="BH367" s="19" t="s">
        <v>5980</v>
      </c>
      <c r="BI367" s="19" t="s">
        <v>5980</v>
      </c>
      <c r="BJ367" s="19" t="s">
        <v>166</v>
      </c>
      <c r="BK367" s="19" t="s">
        <v>167</v>
      </c>
      <c r="BL367" s="19" t="s">
        <v>168</v>
      </c>
      <c r="BM367" s="19" t="s">
        <v>169</v>
      </c>
      <c r="BN367" s="21">
        <v>28.228000000000002</v>
      </c>
      <c r="BO367" s="21">
        <v>999.95431759999997</v>
      </c>
      <c r="BQ367" s="2"/>
      <c r="BR367" s="2"/>
      <c r="BS367" s="2"/>
      <c r="BT367" s="2"/>
      <c r="BU367" s="22"/>
      <c r="BV367" s="2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</row>
    <row r="368" spans="1:95" x14ac:dyDescent="0.25">
      <c r="A368" s="18">
        <v>365</v>
      </c>
      <c r="B368" s="19" t="s">
        <v>5981</v>
      </c>
      <c r="C368" s="19" t="s">
        <v>5982</v>
      </c>
      <c r="D368" s="20">
        <v>46022</v>
      </c>
      <c r="E368" s="20">
        <v>31180</v>
      </c>
      <c r="F368" s="19" t="s">
        <v>5983</v>
      </c>
      <c r="G368" s="19" t="s">
        <v>139</v>
      </c>
      <c r="H368" s="19" t="s">
        <v>94</v>
      </c>
      <c r="I368" s="19"/>
      <c r="J368" s="19"/>
      <c r="K368" s="19"/>
      <c r="L368" s="19" t="s">
        <v>244</v>
      </c>
      <c r="M368" s="19" t="s">
        <v>245</v>
      </c>
      <c r="N368" s="19" t="s">
        <v>5984</v>
      </c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 t="s">
        <v>101</v>
      </c>
      <c r="Z368" s="19" t="s">
        <v>102</v>
      </c>
      <c r="AA368" s="19" t="s">
        <v>103</v>
      </c>
      <c r="AB368" s="19" t="s">
        <v>387</v>
      </c>
      <c r="AC368" s="19" t="s">
        <v>388</v>
      </c>
      <c r="AD368" s="19" t="s">
        <v>5985</v>
      </c>
      <c r="AE368" s="19" t="s">
        <v>5986</v>
      </c>
      <c r="AF368" s="19" t="s">
        <v>5987</v>
      </c>
      <c r="AG368" s="19" t="s">
        <v>5988</v>
      </c>
      <c r="AH368" s="19" t="s">
        <v>1808</v>
      </c>
      <c r="AI368" s="19"/>
      <c r="AJ368" s="19" t="s">
        <v>5989</v>
      </c>
      <c r="AK368" s="19"/>
      <c r="AL368" s="19"/>
      <c r="AM368" s="19" t="s">
        <v>5990</v>
      </c>
      <c r="AN368" s="19" t="s">
        <v>5991</v>
      </c>
      <c r="AO368" s="19" t="s">
        <v>255</v>
      </c>
      <c r="AP368" s="19" t="s">
        <v>256</v>
      </c>
      <c r="AQ368" s="19" t="s">
        <v>117</v>
      </c>
      <c r="AR368" s="19" t="s">
        <v>257</v>
      </c>
      <c r="AS368" s="19" t="s">
        <v>258</v>
      </c>
      <c r="AT368" s="19" t="s">
        <v>259</v>
      </c>
      <c r="AU368" s="19" t="s">
        <v>260</v>
      </c>
      <c r="AV368" s="19" t="s">
        <v>260</v>
      </c>
      <c r="AW368" s="19" t="s">
        <v>261</v>
      </c>
      <c r="AX368" s="19" t="s">
        <v>262</v>
      </c>
      <c r="AY368" s="19" t="s">
        <v>263</v>
      </c>
      <c r="AZ368" s="19" t="s">
        <v>264</v>
      </c>
      <c r="BA368" s="20">
        <v>43627</v>
      </c>
      <c r="BB368" s="19" t="s">
        <v>349</v>
      </c>
      <c r="BC368" s="19" t="s">
        <v>5992</v>
      </c>
      <c r="BD368" s="19" t="s">
        <v>1807</v>
      </c>
      <c r="BE368" s="19" t="s">
        <v>130</v>
      </c>
      <c r="BF368" s="19" t="s">
        <v>5993</v>
      </c>
      <c r="BG368" s="19"/>
      <c r="BH368" s="19" t="s">
        <v>5994</v>
      </c>
      <c r="BI368" s="19" t="s">
        <v>5994</v>
      </c>
      <c r="BJ368" s="19" t="s">
        <v>166</v>
      </c>
      <c r="BK368" s="19" t="s">
        <v>167</v>
      </c>
      <c r="BL368" s="19" t="s">
        <v>168</v>
      </c>
      <c r="BM368" s="19" t="s">
        <v>169</v>
      </c>
      <c r="BN368" s="21">
        <v>0.94199999999999995</v>
      </c>
      <c r="BO368" s="21">
        <v>2000.3841</v>
      </c>
      <c r="BQ368" s="2"/>
      <c r="BR368" s="2"/>
      <c r="BS368" s="2"/>
      <c r="BT368" s="2"/>
      <c r="BU368" s="22"/>
      <c r="BV368" s="2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</row>
    <row r="369" spans="1:95" x14ac:dyDescent="0.25">
      <c r="A369" s="18">
        <v>366</v>
      </c>
      <c r="B369" s="19" t="s">
        <v>5995</v>
      </c>
      <c r="C369" s="19" t="s">
        <v>5996</v>
      </c>
      <c r="D369" s="20">
        <v>46022</v>
      </c>
      <c r="E369" s="20">
        <v>35858</v>
      </c>
      <c r="F369" s="19"/>
      <c r="G369" s="19"/>
      <c r="H369" s="19" t="s">
        <v>94</v>
      </c>
      <c r="I369" s="19"/>
      <c r="J369" s="19"/>
      <c r="K369" s="19"/>
      <c r="L369" s="19" t="s">
        <v>101</v>
      </c>
      <c r="M369" s="19" t="s">
        <v>290</v>
      </c>
      <c r="N369" s="19" t="s">
        <v>5997</v>
      </c>
      <c r="O369" s="19" t="s">
        <v>100</v>
      </c>
      <c r="P369" s="19"/>
      <c r="Q369" s="19"/>
      <c r="R369" s="19"/>
      <c r="S369" s="19"/>
      <c r="T369" s="19"/>
      <c r="U369" s="19"/>
      <c r="V369" s="19"/>
      <c r="W369" s="19"/>
      <c r="X369" s="19"/>
      <c r="Y369" s="19" t="s">
        <v>101</v>
      </c>
      <c r="Z369" s="19" t="s">
        <v>102</v>
      </c>
      <c r="AA369" s="19" t="s">
        <v>103</v>
      </c>
      <c r="AB369" s="19" t="s">
        <v>104</v>
      </c>
      <c r="AC369" s="19" t="s">
        <v>105</v>
      </c>
      <c r="AD369" s="19" t="s">
        <v>5998</v>
      </c>
      <c r="AE369" s="19" t="s">
        <v>5999</v>
      </c>
      <c r="AF369" s="19" t="s">
        <v>6000</v>
      </c>
      <c r="AG369" s="19" t="s">
        <v>5157</v>
      </c>
      <c r="AH369" s="19" t="s">
        <v>124</v>
      </c>
      <c r="AI369" s="19" t="s">
        <v>111</v>
      </c>
      <c r="AJ369" s="19" t="s">
        <v>6001</v>
      </c>
      <c r="AK369" s="19"/>
      <c r="AL369" s="19"/>
      <c r="AM369" s="19" t="s">
        <v>6002</v>
      </c>
      <c r="AN369" s="19" t="s">
        <v>6003</v>
      </c>
      <c r="AO369" s="19" t="s">
        <v>208</v>
      </c>
      <c r="AP369" s="19" t="s">
        <v>209</v>
      </c>
      <c r="AQ369" s="19" t="s">
        <v>117</v>
      </c>
      <c r="AR369" s="19" t="s">
        <v>210</v>
      </c>
      <c r="AS369" s="19" t="s">
        <v>211</v>
      </c>
      <c r="AT369" s="19" t="s">
        <v>212</v>
      </c>
      <c r="AU369" s="19" t="s">
        <v>213</v>
      </c>
      <c r="AV369" s="19" t="s">
        <v>214</v>
      </c>
      <c r="AW369" s="19" t="s">
        <v>215</v>
      </c>
      <c r="AX369" s="19" t="s">
        <v>149</v>
      </c>
      <c r="AY369" s="19" t="s">
        <v>216</v>
      </c>
      <c r="AZ369" s="19" t="s">
        <v>217</v>
      </c>
      <c r="BA369" s="20">
        <v>35521</v>
      </c>
      <c r="BB369" s="19" t="s">
        <v>363</v>
      </c>
      <c r="BC369" s="19" t="s">
        <v>6004</v>
      </c>
      <c r="BD369" s="19" t="s">
        <v>6005</v>
      </c>
      <c r="BE369" s="19" t="s">
        <v>130</v>
      </c>
      <c r="BF369" s="19" t="s">
        <v>6006</v>
      </c>
      <c r="BG369" s="19"/>
      <c r="BH369" s="19" t="s">
        <v>6007</v>
      </c>
      <c r="BI369" s="19" t="s">
        <v>6007</v>
      </c>
      <c r="BJ369" s="19" t="s">
        <v>1259</v>
      </c>
      <c r="BK369" s="19" t="s">
        <v>1491</v>
      </c>
      <c r="BL369" s="19" t="s">
        <v>122</v>
      </c>
      <c r="BM369" s="19" t="s">
        <v>196</v>
      </c>
      <c r="BN369" s="21">
        <v>43.378</v>
      </c>
      <c r="BO369" s="21">
        <v>19998.993119999999</v>
      </c>
      <c r="BQ369" s="2"/>
      <c r="BR369" s="2"/>
      <c r="BS369" s="2"/>
      <c r="BT369" s="2"/>
      <c r="BU369" s="22"/>
      <c r="BV369" s="2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</row>
    <row r="370" spans="1:95" x14ac:dyDescent="0.25">
      <c r="A370" s="18">
        <v>367</v>
      </c>
      <c r="B370" s="19" t="s">
        <v>6008</v>
      </c>
      <c r="C370" s="19" t="s">
        <v>6009</v>
      </c>
      <c r="D370" s="20">
        <v>45999</v>
      </c>
      <c r="E370" s="20">
        <v>36663</v>
      </c>
      <c r="F370" s="19"/>
      <c r="G370" s="19"/>
      <c r="H370" s="19" t="s">
        <v>94</v>
      </c>
      <c r="I370" s="19"/>
      <c r="J370" s="19" t="s">
        <v>287</v>
      </c>
      <c r="K370" s="19" t="s">
        <v>288</v>
      </c>
      <c r="L370" s="19" t="s">
        <v>97</v>
      </c>
      <c r="M370" s="19" t="s">
        <v>98</v>
      </c>
      <c r="N370" s="19" t="s">
        <v>6010</v>
      </c>
      <c r="O370" s="19" t="s">
        <v>100</v>
      </c>
      <c r="P370" s="19"/>
      <c r="Q370" s="19"/>
      <c r="R370" s="19"/>
      <c r="S370" s="19"/>
      <c r="T370" s="19"/>
      <c r="U370" s="19"/>
      <c r="V370" s="19"/>
      <c r="W370" s="19"/>
      <c r="X370" s="19"/>
      <c r="Y370" s="19" t="s">
        <v>101</v>
      </c>
      <c r="Z370" s="19" t="s">
        <v>102</v>
      </c>
      <c r="AA370" s="19" t="s">
        <v>103</v>
      </c>
      <c r="AB370" s="19" t="s">
        <v>1347</v>
      </c>
      <c r="AC370" s="19" t="s">
        <v>1348</v>
      </c>
      <c r="AD370" s="19" t="s">
        <v>6011</v>
      </c>
      <c r="AE370" s="19" t="s">
        <v>6012</v>
      </c>
      <c r="AF370" s="19" t="s">
        <v>6013</v>
      </c>
      <c r="AG370" s="19" t="s">
        <v>6014</v>
      </c>
      <c r="AH370" s="19" t="s">
        <v>149</v>
      </c>
      <c r="AI370" s="19" t="s">
        <v>111</v>
      </c>
      <c r="AJ370" s="19" t="s">
        <v>6015</v>
      </c>
      <c r="AK370" s="19"/>
      <c r="AL370" s="19"/>
      <c r="AM370" s="19" t="s">
        <v>6016</v>
      </c>
      <c r="AN370" s="19" t="s">
        <v>6017</v>
      </c>
      <c r="AO370" s="19" t="s">
        <v>6018</v>
      </c>
      <c r="AP370" s="19" t="s">
        <v>6019</v>
      </c>
      <c r="AQ370" s="19" t="s">
        <v>117</v>
      </c>
      <c r="AR370" s="19" t="s">
        <v>6020</v>
      </c>
      <c r="AS370" s="19" t="s">
        <v>6021</v>
      </c>
      <c r="AT370" s="19" t="s">
        <v>6022</v>
      </c>
      <c r="AU370" s="19"/>
      <c r="AV370" s="19" t="s">
        <v>6023</v>
      </c>
      <c r="AW370" s="19" t="s">
        <v>6024</v>
      </c>
      <c r="AX370" s="19" t="s">
        <v>149</v>
      </c>
      <c r="AY370" s="19" t="s">
        <v>6025</v>
      </c>
      <c r="AZ370" s="19" t="s">
        <v>6026</v>
      </c>
      <c r="BA370" s="20">
        <v>42861</v>
      </c>
      <c r="BB370" s="19" t="s">
        <v>331</v>
      </c>
      <c r="BC370" s="19" t="s">
        <v>6027</v>
      </c>
      <c r="BD370" s="19" t="s">
        <v>6014</v>
      </c>
      <c r="BE370" s="19" t="s">
        <v>130</v>
      </c>
      <c r="BF370" s="19" t="s">
        <v>6028</v>
      </c>
      <c r="BG370" s="19" t="s">
        <v>6029</v>
      </c>
      <c r="BH370" s="19" t="s">
        <v>6030</v>
      </c>
      <c r="BI370" s="19" t="s">
        <v>6030</v>
      </c>
      <c r="BJ370" s="19" t="s">
        <v>1934</v>
      </c>
      <c r="BK370" s="19" t="s">
        <v>6031</v>
      </c>
      <c r="BL370" s="19" t="s">
        <v>6023</v>
      </c>
      <c r="BM370" s="19" t="s">
        <v>196</v>
      </c>
      <c r="BN370" s="21">
        <v>185.864</v>
      </c>
      <c r="BO370" s="21">
        <v>2020.34168</v>
      </c>
      <c r="BQ370" s="2"/>
      <c r="BR370" s="2"/>
      <c r="BS370" s="2"/>
      <c r="BT370" s="2"/>
      <c r="BU370" s="22"/>
      <c r="BV370" s="2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</row>
    <row r="371" spans="1:95" x14ac:dyDescent="0.25">
      <c r="A371" s="18">
        <v>368</v>
      </c>
      <c r="B371" s="19" t="s">
        <v>6032</v>
      </c>
      <c r="C371" s="19" t="s">
        <v>6033</v>
      </c>
      <c r="D371" s="20">
        <v>45999</v>
      </c>
      <c r="E371" s="20">
        <v>38407</v>
      </c>
      <c r="F371" s="19"/>
      <c r="G371" s="19"/>
      <c r="H371" s="19" t="s">
        <v>94</v>
      </c>
      <c r="I371" s="19"/>
      <c r="J371" s="19"/>
      <c r="K371" s="19"/>
      <c r="L371" s="19" t="s">
        <v>140</v>
      </c>
      <c r="M371" s="19" t="s">
        <v>141</v>
      </c>
      <c r="N371" s="19" t="s">
        <v>6034</v>
      </c>
      <c r="O371" s="19" t="s">
        <v>100</v>
      </c>
      <c r="P371" s="19"/>
      <c r="Q371" s="19"/>
      <c r="R371" s="19"/>
      <c r="S371" s="19"/>
      <c r="T371" s="19"/>
      <c r="U371" s="19"/>
      <c r="V371" s="19"/>
      <c r="W371" s="19"/>
      <c r="X371" s="19"/>
      <c r="Y371" s="19" t="s">
        <v>101</v>
      </c>
      <c r="Z371" s="19" t="s">
        <v>102</v>
      </c>
      <c r="AA371" s="19" t="s">
        <v>103</v>
      </c>
      <c r="AB371" s="19" t="s">
        <v>173</v>
      </c>
      <c r="AC371" s="19" t="s">
        <v>174</v>
      </c>
      <c r="AD371" s="19" t="s">
        <v>6035</v>
      </c>
      <c r="AE371" s="19" t="s">
        <v>6036</v>
      </c>
      <c r="AF371" s="19" t="s">
        <v>6037</v>
      </c>
      <c r="AG371" s="19" t="s">
        <v>490</v>
      </c>
      <c r="AH371" s="19" t="s">
        <v>262</v>
      </c>
      <c r="AI371" s="19" t="s">
        <v>111</v>
      </c>
      <c r="AJ371" s="19" t="s">
        <v>6038</v>
      </c>
      <c r="AK371" s="19"/>
      <c r="AL371" s="19"/>
      <c r="AM371" s="19" t="s">
        <v>6039</v>
      </c>
      <c r="AN371" s="19" t="s">
        <v>6040</v>
      </c>
      <c r="AO371" s="19" t="s">
        <v>181</v>
      </c>
      <c r="AP371" s="19" t="s">
        <v>182</v>
      </c>
      <c r="AQ371" s="19" t="s">
        <v>117</v>
      </c>
      <c r="AR371" s="19" t="s">
        <v>183</v>
      </c>
      <c r="AS371" s="19" t="s">
        <v>184</v>
      </c>
      <c r="AT371" s="19" t="s">
        <v>185</v>
      </c>
      <c r="AU371" s="19"/>
      <c r="AV371" s="19" t="s">
        <v>186</v>
      </c>
      <c r="AW371" s="19" t="s">
        <v>187</v>
      </c>
      <c r="AX371" s="19" t="s">
        <v>188</v>
      </c>
      <c r="AY371" s="19"/>
      <c r="AZ371" s="19" t="s">
        <v>189</v>
      </c>
      <c r="BA371" s="20">
        <v>44673</v>
      </c>
      <c r="BB371" s="19" t="s">
        <v>331</v>
      </c>
      <c r="BC371" s="19" t="s">
        <v>6041</v>
      </c>
      <c r="BD371" s="19" t="s">
        <v>6041</v>
      </c>
      <c r="BE371" s="19" t="s">
        <v>130</v>
      </c>
      <c r="BF371" s="19" t="s">
        <v>6042</v>
      </c>
      <c r="BG371" s="19"/>
      <c r="BH371" s="19" t="s">
        <v>6043</v>
      </c>
      <c r="BI371" s="19" t="s">
        <v>6043</v>
      </c>
      <c r="BJ371" s="19" t="s">
        <v>194</v>
      </c>
      <c r="BK371" s="19" t="s">
        <v>195</v>
      </c>
      <c r="BL371" s="19" t="s">
        <v>122</v>
      </c>
      <c r="BM371" s="19" t="s">
        <v>196</v>
      </c>
      <c r="BN371" s="21">
        <v>3.5779999999999998</v>
      </c>
      <c r="BO371" s="21">
        <v>126.7477876</v>
      </c>
      <c r="BQ371" s="2"/>
      <c r="BR371" s="2"/>
      <c r="BS371" s="2"/>
      <c r="BT371" s="2"/>
      <c r="BU371" s="22"/>
      <c r="BV371" s="2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</row>
    <row r="372" spans="1:95" x14ac:dyDescent="0.25">
      <c r="A372" s="18">
        <v>369</v>
      </c>
      <c r="B372" s="19" t="s">
        <v>6044</v>
      </c>
      <c r="C372" s="19" t="s">
        <v>6045</v>
      </c>
      <c r="D372" s="20">
        <v>45996</v>
      </c>
      <c r="E372" s="20">
        <v>36600</v>
      </c>
      <c r="F372" s="19" t="s">
        <v>6046</v>
      </c>
      <c r="G372" s="19" t="s">
        <v>139</v>
      </c>
      <c r="H372" s="19" t="s">
        <v>94</v>
      </c>
      <c r="I372" s="19"/>
      <c r="J372" s="19"/>
      <c r="K372" s="19"/>
      <c r="L372" s="19" t="s">
        <v>244</v>
      </c>
      <c r="M372" s="19" t="s">
        <v>245</v>
      </c>
      <c r="N372" s="19" t="s">
        <v>6047</v>
      </c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 t="s">
        <v>101</v>
      </c>
      <c r="Z372" s="19" t="s">
        <v>102</v>
      </c>
      <c r="AA372" s="19" t="s">
        <v>103</v>
      </c>
      <c r="AB372" s="19" t="s">
        <v>143</v>
      </c>
      <c r="AC372" s="19" t="s">
        <v>144</v>
      </c>
      <c r="AD372" s="19" t="s">
        <v>6048</v>
      </c>
      <c r="AE372" s="19" t="s">
        <v>6049</v>
      </c>
      <c r="AF372" s="19" t="s">
        <v>6050</v>
      </c>
      <c r="AG372" s="19" t="s">
        <v>6051</v>
      </c>
      <c r="AH372" s="19" t="s">
        <v>110</v>
      </c>
      <c r="AI372" s="19" t="s">
        <v>111</v>
      </c>
      <c r="AJ372" s="19" t="s">
        <v>6052</v>
      </c>
      <c r="AK372" s="19"/>
      <c r="AL372" s="19"/>
      <c r="AM372" s="19" t="s">
        <v>6053</v>
      </c>
      <c r="AN372" s="19" t="s">
        <v>6054</v>
      </c>
      <c r="AO372" s="19" t="s">
        <v>255</v>
      </c>
      <c r="AP372" s="19" t="s">
        <v>256</v>
      </c>
      <c r="AQ372" s="19" t="s">
        <v>117</v>
      </c>
      <c r="AR372" s="19" t="s">
        <v>257</v>
      </c>
      <c r="AS372" s="19" t="s">
        <v>258</v>
      </c>
      <c r="AT372" s="19" t="s">
        <v>259</v>
      </c>
      <c r="AU372" s="19" t="s">
        <v>260</v>
      </c>
      <c r="AV372" s="19" t="s">
        <v>260</v>
      </c>
      <c r="AW372" s="19" t="s">
        <v>261</v>
      </c>
      <c r="AX372" s="19" t="s">
        <v>262</v>
      </c>
      <c r="AY372" s="19" t="s">
        <v>263</v>
      </c>
      <c r="AZ372" s="19" t="s">
        <v>264</v>
      </c>
      <c r="BA372" s="20">
        <v>43627</v>
      </c>
      <c r="BB372" s="19" t="s">
        <v>444</v>
      </c>
      <c r="BC372" s="19" t="s">
        <v>6055</v>
      </c>
      <c r="BD372" s="19" t="s">
        <v>129</v>
      </c>
      <c r="BE372" s="19" t="s">
        <v>130</v>
      </c>
      <c r="BF372" s="19" t="s">
        <v>6056</v>
      </c>
      <c r="BG372" s="19"/>
      <c r="BH372" s="19" t="s">
        <v>6057</v>
      </c>
      <c r="BI372" s="19" t="s">
        <v>6057</v>
      </c>
      <c r="BJ372" s="19" t="s">
        <v>166</v>
      </c>
      <c r="BK372" s="19" t="s">
        <v>167</v>
      </c>
      <c r="BL372" s="19" t="s">
        <v>168</v>
      </c>
      <c r="BM372" s="19" t="s">
        <v>169</v>
      </c>
      <c r="BN372" s="21">
        <v>67.021000000000001</v>
      </c>
      <c r="BO372" s="21">
        <v>2552.82989</v>
      </c>
      <c r="BQ372" s="2"/>
      <c r="BR372" s="2"/>
      <c r="BS372" s="2"/>
      <c r="BT372" s="2"/>
      <c r="BU372" s="22"/>
      <c r="BV372" s="2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</row>
    <row r="373" spans="1:95" x14ac:dyDescent="0.25">
      <c r="A373" s="18">
        <v>370</v>
      </c>
      <c r="B373" s="19" t="s">
        <v>6058</v>
      </c>
      <c r="C373" s="19" t="s">
        <v>6059</v>
      </c>
      <c r="D373" s="20">
        <v>46020</v>
      </c>
      <c r="E373" s="20">
        <v>41928</v>
      </c>
      <c r="F373" s="19"/>
      <c r="G373" s="19"/>
      <c r="H373" s="19" t="s">
        <v>94</v>
      </c>
      <c r="I373" s="19"/>
      <c r="J373" s="19"/>
      <c r="K373" s="19"/>
      <c r="L373" s="19" t="s">
        <v>101</v>
      </c>
      <c r="M373" s="19" t="s">
        <v>290</v>
      </c>
      <c r="N373" s="19" t="s">
        <v>6060</v>
      </c>
      <c r="O373" s="19" t="s">
        <v>100</v>
      </c>
      <c r="P373" s="19"/>
      <c r="Q373" s="19"/>
      <c r="R373" s="19"/>
      <c r="S373" s="19"/>
      <c r="T373" s="19"/>
      <c r="U373" s="19"/>
      <c r="V373" s="19"/>
      <c r="W373" s="19"/>
      <c r="X373" s="19"/>
      <c r="Y373" s="19" t="s">
        <v>3821</v>
      </c>
      <c r="Z373" s="19" t="s">
        <v>6061</v>
      </c>
      <c r="AA373" s="19" t="s">
        <v>719</v>
      </c>
      <c r="AB373" s="19" t="s">
        <v>1025</v>
      </c>
      <c r="AC373" s="19" t="s">
        <v>1026</v>
      </c>
      <c r="AD373" s="19" t="s">
        <v>6062</v>
      </c>
      <c r="AE373" s="19" t="s">
        <v>6063</v>
      </c>
      <c r="AF373" s="19" t="s">
        <v>6064</v>
      </c>
      <c r="AG373" s="19" t="s">
        <v>219</v>
      </c>
      <c r="AH373" s="19" t="s">
        <v>124</v>
      </c>
      <c r="AI373" s="19" t="s">
        <v>111</v>
      </c>
      <c r="AJ373" s="19" t="s">
        <v>6065</v>
      </c>
      <c r="AK373" s="19"/>
      <c r="AL373" s="19"/>
      <c r="AM373" s="19" t="s">
        <v>6066</v>
      </c>
      <c r="AN373" s="19" t="s">
        <v>6067</v>
      </c>
      <c r="AO373" s="19" t="s">
        <v>6068</v>
      </c>
      <c r="AP373" s="19" t="s">
        <v>6069</v>
      </c>
      <c r="AQ373" s="19" t="s">
        <v>117</v>
      </c>
      <c r="AR373" s="19" t="s">
        <v>6070</v>
      </c>
      <c r="AS373" s="19" t="s">
        <v>6071</v>
      </c>
      <c r="AT373" s="19" t="s">
        <v>6072</v>
      </c>
      <c r="AU373" s="19" t="s">
        <v>6073</v>
      </c>
      <c r="AV373" s="19" t="s">
        <v>122</v>
      </c>
      <c r="AW373" s="19" t="s">
        <v>6074</v>
      </c>
      <c r="AX373" s="19" t="s">
        <v>124</v>
      </c>
      <c r="AY373" s="19" t="s">
        <v>6075</v>
      </c>
      <c r="AZ373" s="19" t="s">
        <v>6076</v>
      </c>
      <c r="BA373" s="20">
        <v>44749</v>
      </c>
      <c r="BB373" s="19" t="s">
        <v>460</v>
      </c>
      <c r="BC373" s="19" t="s">
        <v>6077</v>
      </c>
      <c r="BD373" s="19" t="s">
        <v>219</v>
      </c>
      <c r="BE373" s="19" t="s">
        <v>737</v>
      </c>
      <c r="BF373" s="19" t="s">
        <v>6078</v>
      </c>
      <c r="BG373" s="19"/>
      <c r="BH373" s="19" t="s">
        <v>6079</v>
      </c>
      <c r="BI373" s="19" t="s">
        <v>6079</v>
      </c>
      <c r="BJ373" s="19" t="s">
        <v>194</v>
      </c>
      <c r="BK373" s="19" t="s">
        <v>591</v>
      </c>
      <c r="BL373" s="19" t="s">
        <v>122</v>
      </c>
      <c r="BM373" s="19" t="s">
        <v>592</v>
      </c>
      <c r="BN373" s="21">
        <v>0</v>
      </c>
      <c r="BO373" s="21">
        <v>0</v>
      </c>
      <c r="BQ373" s="2"/>
      <c r="BR373" s="2"/>
      <c r="BS373" s="2"/>
      <c r="BT373" s="2"/>
      <c r="BU373" s="22"/>
      <c r="BV373" s="2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</row>
    <row r="374" spans="1:95" x14ac:dyDescent="0.25">
      <c r="A374" s="18">
        <v>371</v>
      </c>
      <c r="B374" s="19" t="s">
        <v>6080</v>
      </c>
      <c r="C374" s="19" t="s">
        <v>6081</v>
      </c>
      <c r="D374" s="20">
        <v>45993</v>
      </c>
      <c r="E374" s="20">
        <v>30919</v>
      </c>
      <c r="F374" s="19"/>
      <c r="G374" s="19"/>
      <c r="H374" s="19" t="s">
        <v>94</v>
      </c>
      <c r="I374" s="19"/>
      <c r="J374" s="19"/>
      <c r="K374" s="19"/>
      <c r="L374" s="19" t="s">
        <v>244</v>
      </c>
      <c r="M374" s="19" t="s">
        <v>245</v>
      </c>
      <c r="N374" s="19" t="s">
        <v>6082</v>
      </c>
      <c r="O374" s="19" t="s">
        <v>100</v>
      </c>
      <c r="P374" s="19"/>
      <c r="Q374" s="19"/>
      <c r="R374" s="19"/>
      <c r="S374" s="19"/>
      <c r="T374" s="19"/>
      <c r="U374" s="19"/>
      <c r="V374" s="19"/>
      <c r="W374" s="19"/>
      <c r="X374" s="19"/>
      <c r="Y374" s="19" t="s">
        <v>101</v>
      </c>
      <c r="Z374" s="19" t="s">
        <v>102</v>
      </c>
      <c r="AA374" s="19" t="s">
        <v>103</v>
      </c>
      <c r="AB374" s="19" t="s">
        <v>612</v>
      </c>
      <c r="AC374" s="19" t="s">
        <v>613</v>
      </c>
      <c r="AD374" s="19" t="s">
        <v>6083</v>
      </c>
      <c r="AE374" s="19" t="s">
        <v>6084</v>
      </c>
      <c r="AF374" s="19" t="s">
        <v>6085</v>
      </c>
      <c r="AG374" s="19" t="s">
        <v>6085</v>
      </c>
      <c r="AH374" s="19" t="s">
        <v>188</v>
      </c>
      <c r="AI374" s="19" t="s">
        <v>111</v>
      </c>
      <c r="AJ374" s="19" t="s">
        <v>3683</v>
      </c>
      <c r="AK374" s="19"/>
      <c r="AL374" s="19"/>
      <c r="AM374" s="19" t="s">
        <v>6086</v>
      </c>
      <c r="AN374" s="19" t="s">
        <v>6087</v>
      </c>
      <c r="AO374" s="19" t="s">
        <v>2307</v>
      </c>
      <c r="AP374" s="19" t="s">
        <v>2308</v>
      </c>
      <c r="AQ374" s="19" t="s">
        <v>94</v>
      </c>
      <c r="AR374" s="19" t="s">
        <v>2309</v>
      </c>
      <c r="AS374" s="19" t="s">
        <v>2310</v>
      </c>
      <c r="AT374" s="19" t="s">
        <v>2311</v>
      </c>
      <c r="AU374" s="19" t="s">
        <v>2312</v>
      </c>
      <c r="AV374" s="19" t="s">
        <v>122</v>
      </c>
      <c r="AW374" s="19" t="s">
        <v>2313</v>
      </c>
      <c r="AX374" s="19" t="s">
        <v>901</v>
      </c>
      <c r="AY374" s="19" t="s">
        <v>2314</v>
      </c>
      <c r="AZ374" s="19" t="s">
        <v>2315</v>
      </c>
      <c r="BA374" s="20">
        <v>43194</v>
      </c>
      <c r="BB374" s="19" t="s">
        <v>2308</v>
      </c>
      <c r="BC374" s="19" t="s">
        <v>6088</v>
      </c>
      <c r="BD374" s="19" t="s">
        <v>2800</v>
      </c>
      <c r="BE374" s="19" t="s">
        <v>130</v>
      </c>
      <c r="BF374" s="19" t="s">
        <v>6089</v>
      </c>
      <c r="BG374" s="19"/>
      <c r="BH374" s="19" t="s">
        <v>2319</v>
      </c>
      <c r="BI374" s="19" t="s">
        <v>2319</v>
      </c>
      <c r="BJ374" s="19" t="s">
        <v>166</v>
      </c>
      <c r="BK374" s="19" t="s">
        <v>195</v>
      </c>
      <c r="BL374" s="19" t="s">
        <v>122</v>
      </c>
      <c r="BM374" s="19" t="s">
        <v>196</v>
      </c>
      <c r="BN374" s="21">
        <v>1.831</v>
      </c>
      <c r="BO374" s="21">
        <v>1003.33307</v>
      </c>
      <c r="BQ374" s="2"/>
      <c r="BR374" s="2"/>
      <c r="BS374" s="2"/>
      <c r="BT374" s="2"/>
      <c r="BU374" s="22"/>
      <c r="BV374" s="2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</row>
    <row r="375" spans="1:95" x14ac:dyDescent="0.25">
      <c r="A375" s="18">
        <v>372</v>
      </c>
      <c r="B375" s="19" t="s">
        <v>6090</v>
      </c>
      <c r="C375" s="19" t="s">
        <v>6091</v>
      </c>
      <c r="D375" s="20">
        <v>46006</v>
      </c>
      <c r="E375" s="20">
        <v>27063</v>
      </c>
      <c r="F375" s="19"/>
      <c r="G375" s="19"/>
      <c r="H375" s="19" t="s">
        <v>94</v>
      </c>
      <c r="I375" s="19"/>
      <c r="J375" s="19" t="s">
        <v>287</v>
      </c>
      <c r="K375" s="19" t="s">
        <v>288</v>
      </c>
      <c r="L375" s="19" t="s">
        <v>140</v>
      </c>
      <c r="M375" s="19" t="s">
        <v>141</v>
      </c>
      <c r="N375" s="19" t="s">
        <v>6092</v>
      </c>
      <c r="O375" s="19" t="s">
        <v>100</v>
      </c>
      <c r="P375" s="19"/>
      <c r="Q375" s="19"/>
      <c r="R375" s="19"/>
      <c r="S375" s="19"/>
      <c r="T375" s="19"/>
      <c r="U375" s="19"/>
      <c r="V375" s="19"/>
      <c r="W375" s="19"/>
      <c r="X375" s="19"/>
      <c r="Y375" s="19" t="s">
        <v>101</v>
      </c>
      <c r="Z375" s="19" t="s">
        <v>102</v>
      </c>
      <c r="AA375" s="19" t="s">
        <v>103</v>
      </c>
      <c r="AB375" s="19" t="s">
        <v>6093</v>
      </c>
      <c r="AC375" s="19" t="s">
        <v>6094</v>
      </c>
      <c r="AD375" s="19" t="s">
        <v>6095</v>
      </c>
      <c r="AE375" s="19" t="s">
        <v>6096</v>
      </c>
      <c r="AF375" s="19"/>
      <c r="AG375" s="19" t="s">
        <v>3020</v>
      </c>
      <c r="AH375" s="19" t="s">
        <v>110</v>
      </c>
      <c r="AI375" s="19" t="s">
        <v>111</v>
      </c>
      <c r="AJ375" s="19" t="s">
        <v>6097</v>
      </c>
      <c r="AK375" s="19"/>
      <c r="AL375" s="19"/>
      <c r="AM375" s="19" t="s">
        <v>6098</v>
      </c>
      <c r="AN375" s="19" t="s">
        <v>6099</v>
      </c>
      <c r="AO375" s="19" t="s">
        <v>4616</v>
      </c>
      <c r="AP375" s="19" t="s">
        <v>2089</v>
      </c>
      <c r="AQ375" s="19" t="s">
        <v>117</v>
      </c>
      <c r="AR375" s="19" t="s">
        <v>2090</v>
      </c>
      <c r="AS375" s="19" t="s">
        <v>2091</v>
      </c>
      <c r="AT375" s="19" t="s">
        <v>2092</v>
      </c>
      <c r="AU375" s="19" t="s">
        <v>2093</v>
      </c>
      <c r="AV375" s="19" t="s">
        <v>122</v>
      </c>
      <c r="AW375" s="19" t="s">
        <v>2094</v>
      </c>
      <c r="AX375" s="19" t="s">
        <v>901</v>
      </c>
      <c r="AY375" s="19" t="s">
        <v>2095</v>
      </c>
      <c r="AZ375" s="19" t="s">
        <v>2096</v>
      </c>
      <c r="BA375" s="20">
        <v>37075</v>
      </c>
      <c r="BB375" s="19" t="s">
        <v>4617</v>
      </c>
      <c r="BC375" s="19" t="s">
        <v>6100</v>
      </c>
      <c r="BD375" s="19" t="s">
        <v>6101</v>
      </c>
      <c r="BE375" s="19" t="s">
        <v>130</v>
      </c>
      <c r="BF375" s="19" t="s">
        <v>6102</v>
      </c>
      <c r="BG375" s="19" t="s">
        <v>6103</v>
      </c>
      <c r="BH375" s="19" t="s">
        <v>6104</v>
      </c>
      <c r="BI375" s="19" t="s">
        <v>6104</v>
      </c>
      <c r="BJ375" s="19" t="s">
        <v>166</v>
      </c>
      <c r="BK375" s="19" t="s">
        <v>6105</v>
      </c>
      <c r="BL375" s="19" t="s">
        <v>6106</v>
      </c>
      <c r="BM375" s="19" t="s">
        <v>6107</v>
      </c>
      <c r="BN375" s="21">
        <v>64.974000000000004</v>
      </c>
      <c r="BO375" s="21">
        <v>1010.3457</v>
      </c>
      <c r="BQ375" s="2"/>
      <c r="BR375" s="2"/>
      <c r="BS375" s="2"/>
      <c r="BT375" s="2"/>
      <c r="BU375" s="22"/>
      <c r="BV375" s="2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</row>
    <row r="376" spans="1:95" x14ac:dyDescent="0.25">
      <c r="A376" s="18">
        <v>373</v>
      </c>
      <c r="B376" s="19" t="s">
        <v>6108</v>
      </c>
      <c r="C376" s="19" t="s">
        <v>6109</v>
      </c>
      <c r="D376" s="20">
        <v>46010</v>
      </c>
      <c r="E376" s="20">
        <v>30269</v>
      </c>
      <c r="F376" s="19"/>
      <c r="G376" s="19"/>
      <c r="H376" s="19" t="s">
        <v>94</v>
      </c>
      <c r="I376" s="19"/>
      <c r="J376" s="19"/>
      <c r="K376" s="19"/>
      <c r="L376" s="19" t="s">
        <v>97</v>
      </c>
      <c r="M376" s="19" t="s">
        <v>98</v>
      </c>
      <c r="N376" s="19" t="s">
        <v>6110</v>
      </c>
      <c r="O376" s="19" t="s">
        <v>100</v>
      </c>
      <c r="P376" s="19"/>
      <c r="Q376" s="19"/>
      <c r="R376" s="19"/>
      <c r="S376" s="19"/>
      <c r="T376" s="19"/>
      <c r="U376" s="19"/>
      <c r="V376" s="19"/>
      <c r="W376" s="19"/>
      <c r="X376" s="19"/>
      <c r="Y376" s="19" t="s">
        <v>101</v>
      </c>
      <c r="Z376" s="19" t="s">
        <v>102</v>
      </c>
      <c r="AA376" s="19" t="s">
        <v>103</v>
      </c>
      <c r="AB376" s="19" t="s">
        <v>789</v>
      </c>
      <c r="AC376" s="19" t="s">
        <v>790</v>
      </c>
      <c r="AD376" s="19" t="s">
        <v>6111</v>
      </c>
      <c r="AE376" s="19" t="s">
        <v>6112</v>
      </c>
      <c r="AF376" s="19" t="s">
        <v>6113</v>
      </c>
      <c r="AG376" s="19" t="s">
        <v>219</v>
      </c>
      <c r="AH376" s="19" t="s">
        <v>124</v>
      </c>
      <c r="AI376" s="19" t="s">
        <v>111</v>
      </c>
      <c r="AJ376" s="19" t="s">
        <v>6114</v>
      </c>
      <c r="AK376" s="19"/>
      <c r="AL376" s="19"/>
      <c r="AM376" s="19" t="s">
        <v>6115</v>
      </c>
      <c r="AN376" s="19" t="s">
        <v>6116</v>
      </c>
      <c r="AO376" s="19" t="s">
        <v>6117</v>
      </c>
      <c r="AP376" s="19" t="s">
        <v>6118</v>
      </c>
      <c r="AQ376" s="19" t="s">
        <v>117</v>
      </c>
      <c r="AR376" s="19" t="s">
        <v>6119</v>
      </c>
      <c r="AS376" s="19" t="s">
        <v>6120</v>
      </c>
      <c r="AT376" s="19" t="s">
        <v>6121</v>
      </c>
      <c r="AU376" s="19" t="s">
        <v>6122</v>
      </c>
      <c r="AV376" s="19" t="s">
        <v>219</v>
      </c>
      <c r="AW376" s="19" t="s">
        <v>2313</v>
      </c>
      <c r="AX376" s="19" t="s">
        <v>124</v>
      </c>
      <c r="AY376" s="19" t="s">
        <v>6123</v>
      </c>
      <c r="AZ376" s="19" t="s">
        <v>6124</v>
      </c>
      <c r="BA376" s="20">
        <v>38854</v>
      </c>
      <c r="BB376" s="19" t="s">
        <v>265</v>
      </c>
      <c r="BC376" s="19" t="s">
        <v>6125</v>
      </c>
      <c r="BD376" s="19" t="s">
        <v>6126</v>
      </c>
      <c r="BE376" s="19" t="s">
        <v>130</v>
      </c>
      <c r="BF376" s="19" t="s">
        <v>6127</v>
      </c>
      <c r="BG376" s="19"/>
      <c r="BH376" s="19" t="s">
        <v>6128</v>
      </c>
      <c r="BI376" s="19" t="s">
        <v>6128</v>
      </c>
      <c r="BJ376" s="19" t="s">
        <v>166</v>
      </c>
      <c r="BK376" s="19" t="s">
        <v>6129</v>
      </c>
      <c r="BL376" s="19" t="s">
        <v>122</v>
      </c>
      <c r="BM376" s="19" t="s">
        <v>196</v>
      </c>
      <c r="BN376" s="21">
        <v>509.14</v>
      </c>
      <c r="BO376" s="21">
        <v>10111.520399999999</v>
      </c>
      <c r="BQ376" s="2"/>
      <c r="BR376" s="2"/>
      <c r="BS376" s="2"/>
      <c r="BT376" s="2"/>
      <c r="BU376" s="22"/>
      <c r="BV376" s="2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</row>
    <row r="377" spans="1:95" x14ac:dyDescent="0.25">
      <c r="A377" s="18">
        <v>374</v>
      </c>
      <c r="B377" s="19" t="s">
        <v>6130</v>
      </c>
      <c r="C377" s="19" t="s">
        <v>6131</v>
      </c>
      <c r="D377" s="20">
        <v>46002</v>
      </c>
      <c r="E377" s="20">
        <v>36346</v>
      </c>
      <c r="F377" s="19" t="s">
        <v>6132</v>
      </c>
      <c r="G377" s="19" t="s">
        <v>139</v>
      </c>
      <c r="H377" s="19" t="s">
        <v>94</v>
      </c>
      <c r="I377" s="19"/>
      <c r="J377" s="19"/>
      <c r="K377" s="19"/>
      <c r="L377" s="19" t="s">
        <v>244</v>
      </c>
      <c r="M377" s="19" t="s">
        <v>245</v>
      </c>
      <c r="N377" s="19" t="s">
        <v>6133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 t="s">
        <v>101</v>
      </c>
      <c r="Z377" s="19" t="s">
        <v>102</v>
      </c>
      <c r="AA377" s="19" t="s">
        <v>103</v>
      </c>
      <c r="AB377" s="19" t="s">
        <v>173</v>
      </c>
      <c r="AC377" s="19" t="s">
        <v>174</v>
      </c>
      <c r="AD377" s="19" t="s">
        <v>6134</v>
      </c>
      <c r="AE377" s="19" t="s">
        <v>472</v>
      </c>
      <c r="AF377" s="19"/>
      <c r="AG377" s="19" t="s">
        <v>472</v>
      </c>
      <c r="AH377" s="19" t="s">
        <v>188</v>
      </c>
      <c r="AI377" s="19" t="s">
        <v>111</v>
      </c>
      <c r="AJ377" s="19" t="s">
        <v>3683</v>
      </c>
      <c r="AK377" s="19"/>
      <c r="AL377" s="19" t="s">
        <v>6135</v>
      </c>
      <c r="AM377" s="19" t="s">
        <v>6136</v>
      </c>
      <c r="AN377" s="19" t="s">
        <v>6137</v>
      </c>
      <c r="AO377" s="19" t="s">
        <v>154</v>
      </c>
      <c r="AP377" s="19" t="s">
        <v>155</v>
      </c>
      <c r="AQ377" s="19" t="s">
        <v>117</v>
      </c>
      <c r="AR377" s="19" t="s">
        <v>156</v>
      </c>
      <c r="AS377" s="19" t="s">
        <v>157</v>
      </c>
      <c r="AT377" s="19" t="s">
        <v>158</v>
      </c>
      <c r="AU377" s="19"/>
      <c r="AV377" s="19" t="s">
        <v>122</v>
      </c>
      <c r="AW377" s="19"/>
      <c r="AX377" s="19" t="s">
        <v>124</v>
      </c>
      <c r="AY377" s="19" t="s">
        <v>159</v>
      </c>
      <c r="AZ377" s="19" t="s">
        <v>160</v>
      </c>
      <c r="BA377" s="20">
        <v>44676</v>
      </c>
      <c r="BB377" s="19" t="s">
        <v>1388</v>
      </c>
      <c r="BC377" s="19" t="s">
        <v>6138</v>
      </c>
      <c r="BD377" s="19" t="s">
        <v>365</v>
      </c>
      <c r="BE377" s="19" t="s">
        <v>130</v>
      </c>
      <c r="BF377" s="19" t="s">
        <v>6139</v>
      </c>
      <c r="BG377" s="19"/>
      <c r="BH377" s="19" t="s">
        <v>6140</v>
      </c>
      <c r="BI377" s="19" t="s">
        <v>6140</v>
      </c>
      <c r="BJ377" s="19" t="s">
        <v>166</v>
      </c>
      <c r="BK377" s="19" t="s">
        <v>167</v>
      </c>
      <c r="BL377" s="19" t="s">
        <v>168</v>
      </c>
      <c r="BM377" s="19" t="s">
        <v>169</v>
      </c>
      <c r="BN377" s="21">
        <v>171.18299999999999</v>
      </c>
      <c r="BO377" s="21">
        <v>6064.0208285999997</v>
      </c>
      <c r="BQ377" s="2"/>
      <c r="BR377" s="2"/>
      <c r="BS377" s="2"/>
      <c r="BT377" s="2"/>
      <c r="BU377" s="22"/>
      <c r="BV377" s="2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</row>
    <row r="378" spans="1:95" x14ac:dyDescent="0.25">
      <c r="A378" s="18">
        <v>375</v>
      </c>
      <c r="B378" s="19" t="s">
        <v>6141</v>
      </c>
      <c r="C378" s="19" t="s">
        <v>6142</v>
      </c>
      <c r="D378" s="20">
        <v>46006</v>
      </c>
      <c r="E378" s="20">
        <v>37590</v>
      </c>
      <c r="F378" s="19"/>
      <c r="G378" s="19"/>
      <c r="H378" s="19" t="s">
        <v>94</v>
      </c>
      <c r="I378" s="19"/>
      <c r="J378" s="19"/>
      <c r="K378" s="19"/>
      <c r="L378" s="19" t="s">
        <v>140</v>
      </c>
      <c r="M378" s="19" t="s">
        <v>141</v>
      </c>
      <c r="N378" s="19" t="s">
        <v>6143</v>
      </c>
      <c r="O378" s="19" t="s">
        <v>100</v>
      </c>
      <c r="P378" s="19"/>
      <c r="Q378" s="19"/>
      <c r="R378" s="19"/>
      <c r="S378" s="19"/>
      <c r="T378" s="19"/>
      <c r="U378" s="19"/>
      <c r="V378" s="19"/>
      <c r="W378" s="19"/>
      <c r="X378" s="19"/>
      <c r="Y378" s="19" t="s">
        <v>3160</v>
      </c>
      <c r="Z378" s="19" t="s">
        <v>3161</v>
      </c>
      <c r="AA378" s="19" t="s">
        <v>103</v>
      </c>
      <c r="AB378" s="19" t="s">
        <v>612</v>
      </c>
      <c r="AC378" s="19" t="s">
        <v>613</v>
      </c>
      <c r="AD378" s="19" t="s">
        <v>6144</v>
      </c>
      <c r="AE378" s="19" t="s">
        <v>6145</v>
      </c>
      <c r="AF378" s="19"/>
      <c r="AG378" s="19" t="s">
        <v>219</v>
      </c>
      <c r="AH378" s="19" t="s">
        <v>124</v>
      </c>
      <c r="AI378" s="19" t="s">
        <v>111</v>
      </c>
      <c r="AJ378" s="19" t="s">
        <v>6146</v>
      </c>
      <c r="AK378" s="19" t="s">
        <v>6147</v>
      </c>
      <c r="AL378" s="19"/>
      <c r="AM378" s="19" t="s">
        <v>6148</v>
      </c>
      <c r="AN378" s="19" t="s">
        <v>6149</v>
      </c>
      <c r="AO378" s="19" t="s">
        <v>2307</v>
      </c>
      <c r="AP378" s="19" t="s">
        <v>2308</v>
      </c>
      <c r="AQ378" s="19" t="s">
        <v>94</v>
      </c>
      <c r="AR378" s="19" t="s">
        <v>2309</v>
      </c>
      <c r="AS378" s="19" t="s">
        <v>2310</v>
      </c>
      <c r="AT378" s="19" t="s">
        <v>2311</v>
      </c>
      <c r="AU378" s="19" t="s">
        <v>2312</v>
      </c>
      <c r="AV378" s="19" t="s">
        <v>122</v>
      </c>
      <c r="AW378" s="19" t="s">
        <v>2313</v>
      </c>
      <c r="AX378" s="19" t="s">
        <v>901</v>
      </c>
      <c r="AY378" s="19" t="s">
        <v>2314</v>
      </c>
      <c r="AZ378" s="19" t="s">
        <v>2315</v>
      </c>
      <c r="BA378" s="20">
        <v>43194</v>
      </c>
      <c r="BB378" s="19" t="s">
        <v>2308</v>
      </c>
      <c r="BC378" s="19" t="s">
        <v>6150</v>
      </c>
      <c r="BD378" s="19" t="s">
        <v>755</v>
      </c>
      <c r="BE378" s="19" t="s">
        <v>3180</v>
      </c>
      <c r="BF378" s="19" t="s">
        <v>6151</v>
      </c>
      <c r="BG378" s="19"/>
      <c r="BH378" s="19" t="s">
        <v>2319</v>
      </c>
      <c r="BI378" s="19" t="s">
        <v>2319</v>
      </c>
      <c r="BJ378" s="19" t="s">
        <v>166</v>
      </c>
      <c r="BK378" s="19" t="s">
        <v>195</v>
      </c>
      <c r="BL378" s="19" t="s">
        <v>122</v>
      </c>
      <c r="BM378" s="19" t="s">
        <v>196</v>
      </c>
      <c r="BN378" s="21">
        <v>1.8280000000000001</v>
      </c>
      <c r="BO378" s="21">
        <v>1001.68916</v>
      </c>
      <c r="BQ378" s="2"/>
      <c r="BR378" s="2"/>
      <c r="BS378" s="2"/>
      <c r="BT378" s="2"/>
      <c r="BU378" s="22"/>
      <c r="BV378" s="2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</row>
    <row r="379" spans="1:95" x14ac:dyDescent="0.25">
      <c r="A379" s="18">
        <v>376</v>
      </c>
      <c r="B379" s="19" t="s">
        <v>6152</v>
      </c>
      <c r="C379" s="19" t="s">
        <v>6153</v>
      </c>
      <c r="D379" s="20">
        <v>46020</v>
      </c>
      <c r="E379" s="20">
        <v>35279</v>
      </c>
      <c r="F379" s="19" t="s">
        <v>6154</v>
      </c>
      <c r="G379" s="19" t="s">
        <v>139</v>
      </c>
      <c r="H379" s="19" t="s">
        <v>117</v>
      </c>
      <c r="I379" s="19" t="s">
        <v>6155</v>
      </c>
      <c r="J379" s="19"/>
      <c r="K379" s="19"/>
      <c r="L379" s="19" t="s">
        <v>244</v>
      </c>
      <c r="M379" s="19" t="s">
        <v>245</v>
      </c>
      <c r="N379" s="19" t="s">
        <v>6156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 t="s">
        <v>101</v>
      </c>
      <c r="Z379" s="19" t="s">
        <v>102</v>
      </c>
      <c r="AA379" s="19" t="s">
        <v>103</v>
      </c>
      <c r="AB379" s="19" t="s">
        <v>1025</v>
      </c>
      <c r="AC379" s="19" t="s">
        <v>1026</v>
      </c>
      <c r="AD379" s="19" t="s">
        <v>6157</v>
      </c>
      <c r="AE379" s="19" t="s">
        <v>6158</v>
      </c>
      <c r="AF379" s="19" t="s">
        <v>6159</v>
      </c>
      <c r="AG379" s="19" t="s">
        <v>4056</v>
      </c>
      <c r="AH379" s="19" t="s">
        <v>757</v>
      </c>
      <c r="AI379" s="19" t="s">
        <v>111</v>
      </c>
      <c r="AJ379" s="19" t="s">
        <v>6160</v>
      </c>
      <c r="AK379" s="19"/>
      <c r="AL379" s="19"/>
      <c r="AM379" s="19" t="s">
        <v>6161</v>
      </c>
      <c r="AN379" s="19" t="s">
        <v>6162</v>
      </c>
      <c r="AO379" s="19" t="s">
        <v>4344</v>
      </c>
      <c r="AP379" s="19" t="s">
        <v>4345</v>
      </c>
      <c r="AQ379" s="19" t="s">
        <v>117</v>
      </c>
      <c r="AR379" s="19" t="s">
        <v>4346</v>
      </c>
      <c r="AS379" s="19" t="s">
        <v>4347</v>
      </c>
      <c r="AT379" s="19" t="s">
        <v>4348</v>
      </c>
      <c r="AU379" s="19" t="s">
        <v>4349</v>
      </c>
      <c r="AV379" s="19" t="s">
        <v>122</v>
      </c>
      <c r="AW379" s="19" t="s">
        <v>2094</v>
      </c>
      <c r="AX379" s="19" t="s">
        <v>124</v>
      </c>
      <c r="AY379" s="19" t="s">
        <v>4350</v>
      </c>
      <c r="AZ379" s="19" t="s">
        <v>4351</v>
      </c>
      <c r="BA379" s="20">
        <v>43419</v>
      </c>
      <c r="BB379" s="19" t="s">
        <v>331</v>
      </c>
      <c r="BC379" s="19" t="s">
        <v>4056</v>
      </c>
      <c r="BD379" s="19" t="s">
        <v>4056</v>
      </c>
      <c r="BE379" s="19" t="s">
        <v>130</v>
      </c>
      <c r="BF379" s="19" t="s">
        <v>6163</v>
      </c>
      <c r="BG379" s="19"/>
      <c r="BH379" s="19" t="s">
        <v>6164</v>
      </c>
      <c r="BI379" s="19" t="s">
        <v>6164</v>
      </c>
      <c r="BJ379" s="19" t="s">
        <v>166</v>
      </c>
      <c r="BK379" s="19" t="s">
        <v>907</v>
      </c>
      <c r="BL379" s="19" t="s">
        <v>122</v>
      </c>
      <c r="BM379" s="19" t="s">
        <v>592</v>
      </c>
      <c r="BN379" s="21">
        <v>14.391</v>
      </c>
      <c r="BO379" s="21">
        <v>500.5880568</v>
      </c>
      <c r="BQ379" s="2"/>
      <c r="BR379" s="2"/>
      <c r="BS379" s="2"/>
      <c r="BT379" s="2"/>
      <c r="BU379" s="22"/>
      <c r="BV379" s="2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</row>
    <row r="380" spans="1:95" x14ac:dyDescent="0.25">
      <c r="A380" s="18">
        <v>377</v>
      </c>
      <c r="B380" s="19" t="s">
        <v>6165</v>
      </c>
      <c r="C380" s="19" t="s">
        <v>6166</v>
      </c>
      <c r="D380" s="20">
        <v>46007</v>
      </c>
      <c r="E380" s="20">
        <v>32983</v>
      </c>
      <c r="F380" s="19" t="s">
        <v>6167</v>
      </c>
      <c r="G380" s="19" t="s">
        <v>139</v>
      </c>
      <c r="H380" s="19" t="s">
        <v>94</v>
      </c>
      <c r="I380" s="19"/>
      <c r="J380" s="19"/>
      <c r="K380" s="19"/>
      <c r="L380" s="19" t="s">
        <v>244</v>
      </c>
      <c r="M380" s="19" t="s">
        <v>245</v>
      </c>
      <c r="N380" s="19" t="s">
        <v>6168</v>
      </c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 t="s">
        <v>101</v>
      </c>
      <c r="Z380" s="19" t="s">
        <v>102</v>
      </c>
      <c r="AA380" s="19" t="s">
        <v>103</v>
      </c>
      <c r="AB380" s="19" t="s">
        <v>143</v>
      </c>
      <c r="AC380" s="19" t="s">
        <v>144</v>
      </c>
      <c r="AD380" s="19" t="s">
        <v>6169</v>
      </c>
      <c r="AE380" s="19" t="s">
        <v>6170</v>
      </c>
      <c r="AF380" s="19" t="s">
        <v>6171</v>
      </c>
      <c r="AG380" s="19" t="s">
        <v>490</v>
      </c>
      <c r="AH380" s="19" t="s">
        <v>262</v>
      </c>
      <c r="AI380" s="19" t="s">
        <v>111</v>
      </c>
      <c r="AJ380" s="19" t="s">
        <v>6172</v>
      </c>
      <c r="AK380" s="19"/>
      <c r="AL380" s="19"/>
      <c r="AM380" s="19" t="s">
        <v>6173</v>
      </c>
      <c r="AN380" s="19" t="s">
        <v>6174</v>
      </c>
      <c r="AO380" s="19" t="s">
        <v>255</v>
      </c>
      <c r="AP380" s="19" t="s">
        <v>256</v>
      </c>
      <c r="AQ380" s="19" t="s">
        <v>117</v>
      </c>
      <c r="AR380" s="19" t="s">
        <v>257</v>
      </c>
      <c r="AS380" s="19" t="s">
        <v>258</v>
      </c>
      <c r="AT380" s="19" t="s">
        <v>259</v>
      </c>
      <c r="AU380" s="19" t="s">
        <v>260</v>
      </c>
      <c r="AV380" s="19" t="s">
        <v>260</v>
      </c>
      <c r="AW380" s="19" t="s">
        <v>261</v>
      </c>
      <c r="AX380" s="19" t="s">
        <v>262</v>
      </c>
      <c r="AY380" s="19" t="s">
        <v>263</v>
      </c>
      <c r="AZ380" s="19" t="s">
        <v>264</v>
      </c>
      <c r="BA380" s="20">
        <v>43627</v>
      </c>
      <c r="BB380" s="19" t="s">
        <v>540</v>
      </c>
      <c r="BC380" s="19" t="s">
        <v>6175</v>
      </c>
      <c r="BD380" s="19" t="s">
        <v>260</v>
      </c>
      <c r="BE380" s="19" t="s">
        <v>130</v>
      </c>
      <c r="BF380" s="19" t="s">
        <v>6176</v>
      </c>
      <c r="BG380" s="19"/>
      <c r="BH380" s="19" t="s">
        <v>6177</v>
      </c>
      <c r="BI380" s="19" t="s">
        <v>6177</v>
      </c>
      <c r="BJ380" s="19" t="s">
        <v>166</v>
      </c>
      <c r="BK380" s="19" t="s">
        <v>167</v>
      </c>
      <c r="BL380" s="19" t="s">
        <v>168</v>
      </c>
      <c r="BM380" s="19" t="s">
        <v>169</v>
      </c>
      <c r="BN380" s="21">
        <v>33.966000000000001</v>
      </c>
      <c r="BO380" s="21">
        <v>1293.76494</v>
      </c>
      <c r="BQ380" s="2"/>
      <c r="BR380" s="2"/>
      <c r="BS380" s="2"/>
      <c r="BT380" s="2"/>
      <c r="BU380" s="22"/>
      <c r="BV380" s="2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</row>
    <row r="381" spans="1:95" x14ac:dyDescent="0.25">
      <c r="A381" s="18">
        <v>378</v>
      </c>
      <c r="B381" s="19" t="s">
        <v>6178</v>
      </c>
      <c r="C381" s="19" t="s">
        <v>6179</v>
      </c>
      <c r="D381" s="20">
        <v>46013</v>
      </c>
      <c r="E381" s="20">
        <v>35840</v>
      </c>
      <c r="F381" s="19" t="s">
        <v>6180</v>
      </c>
      <c r="G381" s="19" t="s">
        <v>139</v>
      </c>
      <c r="H381" s="19" t="s">
        <v>94</v>
      </c>
      <c r="I381" s="19"/>
      <c r="J381" s="19"/>
      <c r="K381" s="19"/>
      <c r="L381" s="19" t="s">
        <v>1262</v>
      </c>
      <c r="M381" s="19" t="s">
        <v>1263</v>
      </c>
      <c r="N381" s="19" t="s">
        <v>6181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 t="s">
        <v>101</v>
      </c>
      <c r="Z381" s="19" t="s">
        <v>102</v>
      </c>
      <c r="AA381" s="19" t="s">
        <v>103</v>
      </c>
      <c r="AB381" s="19" t="s">
        <v>2051</v>
      </c>
      <c r="AC381" s="19" t="s">
        <v>2052</v>
      </c>
      <c r="AD381" s="19" t="s">
        <v>6182</v>
      </c>
      <c r="AE381" s="19" t="s">
        <v>6183</v>
      </c>
      <c r="AF381" s="19"/>
      <c r="AG381" s="19" t="s">
        <v>6184</v>
      </c>
      <c r="AH381" s="19" t="s">
        <v>327</v>
      </c>
      <c r="AI381" s="19" t="s">
        <v>111</v>
      </c>
      <c r="AJ381" s="19" t="s">
        <v>6185</v>
      </c>
      <c r="AK381" s="19"/>
      <c r="AL381" s="19"/>
      <c r="AM381" s="19" t="s">
        <v>6186</v>
      </c>
      <c r="AN381" s="19" t="s">
        <v>6187</v>
      </c>
      <c r="AO381" s="19" t="s">
        <v>476</v>
      </c>
      <c r="AP381" s="19" t="s">
        <v>477</v>
      </c>
      <c r="AQ381" s="19" t="s">
        <v>117</v>
      </c>
      <c r="AR381" s="19" t="s">
        <v>478</v>
      </c>
      <c r="AS381" s="19"/>
      <c r="AT381" s="19"/>
      <c r="AU381" s="19"/>
      <c r="AV381" s="19"/>
      <c r="AW381" s="19"/>
      <c r="AX381" s="19"/>
      <c r="AY381" s="19"/>
      <c r="AZ381" s="19"/>
      <c r="BA381" s="20">
        <v>44452</v>
      </c>
      <c r="BB381" s="19" t="s">
        <v>236</v>
      </c>
      <c r="BC381" s="19" t="s">
        <v>6188</v>
      </c>
      <c r="BD381" s="19" t="s">
        <v>6188</v>
      </c>
      <c r="BE381" s="19" t="s">
        <v>130</v>
      </c>
      <c r="BF381" s="19" t="s">
        <v>6189</v>
      </c>
      <c r="BG381" s="19"/>
      <c r="BH381" s="19" t="s">
        <v>6190</v>
      </c>
      <c r="BI381" s="19" t="s">
        <v>6190</v>
      </c>
      <c r="BJ381" s="19" t="s">
        <v>166</v>
      </c>
      <c r="BK381" s="19" t="s">
        <v>167</v>
      </c>
      <c r="BL381" s="19" t="s">
        <v>168</v>
      </c>
      <c r="BM381" s="19" t="s">
        <v>169</v>
      </c>
      <c r="BN381" s="21">
        <v>1352.7950000000001</v>
      </c>
      <c r="BO381" s="21">
        <v>14982.8810225</v>
      </c>
      <c r="BQ381" s="2"/>
      <c r="BR381" s="2"/>
      <c r="BS381" s="2"/>
      <c r="BT381" s="2"/>
      <c r="BU381" s="22"/>
      <c r="BV381" s="2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</row>
    <row r="382" spans="1:95" x14ac:dyDescent="0.25">
      <c r="A382" s="18">
        <v>379</v>
      </c>
      <c r="B382" s="19" t="s">
        <v>6191</v>
      </c>
      <c r="C382" s="19" t="s">
        <v>6192</v>
      </c>
      <c r="D382" s="20">
        <v>46014</v>
      </c>
      <c r="E382" s="20">
        <v>28278</v>
      </c>
      <c r="F382" s="19"/>
      <c r="G382" s="19"/>
      <c r="H382" s="19" t="s">
        <v>94</v>
      </c>
      <c r="I382" s="19"/>
      <c r="J382" s="19"/>
      <c r="K382" s="19"/>
      <c r="L382" s="19" t="s">
        <v>244</v>
      </c>
      <c r="M382" s="19" t="s">
        <v>245</v>
      </c>
      <c r="N382" s="19" t="s">
        <v>6193</v>
      </c>
      <c r="O382" s="19" t="s">
        <v>100</v>
      </c>
      <c r="P382" s="19"/>
      <c r="Q382" s="19"/>
      <c r="R382" s="19"/>
      <c r="S382" s="19"/>
      <c r="T382" s="19"/>
      <c r="U382" s="19"/>
      <c r="V382" s="19"/>
      <c r="W382" s="19"/>
      <c r="X382" s="19"/>
      <c r="Y382" s="19" t="s">
        <v>101</v>
      </c>
      <c r="Z382" s="19" t="s">
        <v>102</v>
      </c>
      <c r="AA382" s="19" t="s">
        <v>103</v>
      </c>
      <c r="AB382" s="19" t="s">
        <v>201</v>
      </c>
      <c r="AC382" s="19" t="s">
        <v>202</v>
      </c>
      <c r="AD382" s="19" t="s">
        <v>6194</v>
      </c>
      <c r="AE382" s="19" t="s">
        <v>6195</v>
      </c>
      <c r="AF382" s="19" t="s">
        <v>6196</v>
      </c>
      <c r="AG382" s="19" t="s">
        <v>1325</v>
      </c>
      <c r="AH382" s="19" t="s">
        <v>124</v>
      </c>
      <c r="AI382" s="19" t="s">
        <v>111</v>
      </c>
      <c r="AJ382" s="19" t="s">
        <v>3728</v>
      </c>
      <c r="AK382" s="19"/>
      <c r="AL382" s="19" t="s">
        <v>6197</v>
      </c>
      <c r="AM382" s="19" t="s">
        <v>6198</v>
      </c>
      <c r="AN382" s="19" t="s">
        <v>6199</v>
      </c>
      <c r="AO382" s="19" t="s">
        <v>2088</v>
      </c>
      <c r="AP382" s="19" t="s">
        <v>2089</v>
      </c>
      <c r="AQ382" s="19" t="s">
        <v>94</v>
      </c>
      <c r="AR382" s="19" t="s">
        <v>2090</v>
      </c>
      <c r="AS382" s="19" t="s">
        <v>2091</v>
      </c>
      <c r="AT382" s="19" t="s">
        <v>2092</v>
      </c>
      <c r="AU382" s="19" t="s">
        <v>2093</v>
      </c>
      <c r="AV382" s="19" t="s">
        <v>122</v>
      </c>
      <c r="AW382" s="19" t="s">
        <v>2094</v>
      </c>
      <c r="AX382" s="19" t="s">
        <v>901</v>
      </c>
      <c r="AY382" s="19" t="s">
        <v>2095</v>
      </c>
      <c r="AZ382" s="19" t="s">
        <v>2096</v>
      </c>
      <c r="BA382" s="20">
        <v>39974</v>
      </c>
      <c r="BB382" s="19" t="s">
        <v>2097</v>
      </c>
      <c r="BC382" s="19" t="s">
        <v>6200</v>
      </c>
      <c r="BD382" s="19" t="s">
        <v>3741</v>
      </c>
      <c r="BE382" s="19" t="s">
        <v>130</v>
      </c>
      <c r="BF382" s="19" t="s">
        <v>6201</v>
      </c>
      <c r="BG382" s="19" t="s">
        <v>6202</v>
      </c>
      <c r="BH382" s="19" t="s">
        <v>6203</v>
      </c>
      <c r="BI382" s="19" t="s">
        <v>6203</v>
      </c>
      <c r="BJ382" s="19" t="s">
        <v>1259</v>
      </c>
      <c r="BK382" s="19" t="s">
        <v>195</v>
      </c>
      <c r="BL382" s="19" t="s">
        <v>122</v>
      </c>
      <c r="BM382" s="19" t="s">
        <v>196</v>
      </c>
      <c r="BN382" s="21">
        <v>58.621000000000002</v>
      </c>
      <c r="BO382" s="21">
        <v>4965.9021519999997</v>
      </c>
      <c r="BQ382" s="2"/>
      <c r="BR382" s="2"/>
      <c r="BS382" s="2"/>
      <c r="BT382" s="2"/>
      <c r="BU382" s="22"/>
      <c r="BV382" s="2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</row>
    <row r="383" spans="1:95" x14ac:dyDescent="0.25">
      <c r="A383" s="18">
        <v>380</v>
      </c>
      <c r="B383" s="19" t="s">
        <v>6204</v>
      </c>
      <c r="C383" s="19" t="s">
        <v>6205</v>
      </c>
      <c r="D383" s="20">
        <v>46014</v>
      </c>
      <c r="E383" s="20">
        <v>32933</v>
      </c>
      <c r="F383" s="19"/>
      <c r="G383" s="19"/>
      <c r="H383" s="19" t="s">
        <v>94</v>
      </c>
      <c r="I383" s="19"/>
      <c r="J383" s="19"/>
      <c r="K383" s="19"/>
      <c r="L383" s="19" t="s">
        <v>140</v>
      </c>
      <c r="M383" s="19" t="s">
        <v>141</v>
      </c>
      <c r="N383" s="19" t="s">
        <v>6206</v>
      </c>
      <c r="O383" s="19" t="s">
        <v>100</v>
      </c>
      <c r="P383" s="19"/>
      <c r="Q383" s="19"/>
      <c r="R383" s="19"/>
      <c r="S383" s="19"/>
      <c r="T383" s="19"/>
      <c r="U383" s="19"/>
      <c r="V383" s="19"/>
      <c r="W383" s="19"/>
      <c r="X383" s="19"/>
      <c r="Y383" s="19" t="s">
        <v>101</v>
      </c>
      <c r="Z383" s="19" t="s">
        <v>102</v>
      </c>
      <c r="AA383" s="19" t="s">
        <v>103</v>
      </c>
      <c r="AB383" s="19" t="s">
        <v>173</v>
      </c>
      <c r="AC383" s="19" t="s">
        <v>174</v>
      </c>
      <c r="AD383" s="19" t="s">
        <v>6207</v>
      </c>
      <c r="AE383" s="19" t="s">
        <v>6208</v>
      </c>
      <c r="AF383" s="19" t="s">
        <v>6209</v>
      </c>
      <c r="AG383" s="19" t="s">
        <v>6210</v>
      </c>
      <c r="AH383" s="19" t="s">
        <v>677</v>
      </c>
      <c r="AI383" s="19" t="s">
        <v>111</v>
      </c>
      <c r="AJ383" s="19" t="s">
        <v>6211</v>
      </c>
      <c r="AK383" s="19"/>
      <c r="AL383" s="19"/>
      <c r="AM383" s="19" t="s">
        <v>6212</v>
      </c>
      <c r="AN383" s="19" t="s">
        <v>6213</v>
      </c>
      <c r="AO383" s="19" t="s">
        <v>181</v>
      </c>
      <c r="AP383" s="19" t="s">
        <v>182</v>
      </c>
      <c r="AQ383" s="19" t="s">
        <v>117</v>
      </c>
      <c r="AR383" s="19" t="s">
        <v>183</v>
      </c>
      <c r="AS383" s="19" t="s">
        <v>184</v>
      </c>
      <c r="AT383" s="19" t="s">
        <v>185</v>
      </c>
      <c r="AU383" s="19"/>
      <c r="AV383" s="19" t="s">
        <v>186</v>
      </c>
      <c r="AW383" s="19" t="s">
        <v>187</v>
      </c>
      <c r="AX383" s="19" t="s">
        <v>188</v>
      </c>
      <c r="AY383" s="19"/>
      <c r="AZ383" s="19" t="s">
        <v>189</v>
      </c>
      <c r="BA383" s="20">
        <v>44673</v>
      </c>
      <c r="BB383" s="19" t="s">
        <v>331</v>
      </c>
      <c r="BC383" s="19" t="s">
        <v>6214</v>
      </c>
      <c r="BD383" s="19" t="s">
        <v>6215</v>
      </c>
      <c r="BE383" s="19" t="s">
        <v>130</v>
      </c>
      <c r="BF383" s="19" t="s">
        <v>6216</v>
      </c>
      <c r="BG383" s="19"/>
      <c r="BH383" s="19" t="s">
        <v>6217</v>
      </c>
      <c r="BI383" s="19" t="s">
        <v>6217</v>
      </c>
      <c r="BJ383" s="19" t="s">
        <v>194</v>
      </c>
      <c r="BK383" s="19" t="s">
        <v>195</v>
      </c>
      <c r="BL383" s="19" t="s">
        <v>122</v>
      </c>
      <c r="BM383" s="19" t="s">
        <v>196</v>
      </c>
      <c r="BN383" s="21">
        <v>6.0979999999999999</v>
      </c>
      <c r="BO383" s="21">
        <v>216.0167716</v>
      </c>
      <c r="BQ383" s="2"/>
      <c r="BR383" s="2"/>
      <c r="BS383" s="2"/>
      <c r="BT383" s="2"/>
      <c r="BU383" s="22"/>
      <c r="BV383" s="2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</row>
    <row r="384" spans="1:95" x14ac:dyDescent="0.25">
      <c r="A384" s="18">
        <v>381</v>
      </c>
      <c r="B384" s="19" t="s">
        <v>6218</v>
      </c>
      <c r="C384" s="19" t="s">
        <v>6219</v>
      </c>
      <c r="D384" s="20">
        <v>46015</v>
      </c>
      <c r="E384" s="20">
        <v>33425</v>
      </c>
      <c r="F384" s="19"/>
      <c r="G384" s="19"/>
      <c r="H384" s="19" t="s">
        <v>94</v>
      </c>
      <c r="I384" s="19"/>
      <c r="J384" s="19"/>
      <c r="K384" s="19"/>
      <c r="L384" s="19"/>
      <c r="M384" s="19"/>
      <c r="N384" s="19" t="s">
        <v>6220</v>
      </c>
      <c r="O384" s="19" t="s">
        <v>100</v>
      </c>
      <c r="P384" s="19"/>
      <c r="Q384" s="19"/>
      <c r="R384" s="19"/>
      <c r="S384" s="19"/>
      <c r="T384" s="19"/>
      <c r="U384" s="19"/>
      <c r="V384" s="19"/>
      <c r="W384" s="19"/>
      <c r="X384" s="19"/>
      <c r="Y384" s="19" t="s">
        <v>101</v>
      </c>
      <c r="Z384" s="19" t="s">
        <v>102</v>
      </c>
      <c r="AA384" s="19" t="s">
        <v>103</v>
      </c>
      <c r="AB384" s="19" t="s">
        <v>6221</v>
      </c>
      <c r="AC384" s="19" t="s">
        <v>6222</v>
      </c>
      <c r="AD384" s="19" t="s">
        <v>6223</v>
      </c>
      <c r="AE384" s="19" t="s">
        <v>6224</v>
      </c>
      <c r="AF384" s="19" t="s">
        <v>6225</v>
      </c>
      <c r="AG384" s="19" t="s">
        <v>6226</v>
      </c>
      <c r="AH384" s="19" t="s">
        <v>149</v>
      </c>
      <c r="AI384" s="19" t="s">
        <v>111</v>
      </c>
      <c r="AJ384" s="19" t="s">
        <v>3838</v>
      </c>
      <c r="AK384" s="19"/>
      <c r="AL384" s="19"/>
      <c r="AM384" s="19" t="s">
        <v>6227</v>
      </c>
      <c r="AN384" s="19" t="s">
        <v>6228</v>
      </c>
      <c r="AO384" s="19" t="s">
        <v>3881</v>
      </c>
      <c r="AP384" s="19" t="s">
        <v>3882</v>
      </c>
      <c r="AQ384" s="19" t="s">
        <v>117</v>
      </c>
      <c r="AR384" s="19" t="s">
        <v>3883</v>
      </c>
      <c r="AS384" s="19"/>
      <c r="AT384" s="19"/>
      <c r="AU384" s="19"/>
      <c r="AV384" s="19"/>
      <c r="AW384" s="19"/>
      <c r="AX384" s="19"/>
      <c r="AY384" s="19"/>
      <c r="AZ384" s="19"/>
      <c r="BA384" s="20"/>
      <c r="BB384" s="19" t="s">
        <v>265</v>
      </c>
      <c r="BC384" s="19" t="s">
        <v>6229</v>
      </c>
      <c r="BD384" s="19" t="s">
        <v>6226</v>
      </c>
      <c r="BE384" s="19" t="s">
        <v>130</v>
      </c>
      <c r="BF384" s="19" t="s">
        <v>6230</v>
      </c>
      <c r="BG384" s="19"/>
      <c r="BH384" s="19" t="s">
        <v>6231</v>
      </c>
      <c r="BI384" s="19" t="s">
        <v>6231</v>
      </c>
      <c r="BJ384" s="19" t="s">
        <v>166</v>
      </c>
      <c r="BK384" s="19" t="s">
        <v>1084</v>
      </c>
      <c r="BL384" s="19" t="s">
        <v>222</v>
      </c>
      <c r="BM384" s="19" t="s">
        <v>169</v>
      </c>
      <c r="BN384" s="21">
        <v>30.504999999999999</v>
      </c>
      <c r="BO384" s="21">
        <v>500.28199999999998</v>
      </c>
      <c r="BQ384" s="2"/>
      <c r="BR384" s="2"/>
      <c r="BS384" s="2"/>
      <c r="BT384" s="2"/>
      <c r="BU384" s="22"/>
      <c r="BV384" s="2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</row>
    <row r="385" spans="1:95" x14ac:dyDescent="0.25">
      <c r="A385" s="18">
        <v>382</v>
      </c>
      <c r="B385" s="19" t="s">
        <v>6232</v>
      </c>
      <c r="C385" s="19" t="s">
        <v>6233</v>
      </c>
      <c r="D385" s="20">
        <v>46020</v>
      </c>
      <c r="E385" s="20">
        <v>38712</v>
      </c>
      <c r="F385" s="19"/>
      <c r="G385" s="19"/>
      <c r="H385" s="19" t="s">
        <v>94</v>
      </c>
      <c r="I385" s="19"/>
      <c r="J385" s="19"/>
      <c r="K385" s="19"/>
      <c r="L385" s="19" t="s">
        <v>140</v>
      </c>
      <c r="M385" s="19" t="s">
        <v>141</v>
      </c>
      <c r="N385" s="19" t="s">
        <v>6234</v>
      </c>
      <c r="O385" s="19" t="s">
        <v>100</v>
      </c>
      <c r="P385" s="19"/>
      <c r="Q385" s="19"/>
      <c r="R385" s="19"/>
      <c r="S385" s="19"/>
      <c r="T385" s="19"/>
      <c r="U385" s="19"/>
      <c r="V385" s="19"/>
      <c r="W385" s="19"/>
      <c r="X385" s="19"/>
      <c r="Y385" s="19" t="s">
        <v>101</v>
      </c>
      <c r="Z385" s="19" t="s">
        <v>102</v>
      </c>
      <c r="AA385" s="19" t="s">
        <v>103</v>
      </c>
      <c r="AB385" s="19" t="s">
        <v>173</v>
      </c>
      <c r="AC385" s="19" t="s">
        <v>174</v>
      </c>
      <c r="AD385" s="19" t="s">
        <v>6235</v>
      </c>
      <c r="AE385" s="19" t="s">
        <v>6236</v>
      </c>
      <c r="AF385" s="19" t="s">
        <v>6237</v>
      </c>
      <c r="AG385" s="19" t="s">
        <v>6238</v>
      </c>
      <c r="AH385" s="19" t="s">
        <v>3516</v>
      </c>
      <c r="AI385" s="19" t="s">
        <v>111</v>
      </c>
      <c r="AJ385" s="19" t="s">
        <v>6239</v>
      </c>
      <c r="AK385" s="19" t="s">
        <v>4374</v>
      </c>
      <c r="AL385" s="19" t="s">
        <v>4374</v>
      </c>
      <c r="AM385" s="19" t="s">
        <v>6240</v>
      </c>
      <c r="AN385" s="19" t="s">
        <v>6241</v>
      </c>
      <c r="AO385" s="19" t="s">
        <v>181</v>
      </c>
      <c r="AP385" s="19" t="s">
        <v>182</v>
      </c>
      <c r="AQ385" s="19" t="s">
        <v>117</v>
      </c>
      <c r="AR385" s="19" t="s">
        <v>183</v>
      </c>
      <c r="AS385" s="19" t="s">
        <v>184</v>
      </c>
      <c r="AT385" s="19" t="s">
        <v>185</v>
      </c>
      <c r="AU385" s="19"/>
      <c r="AV385" s="19" t="s">
        <v>186</v>
      </c>
      <c r="AW385" s="19" t="s">
        <v>187</v>
      </c>
      <c r="AX385" s="19" t="s">
        <v>188</v>
      </c>
      <c r="AY385" s="19"/>
      <c r="AZ385" s="19" t="s">
        <v>189</v>
      </c>
      <c r="BA385" s="20">
        <v>44673</v>
      </c>
      <c r="BB385" s="19" t="s">
        <v>1388</v>
      </c>
      <c r="BC385" s="19" t="s">
        <v>6242</v>
      </c>
      <c r="BD385" s="19" t="s">
        <v>6243</v>
      </c>
      <c r="BE385" s="19" t="s">
        <v>130</v>
      </c>
      <c r="BF385" s="19" t="s">
        <v>6244</v>
      </c>
      <c r="BG385" s="19"/>
      <c r="BH385" s="19" t="s">
        <v>6245</v>
      </c>
      <c r="BI385" s="19" t="s">
        <v>6245</v>
      </c>
      <c r="BJ385" s="19" t="s">
        <v>194</v>
      </c>
      <c r="BK385" s="19" t="s">
        <v>195</v>
      </c>
      <c r="BL385" s="19" t="s">
        <v>122</v>
      </c>
      <c r="BM385" s="19" t="s">
        <v>196</v>
      </c>
      <c r="BN385" s="21">
        <v>14.132</v>
      </c>
      <c r="BO385" s="21">
        <v>500.61479439999999</v>
      </c>
      <c r="BQ385" s="2"/>
      <c r="BR385" s="2"/>
      <c r="BS385" s="2"/>
      <c r="BT385" s="2"/>
      <c r="BU385" s="22"/>
      <c r="BV385" s="2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</row>
    <row r="386" spans="1:95" x14ac:dyDescent="0.25">
      <c r="A386" s="18">
        <v>383</v>
      </c>
      <c r="B386" s="19" t="s">
        <v>6246</v>
      </c>
      <c r="C386" s="19" t="s">
        <v>6247</v>
      </c>
      <c r="D386" s="20">
        <v>46020</v>
      </c>
      <c r="E386" s="20">
        <v>34358</v>
      </c>
      <c r="F386" s="19"/>
      <c r="G386" s="19"/>
      <c r="H386" s="19" t="s">
        <v>94</v>
      </c>
      <c r="I386" s="19"/>
      <c r="J386" s="19"/>
      <c r="K386" s="19"/>
      <c r="L386" s="19" t="s">
        <v>140</v>
      </c>
      <c r="M386" s="19" t="s">
        <v>141</v>
      </c>
      <c r="N386" s="19" t="s">
        <v>6248</v>
      </c>
      <c r="O386" s="19" t="s">
        <v>100</v>
      </c>
      <c r="P386" s="19"/>
      <c r="Q386" s="19"/>
      <c r="R386" s="19"/>
      <c r="S386" s="19"/>
      <c r="T386" s="19"/>
      <c r="U386" s="19"/>
      <c r="V386" s="19"/>
      <c r="W386" s="19"/>
      <c r="X386" s="19"/>
      <c r="Y386" s="19" t="s">
        <v>101</v>
      </c>
      <c r="Z386" s="19" t="s">
        <v>102</v>
      </c>
      <c r="AA386" s="19" t="s">
        <v>103</v>
      </c>
      <c r="AB386" s="19" t="s">
        <v>173</v>
      </c>
      <c r="AC386" s="19" t="s">
        <v>174</v>
      </c>
      <c r="AD386" s="19" t="s">
        <v>6249</v>
      </c>
      <c r="AE386" s="19" t="s">
        <v>6250</v>
      </c>
      <c r="AF386" s="19" t="s">
        <v>6251</v>
      </c>
      <c r="AG386" s="19" t="s">
        <v>1300</v>
      </c>
      <c r="AH386" s="19" t="s">
        <v>677</v>
      </c>
      <c r="AI386" s="19" t="s">
        <v>111</v>
      </c>
      <c r="AJ386" s="19" t="s">
        <v>6252</v>
      </c>
      <c r="AK386" s="19"/>
      <c r="AL386" s="19"/>
      <c r="AM386" s="19" t="s">
        <v>6253</v>
      </c>
      <c r="AN386" s="19" t="s">
        <v>6254</v>
      </c>
      <c r="AO386" s="19" t="s">
        <v>181</v>
      </c>
      <c r="AP386" s="19" t="s">
        <v>182</v>
      </c>
      <c r="AQ386" s="19" t="s">
        <v>117</v>
      </c>
      <c r="AR386" s="19" t="s">
        <v>183</v>
      </c>
      <c r="AS386" s="19" t="s">
        <v>184</v>
      </c>
      <c r="AT386" s="19" t="s">
        <v>185</v>
      </c>
      <c r="AU386" s="19"/>
      <c r="AV386" s="19" t="s">
        <v>186</v>
      </c>
      <c r="AW386" s="19" t="s">
        <v>187</v>
      </c>
      <c r="AX386" s="19" t="s">
        <v>188</v>
      </c>
      <c r="AY386" s="19"/>
      <c r="AZ386" s="19" t="s">
        <v>189</v>
      </c>
      <c r="BA386" s="20">
        <v>44673</v>
      </c>
      <c r="BB386" s="19" t="s">
        <v>349</v>
      </c>
      <c r="BC386" s="19" t="s">
        <v>6255</v>
      </c>
      <c r="BD386" s="19" t="s">
        <v>6256</v>
      </c>
      <c r="BE386" s="19" t="s">
        <v>130</v>
      </c>
      <c r="BF386" s="19" t="s">
        <v>6257</v>
      </c>
      <c r="BG386" s="19"/>
      <c r="BH386" s="19" t="s">
        <v>6258</v>
      </c>
      <c r="BI386" s="19" t="s">
        <v>6258</v>
      </c>
      <c r="BJ386" s="19" t="s">
        <v>194</v>
      </c>
      <c r="BK386" s="19" t="s">
        <v>195</v>
      </c>
      <c r="BL386" s="19" t="s">
        <v>122</v>
      </c>
      <c r="BM386" s="19" t="s">
        <v>196</v>
      </c>
      <c r="BN386" s="21">
        <v>8.4789999999999992</v>
      </c>
      <c r="BO386" s="21">
        <v>300.36179179999999</v>
      </c>
      <c r="BQ386" s="2"/>
      <c r="BR386" s="2"/>
      <c r="BS386" s="2"/>
      <c r="BT386" s="2"/>
      <c r="BU386" s="22"/>
      <c r="BV386" s="2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</row>
    <row r="387" spans="1:95" x14ac:dyDescent="0.25">
      <c r="A387" s="18">
        <v>384</v>
      </c>
      <c r="B387" s="19" t="s">
        <v>6259</v>
      </c>
      <c r="C387" s="19" t="s">
        <v>6260</v>
      </c>
      <c r="D387" s="20">
        <v>46017</v>
      </c>
      <c r="E387" s="20">
        <v>24242</v>
      </c>
      <c r="F387" s="19"/>
      <c r="G387" s="19"/>
      <c r="H387" s="19" t="s">
        <v>94</v>
      </c>
      <c r="I387" s="19"/>
      <c r="J387" s="19"/>
      <c r="K387" s="19"/>
      <c r="L387" s="19" t="s">
        <v>140</v>
      </c>
      <c r="M387" s="19" t="s">
        <v>141</v>
      </c>
      <c r="N387" s="19" t="s">
        <v>6261</v>
      </c>
      <c r="O387" s="19" t="s">
        <v>100</v>
      </c>
      <c r="P387" s="19"/>
      <c r="Q387" s="19"/>
      <c r="R387" s="19"/>
      <c r="S387" s="19"/>
      <c r="T387" s="19"/>
      <c r="U387" s="19"/>
      <c r="V387" s="19"/>
      <c r="W387" s="19"/>
      <c r="X387" s="19"/>
      <c r="Y387" s="19" t="s">
        <v>101</v>
      </c>
      <c r="Z387" s="19" t="s">
        <v>102</v>
      </c>
      <c r="AA387" s="19" t="s">
        <v>103</v>
      </c>
      <c r="AB387" s="19" t="s">
        <v>173</v>
      </c>
      <c r="AC387" s="19" t="s">
        <v>174</v>
      </c>
      <c r="AD387" s="19" t="s">
        <v>6262</v>
      </c>
      <c r="AE387" s="19" t="s">
        <v>6263</v>
      </c>
      <c r="AF387" s="19" t="s">
        <v>6264</v>
      </c>
      <c r="AG387" s="19" t="s">
        <v>2213</v>
      </c>
      <c r="AH387" s="19" t="s">
        <v>707</v>
      </c>
      <c r="AI387" s="19" t="s">
        <v>111</v>
      </c>
      <c r="AJ387" s="19" t="s">
        <v>2214</v>
      </c>
      <c r="AK387" s="19"/>
      <c r="AL387" s="19"/>
      <c r="AM387" s="19" t="s">
        <v>6265</v>
      </c>
      <c r="AN387" s="19" t="s">
        <v>6266</v>
      </c>
      <c r="AO387" s="19" t="s">
        <v>181</v>
      </c>
      <c r="AP387" s="19" t="s">
        <v>182</v>
      </c>
      <c r="AQ387" s="19" t="s">
        <v>117</v>
      </c>
      <c r="AR387" s="19" t="s">
        <v>183</v>
      </c>
      <c r="AS387" s="19" t="s">
        <v>184</v>
      </c>
      <c r="AT387" s="19" t="s">
        <v>185</v>
      </c>
      <c r="AU387" s="19"/>
      <c r="AV387" s="19" t="s">
        <v>186</v>
      </c>
      <c r="AW387" s="19" t="s">
        <v>187</v>
      </c>
      <c r="AX387" s="19" t="s">
        <v>188</v>
      </c>
      <c r="AY387" s="19"/>
      <c r="AZ387" s="19" t="s">
        <v>189</v>
      </c>
      <c r="BA387" s="20">
        <v>44673</v>
      </c>
      <c r="BB387" s="19" t="s">
        <v>265</v>
      </c>
      <c r="BC387" s="19" t="s">
        <v>6267</v>
      </c>
      <c r="BD387" s="19" t="s">
        <v>2213</v>
      </c>
      <c r="BE387" s="19" t="s">
        <v>130</v>
      </c>
      <c r="BF387" s="19" t="s">
        <v>6268</v>
      </c>
      <c r="BG387" s="19"/>
      <c r="BH387" s="19" t="s">
        <v>6269</v>
      </c>
      <c r="BI387" s="19" t="s">
        <v>6269</v>
      </c>
      <c r="BJ387" s="19" t="s">
        <v>194</v>
      </c>
      <c r="BK387" s="19" t="s">
        <v>195</v>
      </c>
      <c r="BL387" s="19" t="s">
        <v>122</v>
      </c>
      <c r="BM387" s="19" t="s">
        <v>196</v>
      </c>
      <c r="BN387" s="21">
        <v>8.3740000000000006</v>
      </c>
      <c r="BO387" s="21">
        <v>296.6422508</v>
      </c>
      <c r="BQ387" s="2"/>
      <c r="BR387" s="2"/>
      <c r="BS387" s="2"/>
      <c r="BT387" s="2"/>
      <c r="BU387" s="22"/>
      <c r="BV387" s="2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</row>
    <row r="388" spans="1:95" x14ac:dyDescent="0.25">
      <c r="A388" s="18">
        <v>385</v>
      </c>
      <c r="B388" s="19" t="s">
        <v>6270</v>
      </c>
      <c r="C388" s="19" t="s">
        <v>6271</v>
      </c>
      <c r="D388" s="20">
        <v>46017</v>
      </c>
      <c r="E388" s="20">
        <v>25269</v>
      </c>
      <c r="F388" s="19"/>
      <c r="G388" s="19"/>
      <c r="H388" s="19" t="s">
        <v>94</v>
      </c>
      <c r="I388" s="19"/>
      <c r="J388" s="19" t="s">
        <v>287</v>
      </c>
      <c r="K388" s="19" t="s">
        <v>288</v>
      </c>
      <c r="L388" s="19" t="s">
        <v>97</v>
      </c>
      <c r="M388" s="19" t="s">
        <v>98</v>
      </c>
      <c r="N388" s="19" t="s">
        <v>6272</v>
      </c>
      <c r="O388" s="19" t="s">
        <v>100</v>
      </c>
      <c r="P388" s="19"/>
      <c r="Q388" s="19"/>
      <c r="R388" s="19"/>
      <c r="S388" s="19"/>
      <c r="T388" s="19"/>
      <c r="U388" s="19"/>
      <c r="V388" s="19"/>
      <c r="W388" s="19"/>
      <c r="X388" s="19"/>
      <c r="Y388" s="19" t="s">
        <v>101</v>
      </c>
      <c r="Z388" s="19" t="s">
        <v>102</v>
      </c>
      <c r="AA388" s="19" t="s">
        <v>103</v>
      </c>
      <c r="AB388" s="19" t="s">
        <v>789</v>
      </c>
      <c r="AC388" s="19" t="s">
        <v>790</v>
      </c>
      <c r="AD388" s="19" t="s">
        <v>6273</v>
      </c>
      <c r="AE388" s="19"/>
      <c r="AF388" s="19"/>
      <c r="AG388" s="19" t="s">
        <v>6274</v>
      </c>
      <c r="AH388" s="19" t="s">
        <v>110</v>
      </c>
      <c r="AI388" s="19" t="s">
        <v>111</v>
      </c>
      <c r="AJ388" s="19" t="s">
        <v>6275</v>
      </c>
      <c r="AK388" s="19"/>
      <c r="AL388" s="19"/>
      <c r="AM388" s="19" t="s">
        <v>6276</v>
      </c>
      <c r="AN388" s="19" t="s">
        <v>6277</v>
      </c>
      <c r="AO388" s="19" t="s">
        <v>6278</v>
      </c>
      <c r="AP388" s="19" t="s">
        <v>6279</v>
      </c>
      <c r="AQ388" s="19" t="s">
        <v>117</v>
      </c>
      <c r="AR388" s="19" t="s">
        <v>6280</v>
      </c>
      <c r="AS388" s="19" t="s">
        <v>6281</v>
      </c>
      <c r="AT388" s="19" t="s">
        <v>6282</v>
      </c>
      <c r="AU388" s="19" t="s">
        <v>6283</v>
      </c>
      <c r="AV388" s="19" t="s">
        <v>318</v>
      </c>
      <c r="AW388" s="19" t="s">
        <v>6284</v>
      </c>
      <c r="AX388" s="19" t="s">
        <v>309</v>
      </c>
      <c r="AY388" s="19" t="s">
        <v>6285</v>
      </c>
      <c r="AZ388" s="19" t="s">
        <v>6286</v>
      </c>
      <c r="BA388" s="20">
        <v>46008</v>
      </c>
      <c r="BB388" s="19" t="s">
        <v>6287</v>
      </c>
      <c r="BC388" s="19" t="s">
        <v>6288</v>
      </c>
      <c r="BD388" s="19" t="s">
        <v>1859</v>
      </c>
      <c r="BE388" s="19" t="s">
        <v>130</v>
      </c>
      <c r="BF388" s="19" t="s">
        <v>6289</v>
      </c>
      <c r="BG388" s="19" t="s">
        <v>6290</v>
      </c>
      <c r="BH388" s="19" t="s">
        <v>6291</v>
      </c>
      <c r="BI388" s="19" t="s">
        <v>6291</v>
      </c>
      <c r="BJ388" s="19" t="s">
        <v>166</v>
      </c>
      <c r="BK388" s="19" t="s">
        <v>317</v>
      </c>
      <c r="BL388" s="19" t="s">
        <v>318</v>
      </c>
      <c r="BM388" s="19" t="s">
        <v>135</v>
      </c>
      <c r="BN388" s="21">
        <v>0</v>
      </c>
      <c r="BO388" s="21">
        <v>0</v>
      </c>
      <c r="BQ388" s="2"/>
      <c r="BR388" s="2"/>
      <c r="BS388" s="2"/>
      <c r="BT388" s="2"/>
      <c r="BU388" s="22"/>
      <c r="BV388" s="2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</row>
    <row r="389" spans="1:95" x14ac:dyDescent="0.25">
      <c r="A389" s="18">
        <v>386</v>
      </c>
      <c r="B389" s="19" t="s">
        <v>6292</v>
      </c>
      <c r="C389" s="19" t="s">
        <v>6293</v>
      </c>
      <c r="D389" s="20">
        <v>46017</v>
      </c>
      <c r="E389" s="20">
        <v>30714</v>
      </c>
      <c r="F389" s="19"/>
      <c r="G389" s="19"/>
      <c r="H389" s="19" t="s">
        <v>94</v>
      </c>
      <c r="I389" s="19"/>
      <c r="J389" s="19"/>
      <c r="K389" s="19"/>
      <c r="L389" s="19" t="s">
        <v>140</v>
      </c>
      <c r="M389" s="19" t="s">
        <v>141</v>
      </c>
      <c r="N389" s="19" t="s">
        <v>6294</v>
      </c>
      <c r="O389" s="19" t="s">
        <v>100</v>
      </c>
      <c r="P389" s="19"/>
      <c r="Q389" s="19"/>
      <c r="R389" s="19"/>
      <c r="S389" s="19"/>
      <c r="T389" s="19"/>
      <c r="U389" s="19"/>
      <c r="V389" s="19"/>
      <c r="W389" s="19"/>
      <c r="X389" s="19"/>
      <c r="Y389" s="19" t="s">
        <v>101</v>
      </c>
      <c r="Z389" s="19" t="s">
        <v>102</v>
      </c>
      <c r="AA389" s="19" t="s">
        <v>103</v>
      </c>
      <c r="AB389" s="19" t="s">
        <v>173</v>
      </c>
      <c r="AC389" s="19" t="s">
        <v>174</v>
      </c>
      <c r="AD389" s="19" t="s">
        <v>6295</v>
      </c>
      <c r="AE389" s="19" t="s">
        <v>6296</v>
      </c>
      <c r="AF389" s="19"/>
      <c r="AG389" s="19" t="s">
        <v>6297</v>
      </c>
      <c r="AH389" s="19" t="s">
        <v>6298</v>
      </c>
      <c r="AI389" s="19" t="s">
        <v>111</v>
      </c>
      <c r="AJ389" s="19" t="s">
        <v>6299</v>
      </c>
      <c r="AK389" s="19"/>
      <c r="AL389" s="19"/>
      <c r="AM389" s="19" t="s">
        <v>6300</v>
      </c>
      <c r="AN389" s="19" t="s">
        <v>6301</v>
      </c>
      <c r="AO389" s="19" t="s">
        <v>181</v>
      </c>
      <c r="AP389" s="19" t="s">
        <v>182</v>
      </c>
      <c r="AQ389" s="19" t="s">
        <v>117</v>
      </c>
      <c r="AR389" s="19" t="s">
        <v>183</v>
      </c>
      <c r="AS389" s="19" t="s">
        <v>184</v>
      </c>
      <c r="AT389" s="19" t="s">
        <v>185</v>
      </c>
      <c r="AU389" s="19"/>
      <c r="AV389" s="19" t="s">
        <v>186</v>
      </c>
      <c r="AW389" s="19" t="s">
        <v>187</v>
      </c>
      <c r="AX389" s="19" t="s">
        <v>188</v>
      </c>
      <c r="AY389" s="19"/>
      <c r="AZ389" s="19" t="s">
        <v>189</v>
      </c>
      <c r="BA389" s="20">
        <v>44673</v>
      </c>
      <c r="BB389" s="19" t="s">
        <v>6302</v>
      </c>
      <c r="BC389" s="19" t="s">
        <v>6303</v>
      </c>
      <c r="BD389" s="19" t="s">
        <v>6297</v>
      </c>
      <c r="BE389" s="19" t="s">
        <v>130</v>
      </c>
      <c r="BF389" s="19" t="s">
        <v>6304</v>
      </c>
      <c r="BG389" s="19"/>
      <c r="BH389" s="19" t="s">
        <v>6305</v>
      </c>
      <c r="BI389" s="19" t="s">
        <v>6305</v>
      </c>
      <c r="BJ389" s="19" t="s">
        <v>194</v>
      </c>
      <c r="BK389" s="19" t="s">
        <v>195</v>
      </c>
      <c r="BL389" s="19" t="s">
        <v>122</v>
      </c>
      <c r="BM389" s="19" t="s">
        <v>196</v>
      </c>
      <c r="BN389" s="21">
        <v>13.957000000000001</v>
      </c>
      <c r="BO389" s="21">
        <v>494.41555940000001</v>
      </c>
      <c r="BQ389" s="2"/>
      <c r="BR389" s="2"/>
      <c r="BS389" s="2"/>
      <c r="BT389" s="2"/>
      <c r="BU389" s="22"/>
      <c r="BV389" s="2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</row>
    <row r="390" spans="1:95" x14ac:dyDescent="0.25">
      <c r="A390" s="18">
        <v>387</v>
      </c>
      <c r="B390" s="19" t="s">
        <v>6306</v>
      </c>
      <c r="C390" s="19" t="s">
        <v>6307</v>
      </c>
      <c r="D390" s="20">
        <v>46021</v>
      </c>
      <c r="E390" s="20">
        <v>37251</v>
      </c>
      <c r="F390" s="19" t="s">
        <v>6308</v>
      </c>
      <c r="G390" s="19" t="s">
        <v>139</v>
      </c>
      <c r="H390" s="19" t="s">
        <v>94</v>
      </c>
      <c r="I390" s="19"/>
      <c r="J390" s="19"/>
      <c r="K390" s="19"/>
      <c r="L390" s="19" t="s">
        <v>244</v>
      </c>
      <c r="M390" s="19" t="s">
        <v>245</v>
      </c>
      <c r="N390" s="19" t="s">
        <v>6309</v>
      </c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 t="s">
        <v>101</v>
      </c>
      <c r="Z390" s="19" t="s">
        <v>102</v>
      </c>
      <c r="AA390" s="19" t="s">
        <v>103</v>
      </c>
      <c r="AB390" s="19" t="s">
        <v>143</v>
      </c>
      <c r="AC390" s="19" t="s">
        <v>144</v>
      </c>
      <c r="AD390" s="19" t="s">
        <v>6310</v>
      </c>
      <c r="AE390" s="19" t="s">
        <v>6311</v>
      </c>
      <c r="AF390" s="19" t="s">
        <v>6312</v>
      </c>
      <c r="AG390" s="19" t="s">
        <v>3357</v>
      </c>
      <c r="AH390" s="19" t="s">
        <v>3352</v>
      </c>
      <c r="AI390" s="19" t="s">
        <v>111</v>
      </c>
      <c r="AJ390" s="19" t="s">
        <v>6313</v>
      </c>
      <c r="AK390" s="19"/>
      <c r="AL390" s="19"/>
      <c r="AM390" s="19" t="s">
        <v>6314</v>
      </c>
      <c r="AN390" s="19" t="s">
        <v>6315</v>
      </c>
      <c r="AO390" s="19" t="s">
        <v>255</v>
      </c>
      <c r="AP390" s="19" t="s">
        <v>256</v>
      </c>
      <c r="AQ390" s="19" t="s">
        <v>117</v>
      </c>
      <c r="AR390" s="19" t="s">
        <v>257</v>
      </c>
      <c r="AS390" s="19" t="s">
        <v>258</v>
      </c>
      <c r="AT390" s="19" t="s">
        <v>259</v>
      </c>
      <c r="AU390" s="19" t="s">
        <v>260</v>
      </c>
      <c r="AV390" s="19" t="s">
        <v>260</v>
      </c>
      <c r="AW390" s="19" t="s">
        <v>261</v>
      </c>
      <c r="AX390" s="19" t="s">
        <v>262</v>
      </c>
      <c r="AY390" s="19" t="s">
        <v>263</v>
      </c>
      <c r="AZ390" s="19" t="s">
        <v>264</v>
      </c>
      <c r="BA390" s="20">
        <v>43627</v>
      </c>
      <c r="BB390" s="19" t="s">
        <v>1388</v>
      </c>
      <c r="BC390" s="19" t="s">
        <v>6316</v>
      </c>
      <c r="BD390" s="19" t="s">
        <v>3357</v>
      </c>
      <c r="BE390" s="19" t="s">
        <v>130</v>
      </c>
      <c r="BF390" s="19" t="s">
        <v>6317</v>
      </c>
      <c r="BG390" s="19"/>
      <c r="BH390" s="19" t="s">
        <v>6318</v>
      </c>
      <c r="BI390" s="19" t="s">
        <v>6318</v>
      </c>
      <c r="BJ390" s="19" t="s">
        <v>166</v>
      </c>
      <c r="BK390" s="19" t="s">
        <v>167</v>
      </c>
      <c r="BL390" s="19" t="s">
        <v>168</v>
      </c>
      <c r="BM390" s="19" t="s">
        <v>169</v>
      </c>
      <c r="BN390" s="21">
        <v>93.228999999999999</v>
      </c>
      <c r="BO390" s="21">
        <v>3551.0926100000001</v>
      </c>
      <c r="BQ390" s="2"/>
      <c r="BR390" s="2"/>
      <c r="BS390" s="2"/>
      <c r="BT390" s="2"/>
      <c r="BU390" s="22"/>
      <c r="BV390" s="2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</row>
    <row r="391" spans="1:95" x14ac:dyDescent="0.25">
      <c r="A391" s="18">
        <v>388</v>
      </c>
      <c r="B391" s="19" t="s">
        <v>6319</v>
      </c>
      <c r="C391" s="19" t="s">
        <v>6320</v>
      </c>
      <c r="D391" s="20">
        <v>45999</v>
      </c>
      <c r="E391" s="20">
        <v>37989</v>
      </c>
      <c r="F391" s="19" t="s">
        <v>6321</v>
      </c>
      <c r="G391" s="19" t="s">
        <v>139</v>
      </c>
      <c r="H391" s="19" t="s">
        <v>94</v>
      </c>
      <c r="I391" s="19"/>
      <c r="J391" s="19"/>
      <c r="K391" s="19"/>
      <c r="L391" s="19" t="s">
        <v>244</v>
      </c>
      <c r="M391" s="19" t="s">
        <v>245</v>
      </c>
      <c r="N391" s="19" t="s">
        <v>6322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 t="s">
        <v>101</v>
      </c>
      <c r="Z391" s="19" t="s">
        <v>102</v>
      </c>
      <c r="AA391" s="19" t="s">
        <v>103</v>
      </c>
      <c r="AB391" s="19" t="s">
        <v>173</v>
      </c>
      <c r="AC391" s="19" t="s">
        <v>174</v>
      </c>
      <c r="AD391" s="19" t="s">
        <v>6323</v>
      </c>
      <c r="AE391" s="19" t="s">
        <v>6324</v>
      </c>
      <c r="AF391" s="19" t="s">
        <v>6325</v>
      </c>
      <c r="AG391" s="19" t="s">
        <v>6326</v>
      </c>
      <c r="AH391" s="19" t="s">
        <v>376</v>
      </c>
      <c r="AI391" s="19"/>
      <c r="AJ391" s="19" t="s">
        <v>6327</v>
      </c>
      <c r="AK391" s="19"/>
      <c r="AL391" s="19" t="s">
        <v>6328</v>
      </c>
      <c r="AM391" s="19" t="s">
        <v>6329</v>
      </c>
      <c r="AN391" s="19" t="s">
        <v>6330</v>
      </c>
      <c r="AO391" s="19" t="s">
        <v>154</v>
      </c>
      <c r="AP391" s="19" t="s">
        <v>155</v>
      </c>
      <c r="AQ391" s="19" t="s">
        <v>117</v>
      </c>
      <c r="AR391" s="19" t="s">
        <v>156</v>
      </c>
      <c r="AS391" s="19" t="s">
        <v>157</v>
      </c>
      <c r="AT391" s="19" t="s">
        <v>158</v>
      </c>
      <c r="AU391" s="19"/>
      <c r="AV391" s="19" t="s">
        <v>122</v>
      </c>
      <c r="AW391" s="19"/>
      <c r="AX391" s="19" t="s">
        <v>124</v>
      </c>
      <c r="AY391" s="19" t="s">
        <v>159</v>
      </c>
      <c r="AZ391" s="19" t="s">
        <v>160</v>
      </c>
      <c r="BA391" s="20">
        <v>44676</v>
      </c>
      <c r="BB391" s="19" t="s">
        <v>444</v>
      </c>
      <c r="BC391" s="19" t="s">
        <v>6331</v>
      </c>
      <c r="BD391" s="19" t="s">
        <v>6326</v>
      </c>
      <c r="BE391" s="19" t="s">
        <v>130</v>
      </c>
      <c r="BF391" s="19" t="s">
        <v>6332</v>
      </c>
      <c r="BG391" s="19"/>
      <c r="BH391" s="19" t="s">
        <v>6333</v>
      </c>
      <c r="BI391" s="19" t="s">
        <v>6333</v>
      </c>
      <c r="BJ391" s="19" t="s">
        <v>166</v>
      </c>
      <c r="BK391" s="19" t="s">
        <v>167</v>
      </c>
      <c r="BL391" s="19" t="s">
        <v>168</v>
      </c>
      <c r="BM391" s="19" t="s">
        <v>169</v>
      </c>
      <c r="BN391" s="21">
        <v>2.823</v>
      </c>
      <c r="BO391" s="21">
        <v>100.00251660000001</v>
      </c>
      <c r="BQ391" s="2"/>
      <c r="BR391" s="2"/>
      <c r="BS391" s="2"/>
      <c r="BT391" s="2"/>
      <c r="BU391" s="22"/>
      <c r="BV391" s="2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</row>
    <row r="392" spans="1:95" x14ac:dyDescent="0.25">
      <c r="A392" s="18">
        <v>389</v>
      </c>
      <c r="B392" s="19" t="s">
        <v>6334</v>
      </c>
      <c r="C392" s="19" t="s">
        <v>6335</v>
      </c>
      <c r="D392" s="20">
        <v>46022</v>
      </c>
      <c r="E392" s="20">
        <v>35487</v>
      </c>
      <c r="F392" s="19"/>
      <c r="G392" s="19"/>
      <c r="H392" s="19" t="s">
        <v>94</v>
      </c>
      <c r="I392" s="19"/>
      <c r="J392" s="19"/>
      <c r="K392" s="19"/>
      <c r="L392" s="19" t="s">
        <v>244</v>
      </c>
      <c r="M392" s="19" t="s">
        <v>245</v>
      </c>
      <c r="N392" s="19" t="s">
        <v>6336</v>
      </c>
      <c r="O392" s="19" t="s">
        <v>100</v>
      </c>
      <c r="P392" s="19"/>
      <c r="Q392" s="19"/>
      <c r="R392" s="19"/>
      <c r="S392" s="19"/>
      <c r="T392" s="19"/>
      <c r="U392" s="19"/>
      <c r="V392" s="19"/>
      <c r="W392" s="19"/>
      <c r="X392" s="19"/>
      <c r="Y392" s="19" t="s">
        <v>101</v>
      </c>
      <c r="Z392" s="19" t="s">
        <v>102</v>
      </c>
      <c r="AA392" s="19" t="s">
        <v>103</v>
      </c>
      <c r="AB392" s="19" t="s">
        <v>402</v>
      </c>
      <c r="AC392" s="19" t="s">
        <v>403</v>
      </c>
      <c r="AD392" s="19" t="s">
        <v>6337</v>
      </c>
      <c r="AE392" s="19" t="s">
        <v>6338</v>
      </c>
      <c r="AF392" s="19" t="s">
        <v>6339</v>
      </c>
      <c r="AG392" s="19" t="s">
        <v>2599</v>
      </c>
      <c r="AH392" s="19" t="s">
        <v>1015</v>
      </c>
      <c r="AI392" s="19" t="s">
        <v>111</v>
      </c>
      <c r="AJ392" s="19" t="s">
        <v>6340</v>
      </c>
      <c r="AK392" s="19"/>
      <c r="AL392" s="19"/>
      <c r="AM392" s="19" t="s">
        <v>6341</v>
      </c>
      <c r="AN392" s="19" t="s">
        <v>6342</v>
      </c>
      <c r="AO392" s="19" t="s">
        <v>579</v>
      </c>
      <c r="AP392" s="19" t="s">
        <v>580</v>
      </c>
      <c r="AQ392" s="19" t="s">
        <v>117</v>
      </c>
      <c r="AR392" s="19" t="s">
        <v>581</v>
      </c>
      <c r="AS392" s="19" t="s">
        <v>582</v>
      </c>
      <c r="AT392" s="19" t="s">
        <v>583</v>
      </c>
      <c r="AU392" s="19" t="s">
        <v>584</v>
      </c>
      <c r="AV392" s="19" t="s">
        <v>168</v>
      </c>
      <c r="AW392" s="19" t="s">
        <v>585</v>
      </c>
      <c r="AX392" s="19" t="s">
        <v>262</v>
      </c>
      <c r="AY392" s="19" t="s">
        <v>586</v>
      </c>
      <c r="AZ392" s="19" t="s">
        <v>587</v>
      </c>
      <c r="BA392" s="20">
        <v>44494</v>
      </c>
      <c r="BB392" s="19" t="s">
        <v>444</v>
      </c>
      <c r="BC392" s="19" t="s">
        <v>6343</v>
      </c>
      <c r="BD392" s="19" t="s">
        <v>2599</v>
      </c>
      <c r="BE392" s="19" t="s">
        <v>130</v>
      </c>
      <c r="BF392" s="19" t="s">
        <v>6344</v>
      </c>
      <c r="BG392" s="19"/>
      <c r="BH392" s="19" t="s">
        <v>6345</v>
      </c>
      <c r="BI392" s="19" t="s">
        <v>6345</v>
      </c>
      <c r="BJ392" s="19" t="s">
        <v>194</v>
      </c>
      <c r="BK392" s="19" t="s">
        <v>591</v>
      </c>
      <c r="BL392" s="19" t="s">
        <v>122</v>
      </c>
      <c r="BM392" s="19" t="s">
        <v>592</v>
      </c>
      <c r="BN392" s="21">
        <v>5.2999999999999999E-2</v>
      </c>
      <c r="BO392" s="21">
        <v>100.34649</v>
      </c>
      <c r="BQ392" s="2"/>
      <c r="BR392" s="2"/>
      <c r="BS392" s="2"/>
      <c r="BT392" s="2"/>
      <c r="BU392" s="22"/>
      <c r="BV392" s="2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</row>
    <row r="393" spans="1:95" x14ac:dyDescent="0.25">
      <c r="A393" s="18">
        <v>390</v>
      </c>
      <c r="B393" s="19" t="s">
        <v>6346</v>
      </c>
      <c r="C393" s="19" t="s">
        <v>6347</v>
      </c>
      <c r="D393" s="20">
        <v>46022</v>
      </c>
      <c r="E393" s="20">
        <v>27942</v>
      </c>
      <c r="F393" s="19" t="s">
        <v>6348</v>
      </c>
      <c r="G393" s="19" t="s">
        <v>139</v>
      </c>
      <c r="H393" s="19" t="s">
        <v>94</v>
      </c>
      <c r="I393" s="19"/>
      <c r="J393" s="19"/>
      <c r="K393" s="19"/>
      <c r="L393" s="19" t="s">
        <v>244</v>
      </c>
      <c r="M393" s="19" t="s">
        <v>245</v>
      </c>
      <c r="N393" s="19" t="s">
        <v>6349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 t="s">
        <v>101</v>
      </c>
      <c r="Z393" s="19" t="s">
        <v>102</v>
      </c>
      <c r="AA393" s="19" t="s">
        <v>103</v>
      </c>
      <c r="AB393" s="19" t="s">
        <v>247</v>
      </c>
      <c r="AC393" s="19" t="s">
        <v>248</v>
      </c>
      <c r="AD393" s="19" t="s">
        <v>6350</v>
      </c>
      <c r="AE393" s="19" t="s">
        <v>6351</v>
      </c>
      <c r="AF393" s="19" t="s">
        <v>6352</v>
      </c>
      <c r="AG393" s="19" t="s">
        <v>6184</v>
      </c>
      <c r="AH393" s="19" t="s">
        <v>327</v>
      </c>
      <c r="AI393" s="19" t="s">
        <v>111</v>
      </c>
      <c r="AJ393" s="19" t="s">
        <v>6353</v>
      </c>
      <c r="AK393" s="19"/>
      <c r="AL393" s="19"/>
      <c r="AM393" s="19" t="s">
        <v>6354</v>
      </c>
      <c r="AN393" s="19" t="s">
        <v>6355</v>
      </c>
      <c r="AO393" s="19" t="s">
        <v>255</v>
      </c>
      <c r="AP393" s="19" t="s">
        <v>256</v>
      </c>
      <c r="AQ393" s="19" t="s">
        <v>117</v>
      </c>
      <c r="AR393" s="19" t="s">
        <v>257</v>
      </c>
      <c r="AS393" s="19" t="s">
        <v>258</v>
      </c>
      <c r="AT393" s="19" t="s">
        <v>259</v>
      </c>
      <c r="AU393" s="19" t="s">
        <v>260</v>
      </c>
      <c r="AV393" s="19" t="s">
        <v>260</v>
      </c>
      <c r="AW393" s="19" t="s">
        <v>261</v>
      </c>
      <c r="AX393" s="19" t="s">
        <v>262</v>
      </c>
      <c r="AY393" s="19" t="s">
        <v>263</v>
      </c>
      <c r="AZ393" s="19" t="s">
        <v>264</v>
      </c>
      <c r="BA393" s="20">
        <v>43627</v>
      </c>
      <c r="BB393" s="19" t="s">
        <v>6356</v>
      </c>
      <c r="BC393" s="19" t="s">
        <v>6184</v>
      </c>
      <c r="BD393" s="19" t="s">
        <v>6184</v>
      </c>
      <c r="BE393" s="19" t="s">
        <v>130</v>
      </c>
      <c r="BF393" s="19" t="s">
        <v>6357</v>
      </c>
      <c r="BG393" s="19"/>
      <c r="BH393" s="19" t="s">
        <v>6358</v>
      </c>
      <c r="BI393" s="19" t="s">
        <v>6358</v>
      </c>
      <c r="BJ393" s="19" t="s">
        <v>166</v>
      </c>
      <c r="BK393" s="19" t="s">
        <v>167</v>
      </c>
      <c r="BL393" s="19" t="s">
        <v>168</v>
      </c>
      <c r="BM393" s="19" t="s">
        <v>169</v>
      </c>
      <c r="BN393" s="21">
        <v>228.03200000000001</v>
      </c>
      <c r="BO393" s="21">
        <v>99994.859596800001</v>
      </c>
      <c r="BQ393" s="2"/>
      <c r="BR393" s="2"/>
      <c r="BS393" s="2"/>
      <c r="BT393" s="2"/>
      <c r="BU393" s="22"/>
      <c r="BV393" s="2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</row>
    <row r="394" spans="1:95" x14ac:dyDescent="0.25">
      <c r="A394" s="18">
        <v>391</v>
      </c>
      <c r="B394" s="19" t="s">
        <v>6359</v>
      </c>
      <c r="C394" s="19" t="s">
        <v>6360</v>
      </c>
      <c r="D394" s="20">
        <v>45992</v>
      </c>
      <c r="E394" s="20">
        <v>36539</v>
      </c>
      <c r="F394" s="19" t="s">
        <v>6361</v>
      </c>
      <c r="G394" s="19" t="s">
        <v>139</v>
      </c>
      <c r="H394" s="19" t="s">
        <v>94</v>
      </c>
      <c r="I394" s="19"/>
      <c r="J394" s="19"/>
      <c r="K394" s="19"/>
      <c r="L394" s="19" t="s">
        <v>244</v>
      </c>
      <c r="M394" s="19" t="s">
        <v>245</v>
      </c>
      <c r="N394" s="19" t="s">
        <v>6362</v>
      </c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 t="s">
        <v>101</v>
      </c>
      <c r="Z394" s="19" t="s">
        <v>102</v>
      </c>
      <c r="AA394" s="19" t="s">
        <v>103</v>
      </c>
      <c r="AB394" s="19" t="s">
        <v>5912</v>
      </c>
      <c r="AC394" s="19" t="s">
        <v>5913</v>
      </c>
      <c r="AD394" s="19" t="s">
        <v>6363</v>
      </c>
      <c r="AE394" s="19" t="s">
        <v>6364</v>
      </c>
      <c r="AF394" s="19" t="s">
        <v>6365</v>
      </c>
      <c r="AG394" s="19" t="s">
        <v>1695</v>
      </c>
      <c r="AH394" s="19" t="s">
        <v>327</v>
      </c>
      <c r="AI394" s="19" t="s">
        <v>111</v>
      </c>
      <c r="AJ394" s="19" t="s">
        <v>6366</v>
      </c>
      <c r="AK394" s="19"/>
      <c r="AL394" s="19"/>
      <c r="AM394" s="19" t="s">
        <v>6367</v>
      </c>
      <c r="AN394" s="19" t="s">
        <v>6368</v>
      </c>
      <c r="AO394" s="19" t="s">
        <v>255</v>
      </c>
      <c r="AP394" s="19" t="s">
        <v>256</v>
      </c>
      <c r="AQ394" s="19" t="s">
        <v>117</v>
      </c>
      <c r="AR394" s="19" t="s">
        <v>257</v>
      </c>
      <c r="AS394" s="19" t="s">
        <v>258</v>
      </c>
      <c r="AT394" s="19" t="s">
        <v>259</v>
      </c>
      <c r="AU394" s="19" t="s">
        <v>260</v>
      </c>
      <c r="AV394" s="19" t="s">
        <v>260</v>
      </c>
      <c r="AW394" s="19" t="s">
        <v>261</v>
      </c>
      <c r="AX394" s="19" t="s">
        <v>262</v>
      </c>
      <c r="AY394" s="19" t="s">
        <v>263</v>
      </c>
      <c r="AZ394" s="19" t="s">
        <v>264</v>
      </c>
      <c r="BA394" s="20">
        <v>43627</v>
      </c>
      <c r="BB394" s="19" t="s">
        <v>331</v>
      </c>
      <c r="BC394" s="19" t="s">
        <v>6369</v>
      </c>
      <c r="BD394" s="19" t="s">
        <v>1695</v>
      </c>
      <c r="BE394" s="19" t="s">
        <v>130</v>
      </c>
      <c r="BF394" s="19" t="s">
        <v>6370</v>
      </c>
      <c r="BG394" s="19"/>
      <c r="BH394" s="19" t="s">
        <v>6371</v>
      </c>
      <c r="BI394" s="19" t="s">
        <v>6371</v>
      </c>
      <c r="BJ394" s="19" t="s">
        <v>166</v>
      </c>
      <c r="BK394" s="19" t="s">
        <v>167</v>
      </c>
      <c r="BL394" s="19" t="s">
        <v>168</v>
      </c>
      <c r="BM394" s="19" t="s">
        <v>169</v>
      </c>
      <c r="BN394" s="21">
        <v>58.679000000000002</v>
      </c>
      <c r="BO394" s="21">
        <v>1504.2068254999999</v>
      </c>
      <c r="BQ394" s="2"/>
      <c r="BR394" s="2"/>
      <c r="BS394" s="2"/>
      <c r="BT394" s="2"/>
      <c r="BU394" s="22"/>
      <c r="BV394" s="2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</row>
    <row r="395" spans="1:95" x14ac:dyDescent="0.25">
      <c r="A395" s="18">
        <v>392</v>
      </c>
      <c r="B395" s="19" t="s">
        <v>6372</v>
      </c>
      <c r="C395" s="19" t="s">
        <v>6373</v>
      </c>
      <c r="D395" s="20">
        <v>45999</v>
      </c>
      <c r="E395" s="20">
        <v>33282</v>
      </c>
      <c r="F395" s="19" t="s">
        <v>6374</v>
      </c>
      <c r="G395" s="19" t="s">
        <v>139</v>
      </c>
      <c r="H395" s="19" t="s">
        <v>94</v>
      </c>
      <c r="I395" s="19"/>
      <c r="J395" s="19"/>
      <c r="K395" s="19"/>
      <c r="L395" s="19" t="s">
        <v>244</v>
      </c>
      <c r="M395" s="19" t="s">
        <v>245</v>
      </c>
      <c r="N395" s="19" t="s">
        <v>6375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 t="s">
        <v>101</v>
      </c>
      <c r="Z395" s="19" t="s">
        <v>102</v>
      </c>
      <c r="AA395" s="19" t="s">
        <v>103</v>
      </c>
      <c r="AB395" s="19" t="s">
        <v>143</v>
      </c>
      <c r="AC395" s="19" t="s">
        <v>144</v>
      </c>
      <c r="AD395" s="19" t="s">
        <v>6376</v>
      </c>
      <c r="AE395" s="19" t="s">
        <v>6377</v>
      </c>
      <c r="AF395" s="19" t="s">
        <v>6378</v>
      </c>
      <c r="AG395" s="19" t="s">
        <v>6379</v>
      </c>
      <c r="AH395" s="19" t="s">
        <v>1237</v>
      </c>
      <c r="AI395" s="19" t="s">
        <v>111</v>
      </c>
      <c r="AJ395" s="19" t="s">
        <v>6380</v>
      </c>
      <c r="AK395" s="19"/>
      <c r="AL395" s="19"/>
      <c r="AM395" s="19" t="s">
        <v>6381</v>
      </c>
      <c r="AN395" s="19" t="s">
        <v>6382</v>
      </c>
      <c r="AO395" s="19" t="s">
        <v>255</v>
      </c>
      <c r="AP395" s="19" t="s">
        <v>256</v>
      </c>
      <c r="AQ395" s="19" t="s">
        <v>117</v>
      </c>
      <c r="AR395" s="19" t="s">
        <v>257</v>
      </c>
      <c r="AS395" s="19" t="s">
        <v>258</v>
      </c>
      <c r="AT395" s="19" t="s">
        <v>259</v>
      </c>
      <c r="AU395" s="19" t="s">
        <v>260</v>
      </c>
      <c r="AV395" s="19" t="s">
        <v>260</v>
      </c>
      <c r="AW395" s="19" t="s">
        <v>261</v>
      </c>
      <c r="AX395" s="19" t="s">
        <v>262</v>
      </c>
      <c r="AY395" s="19" t="s">
        <v>263</v>
      </c>
      <c r="AZ395" s="19" t="s">
        <v>264</v>
      </c>
      <c r="BA395" s="20">
        <v>43627</v>
      </c>
      <c r="BB395" s="19" t="s">
        <v>1388</v>
      </c>
      <c r="BC395" s="19" t="s">
        <v>6383</v>
      </c>
      <c r="BD395" s="19" t="s">
        <v>6384</v>
      </c>
      <c r="BE395" s="19" t="s">
        <v>130</v>
      </c>
      <c r="BF395" s="19" t="s">
        <v>6385</v>
      </c>
      <c r="BG395" s="19"/>
      <c r="BH395" s="19" t="s">
        <v>6386</v>
      </c>
      <c r="BI395" s="19" t="s">
        <v>6386</v>
      </c>
      <c r="BJ395" s="19" t="s">
        <v>166</v>
      </c>
      <c r="BK395" s="19" t="s">
        <v>167</v>
      </c>
      <c r="BL395" s="19" t="s">
        <v>168</v>
      </c>
      <c r="BM395" s="19" t="s">
        <v>169</v>
      </c>
      <c r="BN395" s="21">
        <v>13.679</v>
      </c>
      <c r="BO395" s="21">
        <v>521.03310999999997</v>
      </c>
      <c r="BQ395" s="2"/>
      <c r="BR395" s="2"/>
      <c r="BS395" s="2"/>
      <c r="BT395" s="2"/>
      <c r="BU395" s="22"/>
      <c r="BV395" s="2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</row>
    <row r="396" spans="1:95" x14ac:dyDescent="0.25">
      <c r="A396" s="18">
        <v>393</v>
      </c>
      <c r="B396" s="19" t="s">
        <v>6387</v>
      </c>
      <c r="C396" s="19" t="s">
        <v>6388</v>
      </c>
      <c r="D396" s="20">
        <v>45992</v>
      </c>
      <c r="E396" s="20">
        <v>31096</v>
      </c>
      <c r="F396" s="19"/>
      <c r="G396" s="19"/>
      <c r="H396" s="19" t="s">
        <v>94</v>
      </c>
      <c r="I396" s="19"/>
      <c r="J396" s="19"/>
      <c r="K396" s="19"/>
      <c r="L396" s="19" t="s">
        <v>101</v>
      </c>
      <c r="M396" s="19" t="s">
        <v>290</v>
      </c>
      <c r="N396" s="19" t="s">
        <v>6389</v>
      </c>
      <c r="O396" s="19" t="s">
        <v>100</v>
      </c>
      <c r="P396" s="19"/>
      <c r="Q396" s="19"/>
      <c r="R396" s="19"/>
      <c r="S396" s="19"/>
      <c r="T396" s="19"/>
      <c r="U396" s="19"/>
      <c r="V396" s="19"/>
      <c r="W396" s="19"/>
      <c r="X396" s="19"/>
      <c r="Y396" s="19" t="s">
        <v>101</v>
      </c>
      <c r="Z396" s="19" t="s">
        <v>102</v>
      </c>
      <c r="AA396" s="19" t="s">
        <v>103</v>
      </c>
      <c r="AB396" s="19" t="s">
        <v>612</v>
      </c>
      <c r="AC396" s="19" t="s">
        <v>613</v>
      </c>
      <c r="AD396" s="19" t="s">
        <v>6390</v>
      </c>
      <c r="AE396" s="19" t="s">
        <v>6391</v>
      </c>
      <c r="AF396" s="19" t="s">
        <v>6392</v>
      </c>
      <c r="AG396" s="19" t="s">
        <v>6393</v>
      </c>
      <c r="AH396" s="19" t="s">
        <v>262</v>
      </c>
      <c r="AI396" s="19" t="s">
        <v>111</v>
      </c>
      <c r="AJ396" s="19" t="s">
        <v>6394</v>
      </c>
      <c r="AK396" s="19"/>
      <c r="AL396" s="19"/>
      <c r="AM396" s="19" t="s">
        <v>6395</v>
      </c>
      <c r="AN396" s="19" t="s">
        <v>6396</v>
      </c>
      <c r="AO396" s="19" t="s">
        <v>2307</v>
      </c>
      <c r="AP396" s="19" t="s">
        <v>2308</v>
      </c>
      <c r="AQ396" s="19" t="s">
        <v>94</v>
      </c>
      <c r="AR396" s="19" t="s">
        <v>2309</v>
      </c>
      <c r="AS396" s="19" t="s">
        <v>2310</v>
      </c>
      <c r="AT396" s="19" t="s">
        <v>2311</v>
      </c>
      <c r="AU396" s="19" t="s">
        <v>2312</v>
      </c>
      <c r="AV396" s="19" t="s">
        <v>122</v>
      </c>
      <c r="AW396" s="19" t="s">
        <v>2313</v>
      </c>
      <c r="AX396" s="19" t="s">
        <v>901</v>
      </c>
      <c r="AY396" s="19" t="s">
        <v>2314</v>
      </c>
      <c r="AZ396" s="19" t="s">
        <v>2315</v>
      </c>
      <c r="BA396" s="20">
        <v>43194</v>
      </c>
      <c r="BB396" s="19" t="s">
        <v>2308</v>
      </c>
      <c r="BC396" s="19" t="s">
        <v>6397</v>
      </c>
      <c r="BD396" s="19" t="s">
        <v>260</v>
      </c>
      <c r="BE396" s="19" t="s">
        <v>130</v>
      </c>
      <c r="BF396" s="19" t="s">
        <v>6398</v>
      </c>
      <c r="BG396" s="19"/>
      <c r="BH396" s="19" t="s">
        <v>2319</v>
      </c>
      <c r="BI396" s="19" t="s">
        <v>2319</v>
      </c>
      <c r="BJ396" s="19" t="s">
        <v>166</v>
      </c>
      <c r="BK396" s="19" t="s">
        <v>195</v>
      </c>
      <c r="BL396" s="19" t="s">
        <v>122</v>
      </c>
      <c r="BM396" s="19" t="s">
        <v>196</v>
      </c>
      <c r="BN396" s="21">
        <v>1.825</v>
      </c>
      <c r="BO396" s="21">
        <v>1000.04525</v>
      </c>
      <c r="BQ396" s="2"/>
      <c r="BR396" s="2"/>
      <c r="BS396" s="2"/>
      <c r="BT396" s="2"/>
      <c r="BU396" s="22"/>
      <c r="BV396" s="2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</row>
    <row r="397" spans="1:95" x14ac:dyDescent="0.25">
      <c r="A397" s="18">
        <v>394</v>
      </c>
      <c r="B397" s="19" t="s">
        <v>6399</v>
      </c>
      <c r="C397" s="19" t="s">
        <v>6400</v>
      </c>
      <c r="D397" s="20">
        <v>45999</v>
      </c>
      <c r="E397" s="20">
        <v>38209</v>
      </c>
      <c r="F397" s="19"/>
      <c r="G397" s="19"/>
      <c r="H397" s="19" t="s">
        <v>94</v>
      </c>
      <c r="I397" s="19"/>
      <c r="J397" s="19"/>
      <c r="K397" s="19"/>
      <c r="L397" s="19" t="s">
        <v>1262</v>
      </c>
      <c r="M397" s="19" t="s">
        <v>1263</v>
      </c>
      <c r="N397" s="19" t="s">
        <v>6401</v>
      </c>
      <c r="O397" s="19" t="s">
        <v>100</v>
      </c>
      <c r="P397" s="19"/>
      <c r="Q397" s="19"/>
      <c r="R397" s="19"/>
      <c r="S397" s="19"/>
      <c r="T397" s="19"/>
      <c r="U397" s="19"/>
      <c r="V397" s="19"/>
      <c r="W397" s="19"/>
      <c r="X397" s="19"/>
      <c r="Y397" s="19" t="s">
        <v>101</v>
      </c>
      <c r="Z397" s="19" t="s">
        <v>102</v>
      </c>
      <c r="AA397" s="19" t="s">
        <v>103</v>
      </c>
      <c r="AB397" s="19" t="s">
        <v>173</v>
      </c>
      <c r="AC397" s="19" t="s">
        <v>174</v>
      </c>
      <c r="AD397" s="19" t="s">
        <v>6402</v>
      </c>
      <c r="AE397" s="19" t="s">
        <v>6403</v>
      </c>
      <c r="AF397" s="19" t="s">
        <v>6404</v>
      </c>
      <c r="AG397" s="19" t="s">
        <v>6405</v>
      </c>
      <c r="AH397" s="19" t="s">
        <v>1015</v>
      </c>
      <c r="AI397" s="19" t="s">
        <v>111</v>
      </c>
      <c r="AJ397" s="19" t="s">
        <v>6406</v>
      </c>
      <c r="AK397" s="19"/>
      <c r="AL397" s="19"/>
      <c r="AM397" s="19" t="s">
        <v>6407</v>
      </c>
      <c r="AN397" s="19" t="s">
        <v>6408</v>
      </c>
      <c r="AO397" s="19" t="s">
        <v>835</v>
      </c>
      <c r="AP397" s="19" t="s">
        <v>836</v>
      </c>
      <c r="AQ397" s="19" t="s">
        <v>117</v>
      </c>
      <c r="AR397" s="19" t="s">
        <v>837</v>
      </c>
      <c r="AS397" s="19" t="s">
        <v>838</v>
      </c>
      <c r="AT397" s="19" t="s">
        <v>839</v>
      </c>
      <c r="AU397" s="19" t="s">
        <v>840</v>
      </c>
      <c r="AV397" s="19" t="s">
        <v>841</v>
      </c>
      <c r="AW397" s="19"/>
      <c r="AX397" s="19" t="s">
        <v>707</v>
      </c>
      <c r="AY397" s="19" t="s">
        <v>842</v>
      </c>
      <c r="AZ397" s="19" t="s">
        <v>843</v>
      </c>
      <c r="BA397" s="20">
        <v>45453</v>
      </c>
      <c r="BB397" s="19" t="s">
        <v>1002</v>
      </c>
      <c r="BC397" s="19" t="s">
        <v>1896</v>
      </c>
      <c r="BD397" s="19" t="s">
        <v>260</v>
      </c>
      <c r="BE397" s="19" t="s">
        <v>130</v>
      </c>
      <c r="BF397" s="19" t="s">
        <v>6409</v>
      </c>
      <c r="BG397" s="19"/>
      <c r="BH397" s="19" t="s">
        <v>1898</v>
      </c>
      <c r="BI397" s="19" t="s">
        <v>1898</v>
      </c>
      <c r="BJ397" s="19" t="s">
        <v>194</v>
      </c>
      <c r="BK397" s="19" t="s">
        <v>195</v>
      </c>
      <c r="BL397" s="19" t="s">
        <v>122</v>
      </c>
      <c r="BM397" s="19" t="s">
        <v>196</v>
      </c>
      <c r="BN397" s="21">
        <v>0</v>
      </c>
      <c r="BO397" s="21">
        <v>0</v>
      </c>
      <c r="BQ397" s="2"/>
      <c r="BR397" s="2"/>
      <c r="BS397" s="2"/>
      <c r="BT397" s="2"/>
      <c r="BU397" s="22"/>
      <c r="BV397" s="2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</row>
    <row r="398" spans="1:95" x14ac:dyDescent="0.25">
      <c r="A398" s="18">
        <v>395</v>
      </c>
      <c r="B398" s="19" t="s">
        <v>6410</v>
      </c>
      <c r="C398" s="19" t="s">
        <v>6411</v>
      </c>
      <c r="D398" s="20">
        <v>45999</v>
      </c>
      <c r="E398" s="20">
        <v>33756</v>
      </c>
      <c r="F398" s="19"/>
      <c r="G398" s="19"/>
      <c r="H398" s="19" t="s">
        <v>94</v>
      </c>
      <c r="I398" s="19"/>
      <c r="J398" s="19"/>
      <c r="K398" s="19"/>
      <c r="L398" s="19" t="s">
        <v>687</v>
      </c>
      <c r="M398" s="19" t="s">
        <v>688</v>
      </c>
      <c r="N398" s="19" t="s">
        <v>6412</v>
      </c>
      <c r="O398" s="19" t="s">
        <v>100</v>
      </c>
      <c r="P398" s="19"/>
      <c r="Q398" s="19"/>
      <c r="R398" s="19"/>
      <c r="S398" s="19"/>
      <c r="T398" s="19"/>
      <c r="U398" s="19"/>
      <c r="V398" s="19"/>
      <c r="W398" s="19"/>
      <c r="X398" s="19"/>
      <c r="Y398" s="19" t="s">
        <v>101</v>
      </c>
      <c r="Z398" s="19" t="s">
        <v>102</v>
      </c>
      <c r="AA398" s="19" t="s">
        <v>103</v>
      </c>
      <c r="AB398" s="19" t="s">
        <v>173</v>
      </c>
      <c r="AC398" s="19" t="s">
        <v>174</v>
      </c>
      <c r="AD398" s="19" t="s">
        <v>6413</v>
      </c>
      <c r="AE398" s="19" t="s">
        <v>6414</v>
      </c>
      <c r="AF398" s="19"/>
      <c r="AG398" s="19" t="s">
        <v>6415</v>
      </c>
      <c r="AH398" s="19" t="s">
        <v>262</v>
      </c>
      <c r="AI398" s="19" t="s">
        <v>111</v>
      </c>
      <c r="AJ398" s="19" t="s">
        <v>6416</v>
      </c>
      <c r="AK398" s="19"/>
      <c r="AL398" s="19"/>
      <c r="AM398" s="19" t="s">
        <v>6417</v>
      </c>
      <c r="AN398" s="19" t="s">
        <v>6418</v>
      </c>
      <c r="AO398" s="19" t="s">
        <v>181</v>
      </c>
      <c r="AP398" s="19" t="s">
        <v>182</v>
      </c>
      <c r="AQ398" s="19" t="s">
        <v>117</v>
      </c>
      <c r="AR398" s="19" t="s">
        <v>183</v>
      </c>
      <c r="AS398" s="19" t="s">
        <v>184</v>
      </c>
      <c r="AT398" s="19" t="s">
        <v>185</v>
      </c>
      <c r="AU398" s="19"/>
      <c r="AV398" s="19" t="s">
        <v>186</v>
      </c>
      <c r="AW398" s="19" t="s">
        <v>187</v>
      </c>
      <c r="AX398" s="19" t="s">
        <v>188</v>
      </c>
      <c r="AY398" s="19"/>
      <c r="AZ398" s="19" t="s">
        <v>189</v>
      </c>
      <c r="BA398" s="20">
        <v>44673</v>
      </c>
      <c r="BB398" s="19" t="s">
        <v>1002</v>
      </c>
      <c r="BC398" s="19" t="s">
        <v>6419</v>
      </c>
      <c r="BD398" s="19" t="s">
        <v>6419</v>
      </c>
      <c r="BE398" s="19" t="s">
        <v>130</v>
      </c>
      <c r="BF398" s="19" t="s">
        <v>6420</v>
      </c>
      <c r="BG398" s="19"/>
      <c r="BH398" s="19" t="s">
        <v>6421</v>
      </c>
      <c r="BI398" s="19" t="s">
        <v>6421</v>
      </c>
      <c r="BJ398" s="19" t="s">
        <v>194</v>
      </c>
      <c r="BK398" s="19" t="s">
        <v>195</v>
      </c>
      <c r="BL398" s="19" t="s">
        <v>122</v>
      </c>
      <c r="BM398" s="19" t="s">
        <v>196</v>
      </c>
      <c r="BN398" s="21">
        <v>3.5779999999999998</v>
      </c>
      <c r="BO398" s="21">
        <v>126.7477876</v>
      </c>
      <c r="BQ398" s="2"/>
      <c r="BR398" s="2"/>
      <c r="BS398" s="2"/>
      <c r="BT398" s="2"/>
      <c r="BU398" s="22"/>
      <c r="BV398" s="2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</row>
    <row r="399" spans="1:95" x14ac:dyDescent="0.25">
      <c r="A399" s="18">
        <v>396</v>
      </c>
      <c r="B399" s="19" t="s">
        <v>6422</v>
      </c>
      <c r="C399" s="19" t="s">
        <v>6423</v>
      </c>
      <c r="D399" s="20">
        <v>45992</v>
      </c>
      <c r="E399" s="20">
        <v>35143</v>
      </c>
      <c r="F399" s="19" t="s">
        <v>6424</v>
      </c>
      <c r="G399" s="19" t="s">
        <v>139</v>
      </c>
      <c r="H399" s="19" t="s">
        <v>117</v>
      </c>
      <c r="I399" s="19" t="s">
        <v>6425</v>
      </c>
      <c r="J399" s="19"/>
      <c r="K399" s="19"/>
      <c r="L399" s="19" t="s">
        <v>467</v>
      </c>
      <c r="M399" s="19" t="s">
        <v>468</v>
      </c>
      <c r="N399" s="19" t="s">
        <v>6426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 t="s">
        <v>101</v>
      </c>
      <c r="Z399" s="19" t="s">
        <v>102</v>
      </c>
      <c r="AA399" s="19" t="s">
        <v>103</v>
      </c>
      <c r="AB399" s="19" t="s">
        <v>247</v>
      </c>
      <c r="AC399" s="19" t="s">
        <v>248</v>
      </c>
      <c r="AD399" s="19" t="s">
        <v>6427</v>
      </c>
      <c r="AE399" s="19" t="s">
        <v>6428</v>
      </c>
      <c r="AF399" s="19"/>
      <c r="AG399" s="19" t="s">
        <v>6429</v>
      </c>
      <c r="AH399" s="19" t="s">
        <v>327</v>
      </c>
      <c r="AI399" s="19" t="s">
        <v>111</v>
      </c>
      <c r="AJ399" s="19" t="s">
        <v>6430</v>
      </c>
      <c r="AK399" s="19"/>
      <c r="AL399" s="19"/>
      <c r="AM399" s="19" t="s">
        <v>6431</v>
      </c>
      <c r="AN399" s="19" t="s">
        <v>6432</v>
      </c>
      <c r="AO399" s="19" t="s">
        <v>476</v>
      </c>
      <c r="AP399" s="19" t="s">
        <v>477</v>
      </c>
      <c r="AQ399" s="19" t="s">
        <v>117</v>
      </c>
      <c r="AR399" s="19" t="s">
        <v>478</v>
      </c>
      <c r="AS399" s="19"/>
      <c r="AT399" s="19"/>
      <c r="AU399" s="19"/>
      <c r="AV399" s="19"/>
      <c r="AW399" s="19"/>
      <c r="AX399" s="19"/>
      <c r="AY399" s="19"/>
      <c r="AZ399" s="19"/>
      <c r="BA399" s="20">
        <v>44452</v>
      </c>
      <c r="BB399" s="19" t="s">
        <v>2877</v>
      </c>
      <c r="BC399" s="19" t="s">
        <v>6433</v>
      </c>
      <c r="BD399" s="19" t="s">
        <v>6433</v>
      </c>
      <c r="BE399" s="19" t="s">
        <v>130</v>
      </c>
      <c r="BF399" s="19" t="s">
        <v>6434</v>
      </c>
      <c r="BG399" s="19"/>
      <c r="BH399" s="19" t="s">
        <v>6435</v>
      </c>
      <c r="BI399" s="19" t="s">
        <v>6435</v>
      </c>
      <c r="BJ399" s="19" t="s">
        <v>166</v>
      </c>
      <c r="BK399" s="19" t="s">
        <v>167</v>
      </c>
      <c r="BL399" s="19" t="s">
        <v>168</v>
      </c>
      <c r="BM399" s="19" t="s">
        <v>169</v>
      </c>
      <c r="BN399" s="21">
        <v>114.58</v>
      </c>
      <c r="BO399" s="21">
        <v>50244.750791999999</v>
      </c>
      <c r="BQ399" s="2"/>
      <c r="BR399" s="2"/>
      <c r="BS399" s="2"/>
      <c r="BT399" s="2"/>
      <c r="BU399" s="22"/>
      <c r="BV399" s="2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</row>
    <row r="400" spans="1:95" x14ac:dyDescent="0.25">
      <c r="A400" s="18">
        <v>397</v>
      </c>
      <c r="B400" s="19" t="s">
        <v>6436</v>
      </c>
      <c r="C400" s="19" t="s">
        <v>6437</v>
      </c>
      <c r="D400" s="20">
        <v>46000</v>
      </c>
      <c r="E400" s="20">
        <v>35223</v>
      </c>
      <c r="F400" s="19" t="s">
        <v>6438</v>
      </c>
      <c r="G400" s="19" t="s">
        <v>139</v>
      </c>
      <c r="H400" s="19" t="s">
        <v>94</v>
      </c>
      <c r="I400" s="19"/>
      <c r="J400" s="19"/>
      <c r="K400" s="19"/>
      <c r="L400" s="19" t="s">
        <v>244</v>
      </c>
      <c r="M400" s="19" t="s">
        <v>245</v>
      </c>
      <c r="N400" s="19" t="s">
        <v>6439</v>
      </c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 t="s">
        <v>101</v>
      </c>
      <c r="Z400" s="19" t="s">
        <v>102</v>
      </c>
      <c r="AA400" s="19" t="s">
        <v>103</v>
      </c>
      <c r="AB400" s="19" t="s">
        <v>143</v>
      </c>
      <c r="AC400" s="19" t="s">
        <v>144</v>
      </c>
      <c r="AD400" s="19" t="s">
        <v>6440</v>
      </c>
      <c r="AE400" s="19" t="s">
        <v>6441</v>
      </c>
      <c r="AF400" s="19" t="s">
        <v>6442</v>
      </c>
      <c r="AG400" s="19" t="s">
        <v>4699</v>
      </c>
      <c r="AH400" s="19" t="s">
        <v>2860</v>
      </c>
      <c r="AI400" s="19"/>
      <c r="AJ400" s="19" t="s">
        <v>6443</v>
      </c>
      <c r="AK400" s="19"/>
      <c r="AL400" s="19"/>
      <c r="AM400" s="19" t="s">
        <v>6444</v>
      </c>
      <c r="AN400" s="19" t="s">
        <v>6445</v>
      </c>
      <c r="AO400" s="19" t="s">
        <v>255</v>
      </c>
      <c r="AP400" s="19" t="s">
        <v>256</v>
      </c>
      <c r="AQ400" s="19" t="s">
        <v>117</v>
      </c>
      <c r="AR400" s="19" t="s">
        <v>257</v>
      </c>
      <c r="AS400" s="19" t="s">
        <v>258</v>
      </c>
      <c r="AT400" s="19" t="s">
        <v>259</v>
      </c>
      <c r="AU400" s="19" t="s">
        <v>260</v>
      </c>
      <c r="AV400" s="19" t="s">
        <v>260</v>
      </c>
      <c r="AW400" s="19" t="s">
        <v>261</v>
      </c>
      <c r="AX400" s="19" t="s">
        <v>262</v>
      </c>
      <c r="AY400" s="19" t="s">
        <v>263</v>
      </c>
      <c r="AZ400" s="19" t="s">
        <v>264</v>
      </c>
      <c r="BA400" s="20">
        <v>43627</v>
      </c>
      <c r="BB400" s="19" t="s">
        <v>265</v>
      </c>
      <c r="BC400" s="19" t="s">
        <v>6446</v>
      </c>
      <c r="BD400" s="19" t="s">
        <v>4699</v>
      </c>
      <c r="BE400" s="19" t="s">
        <v>130</v>
      </c>
      <c r="BF400" s="19" t="s">
        <v>6447</v>
      </c>
      <c r="BG400" s="19"/>
      <c r="BH400" s="19" t="s">
        <v>6448</v>
      </c>
      <c r="BI400" s="19" t="s">
        <v>6448</v>
      </c>
      <c r="BJ400" s="19" t="s">
        <v>166</v>
      </c>
      <c r="BK400" s="19" t="s">
        <v>167</v>
      </c>
      <c r="BL400" s="19" t="s">
        <v>168</v>
      </c>
      <c r="BM400" s="19" t="s">
        <v>169</v>
      </c>
      <c r="BN400" s="21">
        <v>13.609</v>
      </c>
      <c r="BO400" s="21">
        <v>518.36680999999999</v>
      </c>
      <c r="BQ400" s="2"/>
      <c r="BR400" s="2"/>
      <c r="BS400" s="2"/>
      <c r="BT400" s="2"/>
      <c r="BU400" s="22"/>
      <c r="BV400" s="2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</row>
    <row r="401" spans="1:95" x14ac:dyDescent="0.25">
      <c r="A401" s="18">
        <v>398</v>
      </c>
      <c r="B401" s="19" t="s">
        <v>6449</v>
      </c>
      <c r="C401" s="19" t="s">
        <v>6450</v>
      </c>
      <c r="D401" s="20">
        <v>45994</v>
      </c>
      <c r="E401" s="20">
        <v>35832</v>
      </c>
      <c r="F401" s="19"/>
      <c r="G401" s="19"/>
      <c r="H401" s="19" t="s">
        <v>94</v>
      </c>
      <c r="I401" s="19"/>
      <c r="J401" s="19"/>
      <c r="K401" s="19"/>
      <c r="L401" s="19" t="s">
        <v>97</v>
      </c>
      <c r="M401" s="19" t="s">
        <v>98</v>
      </c>
      <c r="N401" s="19" t="s">
        <v>6451</v>
      </c>
      <c r="O401" s="19" t="s">
        <v>100</v>
      </c>
      <c r="P401" s="19"/>
      <c r="Q401" s="19"/>
      <c r="R401" s="19"/>
      <c r="S401" s="19"/>
      <c r="T401" s="19"/>
      <c r="U401" s="19"/>
      <c r="V401" s="19"/>
      <c r="W401" s="19"/>
      <c r="X401" s="19"/>
      <c r="Y401" s="19" t="s">
        <v>101</v>
      </c>
      <c r="Z401" s="19" t="s">
        <v>102</v>
      </c>
      <c r="AA401" s="19" t="s">
        <v>103</v>
      </c>
      <c r="AB401" s="19" t="s">
        <v>402</v>
      </c>
      <c r="AC401" s="19" t="s">
        <v>403</v>
      </c>
      <c r="AD401" s="19" t="s">
        <v>6452</v>
      </c>
      <c r="AE401" s="19" t="s">
        <v>6453</v>
      </c>
      <c r="AF401" s="19"/>
      <c r="AG401" s="19" t="s">
        <v>4699</v>
      </c>
      <c r="AH401" s="19" t="s">
        <v>6454</v>
      </c>
      <c r="AI401" s="19" t="s">
        <v>111</v>
      </c>
      <c r="AJ401" s="19" t="s">
        <v>6455</v>
      </c>
      <c r="AK401" s="19"/>
      <c r="AL401" s="19"/>
      <c r="AM401" s="19" t="s">
        <v>6456</v>
      </c>
      <c r="AN401" s="19" t="s">
        <v>6457</v>
      </c>
      <c r="AO401" s="19" t="s">
        <v>1699</v>
      </c>
      <c r="AP401" s="19" t="s">
        <v>1700</v>
      </c>
      <c r="AQ401" s="19" t="s">
        <v>94</v>
      </c>
      <c r="AR401" s="19" t="s">
        <v>1701</v>
      </c>
      <c r="AS401" s="19" t="s">
        <v>1702</v>
      </c>
      <c r="AT401" s="19" t="s">
        <v>1703</v>
      </c>
      <c r="AU401" s="19"/>
      <c r="AV401" s="19" t="s">
        <v>168</v>
      </c>
      <c r="AW401" s="19" t="s">
        <v>1704</v>
      </c>
      <c r="AX401" s="19" t="s">
        <v>262</v>
      </c>
      <c r="AY401" s="19" t="s">
        <v>1705</v>
      </c>
      <c r="AZ401" s="19" t="s">
        <v>1706</v>
      </c>
      <c r="BA401" s="20">
        <v>45993</v>
      </c>
      <c r="BB401" s="19" t="s">
        <v>444</v>
      </c>
      <c r="BC401" s="19" t="s">
        <v>6458</v>
      </c>
      <c r="BD401" s="19" t="s">
        <v>4699</v>
      </c>
      <c r="BE401" s="19" t="s">
        <v>130</v>
      </c>
      <c r="BF401" s="19" t="s">
        <v>6459</v>
      </c>
      <c r="BG401" s="19"/>
      <c r="BH401" s="19" t="s">
        <v>6460</v>
      </c>
      <c r="BI401" s="19" t="s">
        <v>6460</v>
      </c>
      <c r="BJ401" s="19" t="s">
        <v>166</v>
      </c>
      <c r="BK401" s="19" t="s">
        <v>167</v>
      </c>
      <c r="BL401" s="19" t="s">
        <v>168</v>
      </c>
      <c r="BM401" s="19" t="s">
        <v>169</v>
      </c>
      <c r="BN401" s="21">
        <v>0.90900000000000003</v>
      </c>
      <c r="BO401" s="21">
        <v>1721.0369700000001</v>
      </c>
      <c r="BQ401" s="2"/>
      <c r="BR401" s="2"/>
      <c r="BS401" s="2"/>
      <c r="BT401" s="2"/>
      <c r="BU401" s="22"/>
      <c r="BV401" s="2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</row>
    <row r="402" spans="1:95" x14ac:dyDescent="0.25">
      <c r="A402" s="18">
        <v>399</v>
      </c>
      <c r="B402" s="19" t="s">
        <v>6461</v>
      </c>
      <c r="C402" s="19" t="s">
        <v>6462</v>
      </c>
      <c r="D402" s="20">
        <v>46001</v>
      </c>
      <c r="E402" s="20">
        <v>28801</v>
      </c>
      <c r="F402" s="19" t="s">
        <v>6463</v>
      </c>
      <c r="G402" s="19" t="s">
        <v>139</v>
      </c>
      <c r="H402" s="19" t="s">
        <v>94</v>
      </c>
      <c r="I402" s="19"/>
      <c r="J402" s="19"/>
      <c r="K402" s="19"/>
      <c r="L402" s="19" t="s">
        <v>244</v>
      </c>
      <c r="M402" s="19" t="s">
        <v>245</v>
      </c>
      <c r="N402" s="19" t="s">
        <v>6464</v>
      </c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 t="s">
        <v>101</v>
      </c>
      <c r="Z402" s="19" t="s">
        <v>102</v>
      </c>
      <c r="AA402" s="19" t="s">
        <v>103</v>
      </c>
      <c r="AB402" s="19" t="s">
        <v>143</v>
      </c>
      <c r="AC402" s="19" t="s">
        <v>144</v>
      </c>
      <c r="AD402" s="19" t="s">
        <v>6465</v>
      </c>
      <c r="AE402" s="19" t="s">
        <v>6466</v>
      </c>
      <c r="AF402" s="19" t="s">
        <v>6467</v>
      </c>
      <c r="AG402" s="19" t="s">
        <v>3193</v>
      </c>
      <c r="AH402" s="19" t="s">
        <v>327</v>
      </c>
      <c r="AI402" s="19"/>
      <c r="AJ402" s="19" t="s">
        <v>6468</v>
      </c>
      <c r="AK402" s="19"/>
      <c r="AL402" s="19"/>
      <c r="AM402" s="19" t="s">
        <v>6469</v>
      </c>
      <c r="AN402" s="19" t="s">
        <v>6470</v>
      </c>
      <c r="AO402" s="19" t="s">
        <v>255</v>
      </c>
      <c r="AP402" s="19" t="s">
        <v>256</v>
      </c>
      <c r="AQ402" s="19" t="s">
        <v>117</v>
      </c>
      <c r="AR402" s="19" t="s">
        <v>257</v>
      </c>
      <c r="AS402" s="19" t="s">
        <v>258</v>
      </c>
      <c r="AT402" s="19" t="s">
        <v>259</v>
      </c>
      <c r="AU402" s="19" t="s">
        <v>260</v>
      </c>
      <c r="AV402" s="19" t="s">
        <v>260</v>
      </c>
      <c r="AW402" s="19" t="s">
        <v>261</v>
      </c>
      <c r="AX402" s="19" t="s">
        <v>262</v>
      </c>
      <c r="AY402" s="19" t="s">
        <v>263</v>
      </c>
      <c r="AZ402" s="19" t="s">
        <v>264</v>
      </c>
      <c r="BA402" s="20">
        <v>43627</v>
      </c>
      <c r="BB402" s="19" t="s">
        <v>331</v>
      </c>
      <c r="BC402" s="19" t="s">
        <v>6471</v>
      </c>
      <c r="BD402" s="19" t="s">
        <v>3193</v>
      </c>
      <c r="BE402" s="19" t="s">
        <v>130</v>
      </c>
      <c r="BF402" s="19" t="s">
        <v>6472</v>
      </c>
      <c r="BG402" s="19"/>
      <c r="BH402" s="19" t="s">
        <v>6473</v>
      </c>
      <c r="BI402" s="19" t="s">
        <v>6473</v>
      </c>
      <c r="BJ402" s="19" t="s">
        <v>166</v>
      </c>
      <c r="BK402" s="19" t="s">
        <v>167</v>
      </c>
      <c r="BL402" s="19" t="s">
        <v>168</v>
      </c>
      <c r="BM402" s="19" t="s">
        <v>169</v>
      </c>
      <c r="BN402" s="21">
        <v>13.631</v>
      </c>
      <c r="BO402" s="21">
        <v>519.20479</v>
      </c>
      <c r="BQ402" s="2"/>
      <c r="BR402" s="2"/>
      <c r="BS402" s="2"/>
      <c r="BT402" s="2"/>
      <c r="BU402" s="22"/>
      <c r="BV402" s="2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</row>
    <row r="403" spans="1:95" x14ac:dyDescent="0.25">
      <c r="A403" s="18">
        <v>400</v>
      </c>
      <c r="B403" s="19" t="s">
        <v>6474</v>
      </c>
      <c r="C403" s="19" t="s">
        <v>6475</v>
      </c>
      <c r="D403" s="20">
        <v>45996</v>
      </c>
      <c r="E403" s="20">
        <v>33577</v>
      </c>
      <c r="F403" s="19"/>
      <c r="G403" s="19"/>
      <c r="H403" s="19" t="s">
        <v>94</v>
      </c>
      <c r="I403" s="19"/>
      <c r="J403" s="19" t="s">
        <v>3080</v>
      </c>
      <c r="K403" s="19" t="s">
        <v>3081</v>
      </c>
      <c r="L403" s="19" t="s">
        <v>97</v>
      </c>
      <c r="M403" s="19" t="s">
        <v>98</v>
      </c>
      <c r="N403" s="19" t="s">
        <v>6476</v>
      </c>
      <c r="O403" s="19" t="s">
        <v>100</v>
      </c>
      <c r="P403" s="19"/>
      <c r="Q403" s="19"/>
      <c r="R403" s="19"/>
      <c r="S403" s="19"/>
      <c r="T403" s="19"/>
      <c r="U403" s="19"/>
      <c r="V403" s="19"/>
      <c r="W403" s="19"/>
      <c r="X403" s="19"/>
      <c r="Y403" s="19" t="s">
        <v>101</v>
      </c>
      <c r="Z403" s="19" t="s">
        <v>102</v>
      </c>
      <c r="AA403" s="19" t="s">
        <v>103</v>
      </c>
      <c r="AB403" s="19" t="s">
        <v>6477</v>
      </c>
      <c r="AC403" s="19" t="s">
        <v>6478</v>
      </c>
      <c r="AD403" s="19" t="s">
        <v>6479</v>
      </c>
      <c r="AE403" s="19" t="s">
        <v>6480</v>
      </c>
      <c r="AF403" s="19" t="s">
        <v>6481</v>
      </c>
      <c r="AG403" s="19" t="s">
        <v>623</v>
      </c>
      <c r="AH403" s="19" t="s">
        <v>124</v>
      </c>
      <c r="AI403" s="19" t="s">
        <v>111</v>
      </c>
      <c r="AJ403" s="19" t="s">
        <v>4813</v>
      </c>
      <c r="AK403" s="19"/>
      <c r="AL403" s="19"/>
      <c r="AM403" s="19" t="s">
        <v>6482</v>
      </c>
      <c r="AN403" s="19" t="s">
        <v>6483</v>
      </c>
      <c r="AO403" s="19" t="s">
        <v>6484</v>
      </c>
      <c r="AP403" s="19" t="s">
        <v>6485</v>
      </c>
      <c r="AQ403" s="19" t="s">
        <v>117</v>
      </c>
      <c r="AR403" s="19" t="s">
        <v>6486</v>
      </c>
      <c r="AS403" s="19" t="s">
        <v>6487</v>
      </c>
      <c r="AT403" s="19" t="s">
        <v>6488</v>
      </c>
      <c r="AU403" s="19"/>
      <c r="AV403" s="19" t="s">
        <v>616</v>
      </c>
      <c r="AW403" s="19" t="s">
        <v>3428</v>
      </c>
      <c r="AX403" s="19" t="s">
        <v>901</v>
      </c>
      <c r="AY403" s="19" t="s">
        <v>6489</v>
      </c>
      <c r="AZ403" s="19" t="s">
        <v>6490</v>
      </c>
      <c r="BA403" s="20">
        <v>45935</v>
      </c>
      <c r="BB403" s="19" t="s">
        <v>2253</v>
      </c>
      <c r="BC403" s="19" t="s">
        <v>6491</v>
      </c>
      <c r="BD403" s="19" t="s">
        <v>623</v>
      </c>
      <c r="BE403" s="19" t="s">
        <v>130</v>
      </c>
      <c r="BF403" s="19" t="s">
        <v>6492</v>
      </c>
      <c r="BG403" s="19"/>
      <c r="BH403" s="19" t="s">
        <v>6493</v>
      </c>
      <c r="BI403" s="19" t="s">
        <v>6493</v>
      </c>
      <c r="BJ403" s="19" t="s">
        <v>2259</v>
      </c>
      <c r="BK403" s="19" t="s">
        <v>6494</v>
      </c>
      <c r="BL403" s="19" t="s">
        <v>3789</v>
      </c>
      <c r="BM403" s="19" t="s">
        <v>592</v>
      </c>
      <c r="BN403" s="21">
        <v>156.46199999999999</v>
      </c>
      <c r="BO403" s="21">
        <v>10080.846659999999</v>
      </c>
      <c r="BQ403" s="2"/>
      <c r="BR403" s="2"/>
      <c r="BS403" s="2"/>
      <c r="BT403" s="2"/>
      <c r="BU403" s="22"/>
      <c r="BV403" s="2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</row>
    <row r="404" spans="1:95" x14ac:dyDescent="0.25">
      <c r="A404" s="18">
        <v>401</v>
      </c>
      <c r="B404" s="19" t="s">
        <v>6495</v>
      </c>
      <c r="C404" s="19" t="s">
        <v>6496</v>
      </c>
      <c r="D404" s="20">
        <v>46000</v>
      </c>
      <c r="E404" s="20">
        <v>21442</v>
      </c>
      <c r="F404" s="19"/>
      <c r="G404" s="19"/>
      <c r="H404" s="19" t="s">
        <v>94</v>
      </c>
      <c r="I404" s="19"/>
      <c r="J404" s="19" t="s">
        <v>95</v>
      </c>
      <c r="K404" s="19" t="s">
        <v>96</v>
      </c>
      <c r="L404" s="19" t="s">
        <v>101</v>
      </c>
      <c r="M404" s="19" t="s">
        <v>290</v>
      </c>
      <c r="N404" s="19" t="s">
        <v>6497</v>
      </c>
      <c r="O404" s="19" t="s">
        <v>100</v>
      </c>
      <c r="P404" s="19"/>
      <c r="Q404" s="19"/>
      <c r="R404" s="19"/>
      <c r="S404" s="19"/>
      <c r="T404" s="19"/>
      <c r="U404" s="19"/>
      <c r="V404" s="19"/>
      <c r="W404" s="19"/>
      <c r="X404" s="19"/>
      <c r="Y404" s="19" t="s">
        <v>101</v>
      </c>
      <c r="Z404" s="19" t="s">
        <v>102</v>
      </c>
      <c r="AA404" s="19" t="s">
        <v>103</v>
      </c>
      <c r="AB404" s="19" t="s">
        <v>402</v>
      </c>
      <c r="AC404" s="19" t="s">
        <v>403</v>
      </c>
      <c r="AD404" s="19" t="s">
        <v>6498</v>
      </c>
      <c r="AE404" s="19" t="s">
        <v>6499</v>
      </c>
      <c r="AF404" s="19" t="s">
        <v>6500</v>
      </c>
      <c r="AG404" s="19" t="s">
        <v>6501</v>
      </c>
      <c r="AH404" s="19" t="s">
        <v>231</v>
      </c>
      <c r="AI404" s="19" t="s">
        <v>111</v>
      </c>
      <c r="AJ404" s="19" t="s">
        <v>1377</v>
      </c>
      <c r="AK404" s="19"/>
      <c r="AL404" s="19"/>
      <c r="AM404" s="19" t="s">
        <v>6502</v>
      </c>
      <c r="AN404" s="19" t="s">
        <v>6503</v>
      </c>
      <c r="AO404" s="19" t="s">
        <v>6504</v>
      </c>
      <c r="AP404" s="19" t="s">
        <v>6505</v>
      </c>
      <c r="AQ404" s="19" t="s">
        <v>117</v>
      </c>
      <c r="AR404" s="19" t="s">
        <v>6506</v>
      </c>
      <c r="AS404" s="19" t="s">
        <v>6507</v>
      </c>
      <c r="AT404" s="19" t="s">
        <v>6508</v>
      </c>
      <c r="AU404" s="19" t="s">
        <v>6509</v>
      </c>
      <c r="AV404" s="19" t="s">
        <v>1390</v>
      </c>
      <c r="AW404" s="19" t="s">
        <v>3247</v>
      </c>
      <c r="AX404" s="19" t="s">
        <v>231</v>
      </c>
      <c r="AY404" s="19" t="s">
        <v>6510</v>
      </c>
      <c r="AZ404" s="19" t="s">
        <v>6511</v>
      </c>
      <c r="BA404" s="20">
        <v>39531</v>
      </c>
      <c r="BB404" s="19" t="s">
        <v>363</v>
      </c>
      <c r="BC404" s="19" t="s">
        <v>6512</v>
      </c>
      <c r="BD404" s="19" t="s">
        <v>1376</v>
      </c>
      <c r="BE404" s="19" t="s">
        <v>130</v>
      </c>
      <c r="BF404" s="19" t="s">
        <v>6513</v>
      </c>
      <c r="BG404" s="19" t="s">
        <v>6514</v>
      </c>
      <c r="BH404" s="19" t="s">
        <v>6515</v>
      </c>
      <c r="BI404" s="19" t="s">
        <v>6515</v>
      </c>
      <c r="BJ404" s="19" t="s">
        <v>166</v>
      </c>
      <c r="BK404" s="19" t="s">
        <v>1395</v>
      </c>
      <c r="BL404" s="19" t="s">
        <v>1390</v>
      </c>
      <c r="BM404" s="19" t="s">
        <v>135</v>
      </c>
      <c r="BN404" s="21">
        <v>403.97899999999998</v>
      </c>
      <c r="BO404" s="21">
        <v>764865.56007000001</v>
      </c>
      <c r="BQ404" s="2"/>
      <c r="BR404" s="2"/>
      <c r="BS404" s="2"/>
      <c r="BT404" s="2"/>
      <c r="BU404" s="22"/>
      <c r="BV404" s="2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</row>
    <row r="405" spans="1:95" x14ac:dyDescent="0.25">
      <c r="A405" s="18">
        <v>402</v>
      </c>
      <c r="B405" s="19" t="s">
        <v>6516</v>
      </c>
      <c r="C405" s="19" t="s">
        <v>6517</v>
      </c>
      <c r="D405" s="20">
        <v>46001</v>
      </c>
      <c r="E405" s="20">
        <v>34801</v>
      </c>
      <c r="F405" s="19" t="s">
        <v>6518</v>
      </c>
      <c r="G405" s="19" t="s">
        <v>139</v>
      </c>
      <c r="H405" s="19" t="s">
        <v>94</v>
      </c>
      <c r="I405" s="19"/>
      <c r="J405" s="19"/>
      <c r="K405" s="19"/>
      <c r="L405" s="19" t="s">
        <v>244</v>
      </c>
      <c r="M405" s="19" t="s">
        <v>245</v>
      </c>
      <c r="N405" s="19" t="s">
        <v>6519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 t="s">
        <v>101</v>
      </c>
      <c r="Z405" s="19" t="s">
        <v>102</v>
      </c>
      <c r="AA405" s="19" t="s">
        <v>103</v>
      </c>
      <c r="AB405" s="19" t="s">
        <v>247</v>
      </c>
      <c r="AC405" s="19" t="s">
        <v>248</v>
      </c>
      <c r="AD405" s="19" t="s">
        <v>6520</v>
      </c>
      <c r="AE405" s="19" t="s">
        <v>6521</v>
      </c>
      <c r="AF405" s="19"/>
      <c r="AG405" s="19" t="s">
        <v>755</v>
      </c>
      <c r="AH405" s="19" t="s">
        <v>757</v>
      </c>
      <c r="AI405" s="19" t="s">
        <v>111</v>
      </c>
      <c r="AJ405" s="19" t="s">
        <v>6522</v>
      </c>
      <c r="AK405" s="19"/>
      <c r="AL405" s="19"/>
      <c r="AM405" s="19" t="s">
        <v>6523</v>
      </c>
      <c r="AN405" s="19" t="s">
        <v>6524</v>
      </c>
      <c r="AO405" s="19" t="s">
        <v>255</v>
      </c>
      <c r="AP405" s="19" t="s">
        <v>256</v>
      </c>
      <c r="AQ405" s="19" t="s">
        <v>117</v>
      </c>
      <c r="AR405" s="19" t="s">
        <v>257</v>
      </c>
      <c r="AS405" s="19" t="s">
        <v>258</v>
      </c>
      <c r="AT405" s="19" t="s">
        <v>259</v>
      </c>
      <c r="AU405" s="19" t="s">
        <v>260</v>
      </c>
      <c r="AV405" s="19" t="s">
        <v>260</v>
      </c>
      <c r="AW405" s="19" t="s">
        <v>261</v>
      </c>
      <c r="AX405" s="19" t="s">
        <v>262</v>
      </c>
      <c r="AY405" s="19" t="s">
        <v>263</v>
      </c>
      <c r="AZ405" s="19" t="s">
        <v>264</v>
      </c>
      <c r="BA405" s="20">
        <v>43627</v>
      </c>
      <c r="BB405" s="19" t="s">
        <v>479</v>
      </c>
      <c r="BC405" s="19" t="s">
        <v>6525</v>
      </c>
      <c r="BD405" s="19" t="s">
        <v>755</v>
      </c>
      <c r="BE405" s="19" t="s">
        <v>130</v>
      </c>
      <c r="BF405" s="19" t="s">
        <v>6526</v>
      </c>
      <c r="BG405" s="19"/>
      <c r="BH405" s="19" t="s">
        <v>6527</v>
      </c>
      <c r="BI405" s="19" t="s">
        <v>6527</v>
      </c>
      <c r="BJ405" s="19" t="s">
        <v>166</v>
      </c>
      <c r="BK405" s="19" t="s">
        <v>167</v>
      </c>
      <c r="BL405" s="19" t="s">
        <v>168</v>
      </c>
      <c r="BM405" s="19" t="s">
        <v>169</v>
      </c>
      <c r="BN405" s="21">
        <v>0</v>
      </c>
      <c r="BO405" s="21">
        <v>0</v>
      </c>
      <c r="BQ405" s="2"/>
      <c r="BR405" s="2"/>
      <c r="BS405" s="2"/>
      <c r="BT405" s="2"/>
      <c r="BU405" s="22"/>
      <c r="BV405" s="2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</row>
    <row r="406" spans="1:95" x14ac:dyDescent="0.25">
      <c r="A406" s="18">
        <v>403</v>
      </c>
      <c r="B406" s="19" t="s">
        <v>6528</v>
      </c>
      <c r="C406" s="19" t="s">
        <v>6529</v>
      </c>
      <c r="D406" s="20">
        <v>46012</v>
      </c>
      <c r="E406" s="20">
        <v>31180</v>
      </c>
      <c r="F406" s="19"/>
      <c r="G406" s="19"/>
      <c r="H406" s="19" t="s">
        <v>94</v>
      </c>
      <c r="I406" s="19"/>
      <c r="J406" s="19"/>
      <c r="K406" s="19"/>
      <c r="L406" s="19" t="s">
        <v>289</v>
      </c>
      <c r="M406" s="19" t="s">
        <v>290</v>
      </c>
      <c r="N406" s="19" t="s">
        <v>6530</v>
      </c>
      <c r="O406" s="19" t="s">
        <v>100</v>
      </c>
      <c r="P406" s="19"/>
      <c r="Q406" s="19"/>
      <c r="R406" s="19"/>
      <c r="S406" s="19"/>
      <c r="T406" s="19"/>
      <c r="U406" s="19"/>
      <c r="V406" s="19"/>
      <c r="W406" s="19"/>
      <c r="X406" s="19"/>
      <c r="Y406" s="19" t="s">
        <v>101</v>
      </c>
      <c r="Z406" s="19" t="s">
        <v>102</v>
      </c>
      <c r="AA406" s="19" t="s">
        <v>103</v>
      </c>
      <c r="AB406" s="19" t="s">
        <v>487</v>
      </c>
      <c r="AC406" s="19" t="s">
        <v>488</v>
      </c>
      <c r="AD406" s="19" t="s">
        <v>6531</v>
      </c>
      <c r="AE406" s="19" t="s">
        <v>6532</v>
      </c>
      <c r="AF406" s="19" t="s">
        <v>6533</v>
      </c>
      <c r="AG406" s="19" t="s">
        <v>222</v>
      </c>
      <c r="AH406" s="19" t="s">
        <v>515</v>
      </c>
      <c r="AI406" s="19" t="s">
        <v>111</v>
      </c>
      <c r="AJ406" s="19" t="s">
        <v>6534</v>
      </c>
      <c r="AK406" s="19"/>
      <c r="AL406" s="19"/>
      <c r="AM406" s="19" t="s">
        <v>6535</v>
      </c>
      <c r="AN406" s="19" t="s">
        <v>6536</v>
      </c>
      <c r="AO406" s="19" t="s">
        <v>494</v>
      </c>
      <c r="AP406" s="19" t="s">
        <v>495</v>
      </c>
      <c r="AQ406" s="19" t="s">
        <v>117</v>
      </c>
      <c r="AR406" s="19" t="s">
        <v>496</v>
      </c>
      <c r="AS406" s="19" t="s">
        <v>497</v>
      </c>
      <c r="AT406" s="19" t="s">
        <v>498</v>
      </c>
      <c r="AU406" s="19" t="s">
        <v>499</v>
      </c>
      <c r="AV406" s="19" t="s">
        <v>168</v>
      </c>
      <c r="AW406" s="19" t="s">
        <v>500</v>
      </c>
      <c r="AX406" s="19" t="s">
        <v>262</v>
      </c>
      <c r="AY406" s="19" t="s">
        <v>501</v>
      </c>
      <c r="AZ406" s="19" t="s">
        <v>502</v>
      </c>
      <c r="BA406" s="20">
        <v>45832</v>
      </c>
      <c r="BB406" s="19" t="s">
        <v>6537</v>
      </c>
      <c r="BC406" s="19" t="s">
        <v>6538</v>
      </c>
      <c r="BD406" s="19" t="s">
        <v>6538</v>
      </c>
      <c r="BE406" s="19" t="s">
        <v>130</v>
      </c>
      <c r="BF406" s="19" t="s">
        <v>6539</v>
      </c>
      <c r="BG406" s="19"/>
      <c r="BH406" s="19" t="s">
        <v>6540</v>
      </c>
      <c r="BI406" s="19" t="s">
        <v>6540</v>
      </c>
      <c r="BJ406" s="19" t="s">
        <v>166</v>
      </c>
      <c r="BK406" s="19" t="s">
        <v>167</v>
      </c>
      <c r="BL406" s="19" t="s">
        <v>168</v>
      </c>
      <c r="BM406" s="19" t="s">
        <v>169</v>
      </c>
      <c r="BN406" s="21">
        <v>1.617</v>
      </c>
      <c r="BO406" s="21">
        <v>700.17199559999995</v>
      </c>
      <c r="BQ406" s="2"/>
      <c r="BR406" s="2"/>
      <c r="BS406" s="2"/>
      <c r="BT406" s="2"/>
      <c r="BU406" s="22"/>
      <c r="BV406" s="2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</row>
    <row r="407" spans="1:95" x14ac:dyDescent="0.25">
      <c r="A407" s="18">
        <v>404</v>
      </c>
      <c r="B407" s="19" t="s">
        <v>6541</v>
      </c>
      <c r="C407" s="19" t="s">
        <v>6542</v>
      </c>
      <c r="D407" s="20">
        <v>46003</v>
      </c>
      <c r="E407" s="20">
        <v>38285</v>
      </c>
      <c r="F407" s="19" t="s">
        <v>6543</v>
      </c>
      <c r="G407" s="19" t="s">
        <v>139</v>
      </c>
      <c r="H407" s="19" t="s">
        <v>94</v>
      </c>
      <c r="I407" s="19"/>
      <c r="J407" s="19"/>
      <c r="K407" s="19"/>
      <c r="L407" s="19" t="s">
        <v>244</v>
      </c>
      <c r="M407" s="19" t="s">
        <v>245</v>
      </c>
      <c r="N407" s="19" t="s">
        <v>6544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 t="s">
        <v>101</v>
      </c>
      <c r="Z407" s="19" t="s">
        <v>102</v>
      </c>
      <c r="AA407" s="19" t="s">
        <v>103</v>
      </c>
      <c r="AB407" s="19" t="s">
        <v>173</v>
      </c>
      <c r="AC407" s="19" t="s">
        <v>174</v>
      </c>
      <c r="AD407" s="19" t="s">
        <v>6545</v>
      </c>
      <c r="AE407" s="19" t="s">
        <v>6546</v>
      </c>
      <c r="AF407" s="19"/>
      <c r="AG407" s="19" t="s">
        <v>6547</v>
      </c>
      <c r="AH407" s="19" t="s">
        <v>707</v>
      </c>
      <c r="AI407" s="19" t="s">
        <v>111</v>
      </c>
      <c r="AJ407" s="19" t="s">
        <v>6548</v>
      </c>
      <c r="AK407" s="19"/>
      <c r="AL407" s="19" t="s">
        <v>6549</v>
      </c>
      <c r="AM407" s="19" t="s">
        <v>6550</v>
      </c>
      <c r="AN407" s="19" t="s">
        <v>6551</v>
      </c>
      <c r="AO407" s="19" t="s">
        <v>154</v>
      </c>
      <c r="AP407" s="19" t="s">
        <v>155</v>
      </c>
      <c r="AQ407" s="19" t="s">
        <v>117</v>
      </c>
      <c r="AR407" s="19" t="s">
        <v>156</v>
      </c>
      <c r="AS407" s="19" t="s">
        <v>157</v>
      </c>
      <c r="AT407" s="19" t="s">
        <v>158</v>
      </c>
      <c r="AU407" s="19"/>
      <c r="AV407" s="19" t="s">
        <v>122</v>
      </c>
      <c r="AW407" s="19"/>
      <c r="AX407" s="19" t="s">
        <v>124</v>
      </c>
      <c r="AY407" s="19" t="s">
        <v>159</v>
      </c>
      <c r="AZ407" s="19" t="s">
        <v>160</v>
      </c>
      <c r="BA407" s="20">
        <v>44676</v>
      </c>
      <c r="BB407" s="19" t="s">
        <v>751</v>
      </c>
      <c r="BC407" s="19" t="s">
        <v>6552</v>
      </c>
      <c r="BD407" s="19" t="s">
        <v>6552</v>
      </c>
      <c r="BE407" s="19" t="s">
        <v>130</v>
      </c>
      <c r="BF407" s="19" t="s">
        <v>6553</v>
      </c>
      <c r="BG407" s="19"/>
      <c r="BH407" s="19" t="s">
        <v>6554</v>
      </c>
      <c r="BI407" s="19" t="s">
        <v>6554</v>
      </c>
      <c r="BJ407" s="19" t="s">
        <v>166</v>
      </c>
      <c r="BK407" s="19" t="s">
        <v>167</v>
      </c>
      <c r="BL407" s="19" t="s">
        <v>168</v>
      </c>
      <c r="BM407" s="19" t="s">
        <v>169</v>
      </c>
      <c r="BN407" s="21">
        <v>33.273000000000003</v>
      </c>
      <c r="BO407" s="21">
        <v>1178.6694066</v>
      </c>
      <c r="BQ407" s="2"/>
      <c r="BR407" s="2"/>
      <c r="BS407" s="2"/>
      <c r="BT407" s="2"/>
      <c r="BU407" s="22"/>
      <c r="BV407" s="2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</row>
    <row r="408" spans="1:95" x14ac:dyDescent="0.25">
      <c r="A408" s="18">
        <v>405</v>
      </c>
      <c r="B408" s="19" t="s">
        <v>6555</v>
      </c>
      <c r="C408" s="19" t="s">
        <v>6556</v>
      </c>
      <c r="D408" s="20">
        <v>46003</v>
      </c>
      <c r="E408" s="20">
        <v>35338</v>
      </c>
      <c r="F408" s="19"/>
      <c r="G408" s="19"/>
      <c r="H408" s="19" t="s">
        <v>94</v>
      </c>
      <c r="I408" s="19"/>
      <c r="J408" s="19"/>
      <c r="K408" s="19"/>
      <c r="L408" s="19" t="s">
        <v>244</v>
      </c>
      <c r="M408" s="19" t="s">
        <v>245</v>
      </c>
      <c r="N408" s="19" t="s">
        <v>6557</v>
      </c>
      <c r="O408" s="19" t="s">
        <v>100</v>
      </c>
      <c r="P408" s="19"/>
      <c r="Q408" s="19"/>
      <c r="R408" s="19"/>
      <c r="S408" s="19"/>
      <c r="T408" s="19"/>
      <c r="U408" s="19"/>
      <c r="V408" s="19"/>
      <c r="W408" s="19"/>
      <c r="X408" s="19"/>
      <c r="Y408" s="19" t="s">
        <v>101</v>
      </c>
      <c r="Z408" s="19" t="s">
        <v>102</v>
      </c>
      <c r="AA408" s="19" t="s">
        <v>103</v>
      </c>
      <c r="AB408" s="19" t="s">
        <v>143</v>
      </c>
      <c r="AC408" s="19" t="s">
        <v>144</v>
      </c>
      <c r="AD408" s="19" t="s">
        <v>6558</v>
      </c>
      <c r="AE408" s="19" t="s">
        <v>6559</v>
      </c>
      <c r="AF408" s="19"/>
      <c r="AG408" s="19" t="s">
        <v>129</v>
      </c>
      <c r="AH408" s="19" t="s">
        <v>110</v>
      </c>
      <c r="AI408" s="19" t="s">
        <v>111</v>
      </c>
      <c r="AJ408" s="19" t="s">
        <v>6560</v>
      </c>
      <c r="AK408" s="19"/>
      <c r="AL408" s="19"/>
      <c r="AM408" s="19" t="s">
        <v>6561</v>
      </c>
      <c r="AN408" s="19" t="s">
        <v>6562</v>
      </c>
      <c r="AO408" s="19" t="s">
        <v>255</v>
      </c>
      <c r="AP408" s="19" t="s">
        <v>256</v>
      </c>
      <c r="AQ408" s="19" t="s">
        <v>117</v>
      </c>
      <c r="AR408" s="19" t="s">
        <v>257</v>
      </c>
      <c r="AS408" s="19" t="s">
        <v>258</v>
      </c>
      <c r="AT408" s="19" t="s">
        <v>259</v>
      </c>
      <c r="AU408" s="19" t="s">
        <v>260</v>
      </c>
      <c r="AV408" s="19" t="s">
        <v>260</v>
      </c>
      <c r="AW408" s="19" t="s">
        <v>261</v>
      </c>
      <c r="AX408" s="19" t="s">
        <v>262</v>
      </c>
      <c r="AY408" s="19" t="s">
        <v>263</v>
      </c>
      <c r="AZ408" s="19" t="s">
        <v>264</v>
      </c>
      <c r="BA408" s="20">
        <v>43627</v>
      </c>
      <c r="BB408" s="19" t="s">
        <v>331</v>
      </c>
      <c r="BC408" s="19" t="s">
        <v>6563</v>
      </c>
      <c r="BD408" s="19" t="s">
        <v>129</v>
      </c>
      <c r="BE408" s="19" t="s">
        <v>130</v>
      </c>
      <c r="BF408" s="19" t="s">
        <v>6564</v>
      </c>
      <c r="BG408" s="19"/>
      <c r="BH408" s="19" t="s">
        <v>6565</v>
      </c>
      <c r="BI408" s="19" t="s">
        <v>6565</v>
      </c>
      <c r="BJ408" s="19" t="s">
        <v>194</v>
      </c>
      <c r="BK408" s="19" t="s">
        <v>195</v>
      </c>
      <c r="BL408" s="19" t="s">
        <v>122</v>
      </c>
      <c r="BM408" s="19" t="s">
        <v>196</v>
      </c>
      <c r="BN408" s="21">
        <v>404.29199999999997</v>
      </c>
      <c r="BO408" s="21">
        <v>15399.48228</v>
      </c>
      <c r="BQ408" s="2"/>
      <c r="BR408" s="2"/>
      <c r="BS408" s="2"/>
      <c r="BT408" s="2"/>
      <c r="BU408" s="22"/>
      <c r="BV408" s="2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</row>
    <row r="409" spans="1:95" x14ac:dyDescent="0.25">
      <c r="A409" s="18">
        <v>406</v>
      </c>
      <c r="B409" s="19" t="s">
        <v>6566</v>
      </c>
      <c r="C409" s="19" t="s">
        <v>6567</v>
      </c>
      <c r="D409" s="20">
        <v>46006</v>
      </c>
      <c r="E409" s="20">
        <v>32509</v>
      </c>
      <c r="F409" s="19" t="s">
        <v>6568</v>
      </c>
      <c r="G409" s="19" t="s">
        <v>139</v>
      </c>
      <c r="H409" s="19" t="s">
        <v>94</v>
      </c>
      <c r="I409" s="19"/>
      <c r="J409" s="19"/>
      <c r="K409" s="19"/>
      <c r="L409" s="19" t="s">
        <v>244</v>
      </c>
      <c r="M409" s="19" t="s">
        <v>245</v>
      </c>
      <c r="N409" s="19" t="s">
        <v>6569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 t="s">
        <v>101</v>
      </c>
      <c r="Z409" s="19" t="s">
        <v>102</v>
      </c>
      <c r="AA409" s="19" t="s">
        <v>103</v>
      </c>
      <c r="AB409" s="19" t="s">
        <v>143</v>
      </c>
      <c r="AC409" s="19" t="s">
        <v>144</v>
      </c>
      <c r="AD409" s="19" t="s">
        <v>6570</v>
      </c>
      <c r="AE409" s="19" t="s">
        <v>6571</v>
      </c>
      <c r="AF409" s="19"/>
      <c r="AG409" s="19" t="s">
        <v>6572</v>
      </c>
      <c r="AH409" s="19" t="s">
        <v>110</v>
      </c>
      <c r="AI409" s="19"/>
      <c r="AJ409" s="19" t="s">
        <v>6573</v>
      </c>
      <c r="AK409" s="19"/>
      <c r="AL409" s="19" t="s">
        <v>6574</v>
      </c>
      <c r="AM409" s="19" t="s">
        <v>6575</v>
      </c>
      <c r="AN409" s="19" t="s">
        <v>6576</v>
      </c>
      <c r="AO409" s="19" t="s">
        <v>154</v>
      </c>
      <c r="AP409" s="19" t="s">
        <v>155</v>
      </c>
      <c r="AQ409" s="19" t="s">
        <v>117</v>
      </c>
      <c r="AR409" s="19" t="s">
        <v>156</v>
      </c>
      <c r="AS409" s="19" t="s">
        <v>157</v>
      </c>
      <c r="AT409" s="19" t="s">
        <v>158</v>
      </c>
      <c r="AU409" s="19"/>
      <c r="AV409" s="19" t="s">
        <v>122</v>
      </c>
      <c r="AW409" s="19"/>
      <c r="AX409" s="19" t="s">
        <v>124</v>
      </c>
      <c r="AY409" s="19" t="s">
        <v>159</v>
      </c>
      <c r="AZ409" s="19" t="s">
        <v>160</v>
      </c>
      <c r="BA409" s="20">
        <v>44676</v>
      </c>
      <c r="BB409" s="19" t="s">
        <v>331</v>
      </c>
      <c r="BC409" s="19" t="s">
        <v>6577</v>
      </c>
      <c r="BD409" s="19" t="s">
        <v>260</v>
      </c>
      <c r="BE409" s="19" t="s">
        <v>130</v>
      </c>
      <c r="BF409" s="19" t="s">
        <v>6578</v>
      </c>
      <c r="BG409" s="19"/>
      <c r="BH409" s="19" t="s">
        <v>6579</v>
      </c>
      <c r="BI409" s="19" t="s">
        <v>6579</v>
      </c>
      <c r="BJ409" s="19" t="s">
        <v>166</v>
      </c>
      <c r="BK409" s="19" t="s">
        <v>167</v>
      </c>
      <c r="BL409" s="19" t="s">
        <v>168</v>
      </c>
      <c r="BM409" s="19" t="s">
        <v>169</v>
      </c>
      <c r="BN409" s="21">
        <v>2.6949999999999998</v>
      </c>
      <c r="BO409" s="21">
        <v>102.65255000000001</v>
      </c>
      <c r="BQ409" s="2"/>
      <c r="BR409" s="2"/>
      <c r="BS409" s="2"/>
      <c r="BT409" s="2"/>
      <c r="BU409" s="22"/>
      <c r="BV409" s="2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</row>
    <row r="410" spans="1:95" x14ac:dyDescent="0.25">
      <c r="A410" s="18">
        <v>407</v>
      </c>
      <c r="B410" s="19" t="s">
        <v>6580</v>
      </c>
      <c r="C410" s="19" t="s">
        <v>6581</v>
      </c>
      <c r="D410" s="20">
        <v>46006</v>
      </c>
      <c r="E410" s="20">
        <v>31583</v>
      </c>
      <c r="F410" s="19"/>
      <c r="G410" s="19"/>
      <c r="H410" s="19" t="s">
        <v>94</v>
      </c>
      <c r="I410" s="19"/>
      <c r="J410" s="19"/>
      <c r="K410" s="19"/>
      <c r="L410" s="19"/>
      <c r="M410" s="19"/>
      <c r="N410" s="19" t="s">
        <v>6582</v>
      </c>
      <c r="O410" s="19" t="s">
        <v>100</v>
      </c>
      <c r="P410" s="19"/>
      <c r="Q410" s="19"/>
      <c r="R410" s="19"/>
      <c r="S410" s="19"/>
      <c r="T410" s="19"/>
      <c r="U410" s="19"/>
      <c r="V410" s="19"/>
      <c r="W410" s="19"/>
      <c r="X410" s="19"/>
      <c r="Y410" s="19" t="s">
        <v>101</v>
      </c>
      <c r="Z410" s="19" t="s">
        <v>102</v>
      </c>
      <c r="AA410" s="19" t="s">
        <v>103</v>
      </c>
      <c r="AB410" s="19" t="s">
        <v>1940</v>
      </c>
      <c r="AC410" s="19" t="s">
        <v>1941</v>
      </c>
      <c r="AD410" s="19" t="s">
        <v>6583</v>
      </c>
      <c r="AE410" s="19" t="s">
        <v>6584</v>
      </c>
      <c r="AF410" s="19"/>
      <c r="AG410" s="19" t="s">
        <v>6584</v>
      </c>
      <c r="AH410" s="19" t="s">
        <v>262</v>
      </c>
      <c r="AI410" s="19" t="s">
        <v>111</v>
      </c>
      <c r="AJ410" s="19" t="s">
        <v>6585</v>
      </c>
      <c r="AK410" s="19"/>
      <c r="AL410" s="19"/>
      <c r="AM410" s="19" t="s">
        <v>6586</v>
      </c>
      <c r="AN410" s="19" t="s">
        <v>6587</v>
      </c>
      <c r="AO410" s="19" t="s">
        <v>6588</v>
      </c>
      <c r="AP410" s="19" t="s">
        <v>6589</v>
      </c>
      <c r="AQ410" s="19" t="s">
        <v>117</v>
      </c>
      <c r="AR410" s="19" t="s">
        <v>6590</v>
      </c>
      <c r="AS410" s="19" t="s">
        <v>6591</v>
      </c>
      <c r="AT410" s="19" t="s">
        <v>6592</v>
      </c>
      <c r="AU410" s="19" t="s">
        <v>6593</v>
      </c>
      <c r="AV410" s="19" t="s">
        <v>6594</v>
      </c>
      <c r="AW410" s="19" t="s">
        <v>4373</v>
      </c>
      <c r="AX410" s="19" t="s">
        <v>262</v>
      </c>
      <c r="AY410" s="19" t="s">
        <v>6595</v>
      </c>
      <c r="AZ410" s="19" t="s">
        <v>6596</v>
      </c>
      <c r="BA410" s="20">
        <v>45922</v>
      </c>
      <c r="BB410" s="19" t="s">
        <v>6597</v>
      </c>
      <c r="BC410" s="19" t="s">
        <v>6598</v>
      </c>
      <c r="BD410" s="19" t="s">
        <v>6599</v>
      </c>
      <c r="BE410" s="19" t="s">
        <v>130</v>
      </c>
      <c r="BF410" s="19" t="s">
        <v>6600</v>
      </c>
      <c r="BG410" s="19"/>
      <c r="BH410" s="19" t="s">
        <v>6601</v>
      </c>
      <c r="BI410" s="19" t="s">
        <v>6601</v>
      </c>
      <c r="BJ410" s="19" t="s">
        <v>166</v>
      </c>
      <c r="BK410" s="19" t="s">
        <v>1084</v>
      </c>
      <c r="BL410" s="19" t="s">
        <v>222</v>
      </c>
      <c r="BM410" s="19" t="s">
        <v>169</v>
      </c>
      <c r="BN410" s="21">
        <v>222.34899999999999</v>
      </c>
      <c r="BO410" s="21">
        <v>150382.3219754</v>
      </c>
      <c r="BQ410" s="2"/>
      <c r="BR410" s="2"/>
      <c r="BS410" s="2"/>
      <c r="BT410" s="2"/>
      <c r="BU410" s="22"/>
      <c r="BV410" s="2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</row>
    <row r="411" spans="1:95" x14ac:dyDescent="0.25">
      <c r="A411" s="18">
        <v>408</v>
      </c>
      <c r="B411" s="19" t="s">
        <v>6602</v>
      </c>
      <c r="C411" s="19" t="s">
        <v>6603</v>
      </c>
      <c r="D411" s="20">
        <v>46007</v>
      </c>
      <c r="E411" s="20">
        <v>34357</v>
      </c>
      <c r="F411" s="19" t="s">
        <v>6604</v>
      </c>
      <c r="G411" s="19" t="s">
        <v>139</v>
      </c>
      <c r="H411" s="19" t="s">
        <v>94</v>
      </c>
      <c r="I411" s="19"/>
      <c r="J411" s="19"/>
      <c r="K411" s="19"/>
      <c r="L411" s="19" t="s">
        <v>244</v>
      </c>
      <c r="M411" s="19" t="s">
        <v>245</v>
      </c>
      <c r="N411" s="19" t="s">
        <v>6605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 t="s">
        <v>101</v>
      </c>
      <c r="Z411" s="19" t="s">
        <v>102</v>
      </c>
      <c r="AA411" s="19" t="s">
        <v>103</v>
      </c>
      <c r="AB411" s="19" t="s">
        <v>173</v>
      </c>
      <c r="AC411" s="19" t="s">
        <v>174</v>
      </c>
      <c r="AD411" s="19" t="s">
        <v>6606</v>
      </c>
      <c r="AE411" s="19" t="s">
        <v>6607</v>
      </c>
      <c r="AF411" s="19" t="s">
        <v>6608</v>
      </c>
      <c r="AG411" s="19" t="s">
        <v>6609</v>
      </c>
      <c r="AH411" s="19" t="s">
        <v>515</v>
      </c>
      <c r="AI411" s="19"/>
      <c r="AJ411" s="19" t="s">
        <v>6610</v>
      </c>
      <c r="AK411" s="19"/>
      <c r="AL411" s="19"/>
      <c r="AM411" s="19" t="s">
        <v>6611</v>
      </c>
      <c r="AN411" s="19" t="s">
        <v>6612</v>
      </c>
      <c r="AO411" s="19" t="s">
        <v>255</v>
      </c>
      <c r="AP411" s="19" t="s">
        <v>256</v>
      </c>
      <c r="AQ411" s="19" t="s">
        <v>117</v>
      </c>
      <c r="AR411" s="19" t="s">
        <v>257</v>
      </c>
      <c r="AS411" s="19" t="s">
        <v>258</v>
      </c>
      <c r="AT411" s="19" t="s">
        <v>259</v>
      </c>
      <c r="AU411" s="19" t="s">
        <v>260</v>
      </c>
      <c r="AV411" s="19" t="s">
        <v>260</v>
      </c>
      <c r="AW411" s="19" t="s">
        <v>261</v>
      </c>
      <c r="AX411" s="19" t="s">
        <v>262</v>
      </c>
      <c r="AY411" s="19" t="s">
        <v>263</v>
      </c>
      <c r="AZ411" s="19" t="s">
        <v>264</v>
      </c>
      <c r="BA411" s="20">
        <v>43627</v>
      </c>
      <c r="BB411" s="19" t="s">
        <v>331</v>
      </c>
      <c r="BC411" s="19" t="s">
        <v>6613</v>
      </c>
      <c r="BD411" s="19" t="s">
        <v>6613</v>
      </c>
      <c r="BE411" s="19" t="s">
        <v>130</v>
      </c>
      <c r="BF411" s="19" t="s">
        <v>6614</v>
      </c>
      <c r="BG411" s="19"/>
      <c r="BH411" s="19" t="s">
        <v>6615</v>
      </c>
      <c r="BI411" s="19" t="s">
        <v>6615</v>
      </c>
      <c r="BJ411" s="19" t="s">
        <v>166</v>
      </c>
      <c r="BK411" s="19" t="s">
        <v>167</v>
      </c>
      <c r="BL411" s="19" t="s">
        <v>168</v>
      </c>
      <c r="BM411" s="19" t="s">
        <v>169</v>
      </c>
      <c r="BN411" s="21">
        <v>165.53299999999999</v>
      </c>
      <c r="BO411" s="21">
        <v>5863.8740986000003</v>
      </c>
      <c r="BQ411" s="2"/>
      <c r="BR411" s="2"/>
      <c r="BS411" s="2"/>
      <c r="BT411" s="2"/>
      <c r="BU411" s="22"/>
      <c r="BV411" s="2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</row>
    <row r="412" spans="1:95" x14ac:dyDescent="0.25">
      <c r="A412" s="18">
        <v>409</v>
      </c>
      <c r="B412" s="19" t="s">
        <v>6616</v>
      </c>
      <c r="C412" s="19" t="s">
        <v>6617</v>
      </c>
      <c r="D412" s="20">
        <v>46020</v>
      </c>
      <c r="E412" s="20">
        <v>35741</v>
      </c>
      <c r="F412" s="19" t="s">
        <v>6618</v>
      </c>
      <c r="G412" s="19" t="s">
        <v>139</v>
      </c>
      <c r="H412" s="19" t="s">
        <v>94</v>
      </c>
      <c r="I412" s="19"/>
      <c r="J412" s="19"/>
      <c r="K412" s="19"/>
      <c r="L412" s="19" t="s">
        <v>244</v>
      </c>
      <c r="M412" s="19" t="s">
        <v>245</v>
      </c>
      <c r="N412" s="19" t="s">
        <v>6619</v>
      </c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 t="s">
        <v>101</v>
      </c>
      <c r="Z412" s="19" t="s">
        <v>102</v>
      </c>
      <c r="AA412" s="19" t="s">
        <v>103</v>
      </c>
      <c r="AB412" s="19" t="s">
        <v>143</v>
      </c>
      <c r="AC412" s="19" t="s">
        <v>144</v>
      </c>
      <c r="AD412" s="19" t="s">
        <v>6620</v>
      </c>
      <c r="AE412" s="19" t="s">
        <v>6621</v>
      </c>
      <c r="AF412" s="19" t="s">
        <v>6622</v>
      </c>
      <c r="AG412" s="19" t="s">
        <v>3357</v>
      </c>
      <c r="AH412" s="19" t="s">
        <v>3352</v>
      </c>
      <c r="AI412" s="19"/>
      <c r="AJ412" s="19" t="s">
        <v>6623</v>
      </c>
      <c r="AK412" s="19"/>
      <c r="AL412" s="19"/>
      <c r="AM412" s="19" t="s">
        <v>6624</v>
      </c>
      <c r="AN412" s="19" t="s">
        <v>6625</v>
      </c>
      <c r="AO412" s="19" t="s">
        <v>255</v>
      </c>
      <c r="AP412" s="19" t="s">
        <v>256</v>
      </c>
      <c r="AQ412" s="19" t="s">
        <v>117</v>
      </c>
      <c r="AR412" s="19" t="s">
        <v>257</v>
      </c>
      <c r="AS412" s="19" t="s">
        <v>258</v>
      </c>
      <c r="AT412" s="19" t="s">
        <v>259</v>
      </c>
      <c r="AU412" s="19" t="s">
        <v>260</v>
      </c>
      <c r="AV412" s="19" t="s">
        <v>260</v>
      </c>
      <c r="AW412" s="19" t="s">
        <v>261</v>
      </c>
      <c r="AX412" s="19" t="s">
        <v>262</v>
      </c>
      <c r="AY412" s="19" t="s">
        <v>263</v>
      </c>
      <c r="AZ412" s="19" t="s">
        <v>264</v>
      </c>
      <c r="BA412" s="20">
        <v>43627</v>
      </c>
      <c r="BB412" s="19" t="s">
        <v>236</v>
      </c>
      <c r="BC412" s="19" t="s">
        <v>6626</v>
      </c>
      <c r="BD412" s="19" t="s">
        <v>6627</v>
      </c>
      <c r="BE412" s="19" t="s">
        <v>130</v>
      </c>
      <c r="BF412" s="19" t="s">
        <v>6628</v>
      </c>
      <c r="BG412" s="19"/>
      <c r="BH412" s="19" t="s">
        <v>6629</v>
      </c>
      <c r="BI412" s="19" t="s">
        <v>6629</v>
      </c>
      <c r="BJ412" s="19" t="s">
        <v>166</v>
      </c>
      <c r="BK412" s="19" t="s">
        <v>167</v>
      </c>
      <c r="BL412" s="19" t="s">
        <v>168</v>
      </c>
      <c r="BM412" s="19" t="s">
        <v>169</v>
      </c>
      <c r="BN412" s="21">
        <v>80.403000000000006</v>
      </c>
      <c r="BO412" s="21">
        <v>3062.5502700000002</v>
      </c>
      <c r="BQ412" s="2"/>
      <c r="BR412" s="2"/>
      <c r="BS412" s="2"/>
      <c r="BT412" s="2"/>
      <c r="BU412" s="22"/>
      <c r="BV412" s="2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</row>
    <row r="413" spans="1:95" x14ac:dyDescent="0.25">
      <c r="A413" s="18">
        <v>410</v>
      </c>
      <c r="B413" s="19" t="s">
        <v>6630</v>
      </c>
      <c r="C413" s="19" t="s">
        <v>6631</v>
      </c>
      <c r="D413" s="20">
        <v>46020</v>
      </c>
      <c r="E413" s="20">
        <v>37951</v>
      </c>
      <c r="F413" s="19" t="s">
        <v>6632</v>
      </c>
      <c r="G413" s="19" t="s">
        <v>139</v>
      </c>
      <c r="H413" s="19" t="s">
        <v>94</v>
      </c>
      <c r="I413" s="19"/>
      <c r="J413" s="19"/>
      <c r="K413" s="19"/>
      <c r="L413" s="19" t="s">
        <v>244</v>
      </c>
      <c r="M413" s="19" t="s">
        <v>245</v>
      </c>
      <c r="N413" s="19" t="s">
        <v>6633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 t="s">
        <v>101</v>
      </c>
      <c r="Z413" s="19" t="s">
        <v>102</v>
      </c>
      <c r="AA413" s="19" t="s">
        <v>103</v>
      </c>
      <c r="AB413" s="19" t="s">
        <v>953</v>
      </c>
      <c r="AC413" s="19" t="s">
        <v>954</v>
      </c>
      <c r="AD413" s="19" t="s">
        <v>6634</v>
      </c>
      <c r="AE413" s="19" t="s">
        <v>6635</v>
      </c>
      <c r="AF413" s="19"/>
      <c r="AG413" s="19" t="s">
        <v>6636</v>
      </c>
      <c r="AH413" s="19" t="s">
        <v>110</v>
      </c>
      <c r="AI413" s="19"/>
      <c r="AJ413" s="19" t="s">
        <v>6637</v>
      </c>
      <c r="AK413" s="19"/>
      <c r="AL413" s="19"/>
      <c r="AM413" s="19" t="s">
        <v>6638</v>
      </c>
      <c r="AN413" s="19" t="s">
        <v>6639</v>
      </c>
      <c r="AO413" s="19" t="s">
        <v>255</v>
      </c>
      <c r="AP413" s="19" t="s">
        <v>256</v>
      </c>
      <c r="AQ413" s="19" t="s">
        <v>117</v>
      </c>
      <c r="AR413" s="19" t="s">
        <v>257</v>
      </c>
      <c r="AS413" s="19" t="s">
        <v>258</v>
      </c>
      <c r="AT413" s="19" t="s">
        <v>259</v>
      </c>
      <c r="AU413" s="19" t="s">
        <v>260</v>
      </c>
      <c r="AV413" s="19" t="s">
        <v>260</v>
      </c>
      <c r="AW413" s="19" t="s">
        <v>261</v>
      </c>
      <c r="AX413" s="19" t="s">
        <v>262</v>
      </c>
      <c r="AY413" s="19" t="s">
        <v>263</v>
      </c>
      <c r="AZ413" s="19" t="s">
        <v>264</v>
      </c>
      <c r="BA413" s="20">
        <v>43627</v>
      </c>
      <c r="BB413" s="19" t="s">
        <v>1388</v>
      </c>
      <c r="BC413" s="19" t="s">
        <v>6640</v>
      </c>
      <c r="BD413" s="19" t="s">
        <v>6640</v>
      </c>
      <c r="BE413" s="19" t="s">
        <v>130</v>
      </c>
      <c r="BF413" s="19" t="s">
        <v>6641</v>
      </c>
      <c r="BG413" s="19"/>
      <c r="BH413" s="19" t="s">
        <v>6642</v>
      </c>
      <c r="BI413" s="19" t="s">
        <v>6642</v>
      </c>
      <c r="BJ413" s="19" t="s">
        <v>166</v>
      </c>
      <c r="BK413" s="19" t="s">
        <v>167</v>
      </c>
      <c r="BL413" s="19" t="s">
        <v>168</v>
      </c>
      <c r="BM413" s="19" t="s">
        <v>169</v>
      </c>
      <c r="BN413" s="21">
        <v>2.419</v>
      </c>
      <c r="BO413" s="21">
        <v>97.441432300000002</v>
      </c>
      <c r="BQ413" s="2"/>
      <c r="BR413" s="2"/>
      <c r="BS413" s="2"/>
      <c r="BT413" s="2"/>
      <c r="BU413" s="22"/>
      <c r="BV413" s="2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</row>
    <row r="414" spans="1:95" x14ac:dyDescent="0.25">
      <c r="A414" s="18">
        <v>411</v>
      </c>
      <c r="B414" s="19" t="s">
        <v>6643</v>
      </c>
      <c r="C414" s="19" t="s">
        <v>6644</v>
      </c>
      <c r="D414" s="20">
        <v>46010</v>
      </c>
      <c r="E414" s="20">
        <v>37398</v>
      </c>
      <c r="F414" s="19" t="s">
        <v>6645</v>
      </c>
      <c r="G414" s="19" t="s">
        <v>139</v>
      </c>
      <c r="H414" s="19" t="s">
        <v>94</v>
      </c>
      <c r="I414" s="19"/>
      <c r="J414" s="19"/>
      <c r="K414" s="19"/>
      <c r="L414" s="19" t="s">
        <v>101</v>
      </c>
      <c r="M414" s="19" t="s">
        <v>290</v>
      </c>
      <c r="N414" s="19" t="s">
        <v>6646</v>
      </c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 t="s">
        <v>101</v>
      </c>
      <c r="Z414" s="19" t="s">
        <v>102</v>
      </c>
      <c r="AA414" s="19" t="s">
        <v>103</v>
      </c>
      <c r="AB414" s="19" t="s">
        <v>143</v>
      </c>
      <c r="AC414" s="19" t="s">
        <v>144</v>
      </c>
      <c r="AD414" s="19" t="s">
        <v>6647</v>
      </c>
      <c r="AE414" s="19" t="s">
        <v>6648</v>
      </c>
      <c r="AF414" s="19"/>
      <c r="AG414" s="19" t="s">
        <v>746</v>
      </c>
      <c r="AH414" s="19" t="s">
        <v>327</v>
      </c>
      <c r="AI414" s="19" t="s">
        <v>111</v>
      </c>
      <c r="AJ414" s="19" t="s">
        <v>6649</v>
      </c>
      <c r="AK414" s="19"/>
      <c r="AL414" s="19" t="s">
        <v>6650</v>
      </c>
      <c r="AM414" s="19" t="s">
        <v>6651</v>
      </c>
      <c r="AN414" s="19"/>
      <c r="AO414" s="19" t="s">
        <v>154</v>
      </c>
      <c r="AP414" s="19" t="s">
        <v>155</v>
      </c>
      <c r="AQ414" s="19" t="s">
        <v>117</v>
      </c>
      <c r="AR414" s="19" t="s">
        <v>156</v>
      </c>
      <c r="AS414" s="19" t="s">
        <v>157</v>
      </c>
      <c r="AT414" s="19" t="s">
        <v>158</v>
      </c>
      <c r="AU414" s="19"/>
      <c r="AV414" s="19" t="s">
        <v>122</v>
      </c>
      <c r="AW414" s="19"/>
      <c r="AX414" s="19" t="s">
        <v>124</v>
      </c>
      <c r="AY414" s="19" t="s">
        <v>159</v>
      </c>
      <c r="AZ414" s="19" t="s">
        <v>160</v>
      </c>
      <c r="BA414" s="20">
        <v>44676</v>
      </c>
      <c r="BB414" s="19" t="s">
        <v>331</v>
      </c>
      <c r="BC414" s="19" t="s">
        <v>3356</v>
      </c>
      <c r="BD414" s="19" t="s">
        <v>6652</v>
      </c>
      <c r="BE414" s="19" t="s">
        <v>130</v>
      </c>
      <c r="BF414" s="19" t="s">
        <v>6653</v>
      </c>
      <c r="BG414" s="19"/>
      <c r="BH414" s="19" t="s">
        <v>6654</v>
      </c>
      <c r="BI414" s="19" t="s">
        <v>6654</v>
      </c>
      <c r="BJ414" s="19" t="s">
        <v>166</v>
      </c>
      <c r="BK414" s="19" t="s">
        <v>167</v>
      </c>
      <c r="BL414" s="19" t="s">
        <v>168</v>
      </c>
      <c r="BM414" s="19" t="s">
        <v>169</v>
      </c>
      <c r="BN414" s="21">
        <v>53.832999999999998</v>
      </c>
      <c r="BO414" s="21">
        <v>2050.4989700000001</v>
      </c>
      <c r="BQ414" s="2"/>
      <c r="BR414" s="2"/>
      <c r="BS414" s="2"/>
      <c r="BT414" s="2"/>
      <c r="BU414" s="22"/>
      <c r="BV414" s="2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</row>
    <row r="415" spans="1:95" x14ac:dyDescent="0.25">
      <c r="A415" s="18">
        <v>412</v>
      </c>
      <c r="B415" s="19" t="s">
        <v>6655</v>
      </c>
      <c r="C415" s="19" t="s">
        <v>6656</v>
      </c>
      <c r="D415" s="20">
        <v>46020</v>
      </c>
      <c r="E415" s="20">
        <v>34557</v>
      </c>
      <c r="F415" s="19" t="s">
        <v>6657</v>
      </c>
      <c r="G415" s="19" t="s">
        <v>139</v>
      </c>
      <c r="H415" s="19" t="s">
        <v>94</v>
      </c>
      <c r="I415" s="19"/>
      <c r="J415" s="19"/>
      <c r="K415" s="19"/>
      <c r="L415" s="19" t="s">
        <v>244</v>
      </c>
      <c r="M415" s="19" t="s">
        <v>245</v>
      </c>
      <c r="N415" s="19" t="s">
        <v>6658</v>
      </c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 t="s">
        <v>101</v>
      </c>
      <c r="Z415" s="19" t="s">
        <v>102</v>
      </c>
      <c r="AA415" s="19" t="s">
        <v>103</v>
      </c>
      <c r="AB415" s="19" t="s">
        <v>143</v>
      </c>
      <c r="AC415" s="19" t="s">
        <v>144</v>
      </c>
      <c r="AD415" s="19" t="s">
        <v>6659</v>
      </c>
      <c r="AE415" s="19" t="s">
        <v>6660</v>
      </c>
      <c r="AF415" s="19" t="s">
        <v>6661</v>
      </c>
      <c r="AG415" s="19" t="s">
        <v>1766</v>
      </c>
      <c r="AH415" s="19" t="s">
        <v>327</v>
      </c>
      <c r="AI415" s="19" t="s">
        <v>111</v>
      </c>
      <c r="AJ415" s="19" t="s">
        <v>6662</v>
      </c>
      <c r="AK415" s="19"/>
      <c r="AL415" s="19"/>
      <c r="AM415" s="19" t="s">
        <v>6663</v>
      </c>
      <c r="AN415" s="19" t="s">
        <v>6664</v>
      </c>
      <c r="AO415" s="19" t="s">
        <v>255</v>
      </c>
      <c r="AP415" s="19" t="s">
        <v>256</v>
      </c>
      <c r="AQ415" s="19" t="s">
        <v>117</v>
      </c>
      <c r="AR415" s="19" t="s">
        <v>257</v>
      </c>
      <c r="AS415" s="19" t="s">
        <v>258</v>
      </c>
      <c r="AT415" s="19" t="s">
        <v>259</v>
      </c>
      <c r="AU415" s="19" t="s">
        <v>260</v>
      </c>
      <c r="AV415" s="19" t="s">
        <v>260</v>
      </c>
      <c r="AW415" s="19" t="s">
        <v>261</v>
      </c>
      <c r="AX415" s="19" t="s">
        <v>262</v>
      </c>
      <c r="AY415" s="19" t="s">
        <v>263</v>
      </c>
      <c r="AZ415" s="19" t="s">
        <v>264</v>
      </c>
      <c r="BA415" s="20">
        <v>43627</v>
      </c>
      <c r="BB415" s="19" t="s">
        <v>331</v>
      </c>
      <c r="BC415" s="19" t="s">
        <v>6665</v>
      </c>
      <c r="BD415" s="19" t="s">
        <v>1766</v>
      </c>
      <c r="BE415" s="19" t="s">
        <v>130</v>
      </c>
      <c r="BF415" s="19" t="s">
        <v>6666</v>
      </c>
      <c r="BG415" s="19"/>
      <c r="BH415" s="19" t="s">
        <v>6667</v>
      </c>
      <c r="BI415" s="19" t="s">
        <v>6667</v>
      </c>
      <c r="BJ415" s="19" t="s">
        <v>166</v>
      </c>
      <c r="BK415" s="19" t="s">
        <v>167</v>
      </c>
      <c r="BL415" s="19" t="s">
        <v>168</v>
      </c>
      <c r="BM415" s="19" t="s">
        <v>169</v>
      </c>
      <c r="BN415" s="21">
        <v>40.201999999999998</v>
      </c>
      <c r="BO415" s="21">
        <v>1531.2941800000001</v>
      </c>
      <c r="BQ415" s="2"/>
      <c r="BR415" s="2"/>
      <c r="BS415" s="2"/>
      <c r="BT415" s="2"/>
      <c r="BU415" s="22"/>
      <c r="BV415" s="2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</row>
    <row r="416" spans="1:95" x14ac:dyDescent="0.25">
      <c r="A416" s="18">
        <v>413</v>
      </c>
      <c r="B416" s="19" t="s">
        <v>6668</v>
      </c>
      <c r="C416" s="19" t="s">
        <v>6669</v>
      </c>
      <c r="D416" s="20">
        <v>46014</v>
      </c>
      <c r="E416" s="20">
        <v>34960</v>
      </c>
      <c r="F416" s="19"/>
      <c r="G416" s="19"/>
      <c r="H416" s="19" t="s">
        <v>94</v>
      </c>
      <c r="I416" s="19"/>
      <c r="J416" s="19"/>
      <c r="K416" s="19"/>
      <c r="L416" s="19"/>
      <c r="M416" s="19"/>
      <c r="N416" s="19" t="s">
        <v>6670</v>
      </c>
      <c r="O416" s="19" t="s">
        <v>100</v>
      </c>
      <c r="P416" s="19"/>
      <c r="Q416" s="19"/>
      <c r="R416" s="19"/>
      <c r="S416" s="19"/>
      <c r="T416" s="19"/>
      <c r="U416" s="19"/>
      <c r="V416" s="19"/>
      <c r="W416" s="19"/>
      <c r="X416" s="19"/>
      <c r="Y416" s="19" t="s">
        <v>101</v>
      </c>
      <c r="Z416" s="19" t="s">
        <v>102</v>
      </c>
      <c r="AA416" s="19" t="s">
        <v>103</v>
      </c>
      <c r="AB416" s="19" t="s">
        <v>850</v>
      </c>
      <c r="AC416" s="19" t="s">
        <v>851</v>
      </c>
      <c r="AD416" s="19" t="s">
        <v>6671</v>
      </c>
      <c r="AE416" s="19" t="s">
        <v>6672</v>
      </c>
      <c r="AF416" s="19" t="s">
        <v>176</v>
      </c>
      <c r="AG416" s="19" t="s">
        <v>219</v>
      </c>
      <c r="AH416" s="19" t="s">
        <v>124</v>
      </c>
      <c r="AI416" s="19" t="s">
        <v>111</v>
      </c>
      <c r="AJ416" s="19" t="s">
        <v>6673</v>
      </c>
      <c r="AK416" s="19"/>
      <c r="AL416" s="19"/>
      <c r="AM416" s="19" t="s">
        <v>6674</v>
      </c>
      <c r="AN416" s="19" t="s">
        <v>6675</v>
      </c>
      <c r="AO416" s="19" t="s">
        <v>6676</v>
      </c>
      <c r="AP416" s="19" t="s">
        <v>6677</v>
      </c>
      <c r="AQ416" s="19" t="s">
        <v>117</v>
      </c>
      <c r="AR416" s="19" t="s">
        <v>6678</v>
      </c>
      <c r="AS416" s="19" t="s">
        <v>6679</v>
      </c>
      <c r="AT416" s="19" t="s">
        <v>6680</v>
      </c>
      <c r="AU416" s="19" t="s">
        <v>6681</v>
      </c>
      <c r="AV416" s="19" t="s">
        <v>122</v>
      </c>
      <c r="AW416" s="19" t="s">
        <v>6074</v>
      </c>
      <c r="AX416" s="19" t="s">
        <v>124</v>
      </c>
      <c r="AY416" s="19" t="s">
        <v>6682</v>
      </c>
      <c r="AZ416" s="19" t="s">
        <v>6683</v>
      </c>
      <c r="BA416" s="20">
        <v>39627</v>
      </c>
      <c r="BB416" s="19" t="s">
        <v>2253</v>
      </c>
      <c r="BC416" s="19" t="s">
        <v>6684</v>
      </c>
      <c r="BD416" s="19" t="s">
        <v>6685</v>
      </c>
      <c r="BE416" s="19" t="s">
        <v>130</v>
      </c>
      <c r="BF416" s="19" t="s">
        <v>6686</v>
      </c>
      <c r="BG416" s="19"/>
      <c r="BH416" s="19" t="s">
        <v>6687</v>
      </c>
      <c r="BI416" s="19" t="s">
        <v>6687</v>
      </c>
      <c r="BJ416" s="19" t="s">
        <v>166</v>
      </c>
      <c r="BK416" s="19" t="s">
        <v>1084</v>
      </c>
      <c r="BL416" s="19" t="s">
        <v>222</v>
      </c>
      <c r="BM416" s="19" t="s">
        <v>169</v>
      </c>
      <c r="BN416" s="21">
        <v>0</v>
      </c>
      <c r="BO416" s="21">
        <v>0</v>
      </c>
      <c r="BQ416" s="2"/>
      <c r="BR416" s="2"/>
      <c r="BS416" s="2"/>
      <c r="BT416" s="2"/>
      <c r="BU416" s="22"/>
      <c r="BV416" s="2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</row>
    <row r="417" spans="1:95" x14ac:dyDescent="0.25">
      <c r="A417" s="18">
        <v>414</v>
      </c>
      <c r="B417" s="19" t="s">
        <v>6688</v>
      </c>
      <c r="C417" s="19" t="s">
        <v>6689</v>
      </c>
      <c r="D417" s="20">
        <v>46014</v>
      </c>
      <c r="E417" s="20">
        <v>27215</v>
      </c>
      <c r="F417" s="19" t="s">
        <v>6690</v>
      </c>
      <c r="G417" s="19" t="s">
        <v>139</v>
      </c>
      <c r="H417" s="19" t="s">
        <v>94</v>
      </c>
      <c r="I417" s="19"/>
      <c r="J417" s="19"/>
      <c r="K417" s="19"/>
      <c r="L417" s="19" t="s">
        <v>244</v>
      </c>
      <c r="M417" s="19" t="s">
        <v>245</v>
      </c>
      <c r="N417" s="19" t="s">
        <v>6691</v>
      </c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 t="s">
        <v>101</v>
      </c>
      <c r="Z417" s="19" t="s">
        <v>102</v>
      </c>
      <c r="AA417" s="19" t="s">
        <v>103</v>
      </c>
      <c r="AB417" s="19" t="s">
        <v>143</v>
      </c>
      <c r="AC417" s="19" t="s">
        <v>144</v>
      </c>
      <c r="AD417" s="19" t="s">
        <v>6692</v>
      </c>
      <c r="AE417" s="19" t="s">
        <v>6693</v>
      </c>
      <c r="AF417" s="19" t="s">
        <v>6694</v>
      </c>
      <c r="AG417" s="19" t="s">
        <v>3226</v>
      </c>
      <c r="AH417" s="19" t="s">
        <v>149</v>
      </c>
      <c r="AI417" s="19" t="s">
        <v>111</v>
      </c>
      <c r="AJ417" s="19" t="s">
        <v>6695</v>
      </c>
      <c r="AK417" s="19"/>
      <c r="AL417" s="19"/>
      <c r="AM417" s="19" t="s">
        <v>6696</v>
      </c>
      <c r="AN417" s="19" t="s">
        <v>6697</v>
      </c>
      <c r="AO417" s="19" t="s">
        <v>255</v>
      </c>
      <c r="AP417" s="19" t="s">
        <v>256</v>
      </c>
      <c r="AQ417" s="19" t="s">
        <v>117</v>
      </c>
      <c r="AR417" s="19" t="s">
        <v>257</v>
      </c>
      <c r="AS417" s="19" t="s">
        <v>258</v>
      </c>
      <c r="AT417" s="19" t="s">
        <v>259</v>
      </c>
      <c r="AU417" s="19" t="s">
        <v>260</v>
      </c>
      <c r="AV417" s="19" t="s">
        <v>260</v>
      </c>
      <c r="AW417" s="19" t="s">
        <v>261</v>
      </c>
      <c r="AX417" s="19" t="s">
        <v>262</v>
      </c>
      <c r="AY417" s="19" t="s">
        <v>263</v>
      </c>
      <c r="AZ417" s="19" t="s">
        <v>264</v>
      </c>
      <c r="BA417" s="20">
        <v>43627</v>
      </c>
      <c r="BB417" s="19" t="s">
        <v>161</v>
      </c>
      <c r="BC417" s="19" t="s">
        <v>6698</v>
      </c>
      <c r="BD417" s="19" t="s">
        <v>3226</v>
      </c>
      <c r="BE417" s="19" t="s">
        <v>130</v>
      </c>
      <c r="BF417" s="19" t="s">
        <v>6699</v>
      </c>
      <c r="BG417" s="19"/>
      <c r="BH417" s="19" t="s">
        <v>6700</v>
      </c>
      <c r="BI417" s="19" t="s">
        <v>6700</v>
      </c>
      <c r="BJ417" s="19" t="s">
        <v>166</v>
      </c>
      <c r="BK417" s="19" t="s">
        <v>167</v>
      </c>
      <c r="BL417" s="19" t="s">
        <v>168</v>
      </c>
      <c r="BM417" s="19" t="s">
        <v>169</v>
      </c>
      <c r="BN417" s="21">
        <v>799.53399999999999</v>
      </c>
      <c r="BO417" s="21">
        <v>30454.250059999998</v>
      </c>
      <c r="BQ417" s="2"/>
      <c r="BR417" s="2"/>
      <c r="BS417" s="2"/>
      <c r="BT417" s="2"/>
      <c r="BU417" s="22"/>
      <c r="BV417" s="2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</row>
    <row r="418" spans="1:95" x14ac:dyDescent="0.25">
      <c r="A418" s="18">
        <v>415</v>
      </c>
      <c r="B418" s="19" t="s">
        <v>6701</v>
      </c>
      <c r="C418" s="19" t="s">
        <v>6702</v>
      </c>
      <c r="D418" s="20">
        <v>46015</v>
      </c>
      <c r="E418" s="20">
        <v>37622</v>
      </c>
      <c r="F418" s="19" t="s">
        <v>6703</v>
      </c>
      <c r="G418" s="19" t="s">
        <v>139</v>
      </c>
      <c r="H418" s="19" t="s">
        <v>94</v>
      </c>
      <c r="I418" s="19"/>
      <c r="J418" s="19"/>
      <c r="K418" s="19"/>
      <c r="L418" s="19" t="s">
        <v>244</v>
      </c>
      <c r="M418" s="19" t="s">
        <v>245</v>
      </c>
      <c r="N418" s="19" t="s">
        <v>6704</v>
      </c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 t="s">
        <v>101</v>
      </c>
      <c r="Z418" s="19" t="s">
        <v>102</v>
      </c>
      <c r="AA418" s="19" t="s">
        <v>103</v>
      </c>
      <c r="AB418" s="19" t="s">
        <v>143</v>
      </c>
      <c r="AC418" s="19" t="s">
        <v>144</v>
      </c>
      <c r="AD418" s="19" t="s">
        <v>6705</v>
      </c>
      <c r="AE418" s="19" t="s">
        <v>6706</v>
      </c>
      <c r="AF418" s="19" t="s">
        <v>6707</v>
      </c>
      <c r="AG418" s="19" t="s">
        <v>6708</v>
      </c>
      <c r="AH418" s="19" t="s">
        <v>344</v>
      </c>
      <c r="AI418" s="19" t="s">
        <v>111</v>
      </c>
      <c r="AJ418" s="19" t="s">
        <v>6709</v>
      </c>
      <c r="AK418" s="19"/>
      <c r="AL418" s="19"/>
      <c r="AM418" s="19" t="s">
        <v>6710</v>
      </c>
      <c r="AN418" s="19" t="s">
        <v>6711</v>
      </c>
      <c r="AO418" s="19" t="s">
        <v>255</v>
      </c>
      <c r="AP418" s="19" t="s">
        <v>256</v>
      </c>
      <c r="AQ418" s="19" t="s">
        <v>117</v>
      </c>
      <c r="AR418" s="19" t="s">
        <v>257</v>
      </c>
      <c r="AS418" s="19" t="s">
        <v>258</v>
      </c>
      <c r="AT418" s="19" t="s">
        <v>259</v>
      </c>
      <c r="AU418" s="19" t="s">
        <v>260</v>
      </c>
      <c r="AV418" s="19" t="s">
        <v>260</v>
      </c>
      <c r="AW418" s="19" t="s">
        <v>261</v>
      </c>
      <c r="AX418" s="19" t="s">
        <v>262</v>
      </c>
      <c r="AY418" s="19" t="s">
        <v>263</v>
      </c>
      <c r="AZ418" s="19" t="s">
        <v>264</v>
      </c>
      <c r="BA418" s="20">
        <v>43627</v>
      </c>
      <c r="BB418" s="19" t="s">
        <v>331</v>
      </c>
      <c r="BC418" s="19" t="s">
        <v>6712</v>
      </c>
      <c r="BD418" s="19" t="s">
        <v>297</v>
      </c>
      <c r="BE418" s="19" t="s">
        <v>130</v>
      </c>
      <c r="BF418" s="19" t="s">
        <v>6713</v>
      </c>
      <c r="BG418" s="19"/>
      <c r="BH418" s="19" t="s">
        <v>6714</v>
      </c>
      <c r="BI418" s="19" t="s">
        <v>6714</v>
      </c>
      <c r="BJ418" s="19" t="s">
        <v>166</v>
      </c>
      <c r="BK418" s="19" t="s">
        <v>167</v>
      </c>
      <c r="BL418" s="19" t="s">
        <v>168</v>
      </c>
      <c r="BM418" s="19" t="s">
        <v>169</v>
      </c>
      <c r="BN418" s="21">
        <v>26.707999999999998</v>
      </c>
      <c r="BO418" s="21">
        <v>1017.30772</v>
      </c>
      <c r="BQ418" s="2"/>
      <c r="BR418" s="2"/>
      <c r="BS418" s="2"/>
      <c r="BT418" s="2"/>
      <c r="BU418" s="22"/>
      <c r="BV418" s="2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</row>
    <row r="419" spans="1:95" x14ac:dyDescent="0.25">
      <c r="A419" s="18">
        <v>416</v>
      </c>
      <c r="B419" s="19" t="s">
        <v>6715</v>
      </c>
      <c r="C419" s="19" t="s">
        <v>6716</v>
      </c>
      <c r="D419" s="20">
        <v>46020</v>
      </c>
      <c r="E419" s="20">
        <v>26359</v>
      </c>
      <c r="F419" s="19"/>
      <c r="G419" s="19"/>
      <c r="H419" s="19" t="s">
        <v>94</v>
      </c>
      <c r="I419" s="19"/>
      <c r="J419" s="19"/>
      <c r="K419" s="19"/>
      <c r="L419" s="19" t="s">
        <v>467</v>
      </c>
      <c r="M419" s="19" t="s">
        <v>468</v>
      </c>
      <c r="N419" s="19" t="s">
        <v>6717</v>
      </c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 t="s">
        <v>101</v>
      </c>
      <c r="Z419" s="19" t="s">
        <v>102</v>
      </c>
      <c r="AA419" s="19" t="s">
        <v>103</v>
      </c>
      <c r="AB419" s="19" t="s">
        <v>6477</v>
      </c>
      <c r="AC419" s="19" t="s">
        <v>6478</v>
      </c>
      <c r="AD419" s="19" t="s">
        <v>6718</v>
      </c>
      <c r="AE419" s="19" t="s">
        <v>6719</v>
      </c>
      <c r="AF419" s="19" t="s">
        <v>6720</v>
      </c>
      <c r="AG419" s="19" t="s">
        <v>6721</v>
      </c>
      <c r="AH419" s="19" t="s">
        <v>942</v>
      </c>
      <c r="AI419" s="19" t="s">
        <v>111</v>
      </c>
      <c r="AJ419" s="19" t="s">
        <v>6722</v>
      </c>
      <c r="AK419" s="19"/>
      <c r="AL419" s="19"/>
      <c r="AM419" s="19" t="s">
        <v>6723</v>
      </c>
      <c r="AN419" s="19" t="s">
        <v>6724</v>
      </c>
      <c r="AO419" s="19" t="s">
        <v>6725</v>
      </c>
      <c r="AP419" s="19" t="s">
        <v>6726</v>
      </c>
      <c r="AQ419" s="19" t="s">
        <v>117</v>
      </c>
      <c r="AR419" s="19" t="s">
        <v>6727</v>
      </c>
      <c r="AS419" s="19" t="s">
        <v>6728</v>
      </c>
      <c r="AT419" s="19" t="s">
        <v>6729</v>
      </c>
      <c r="AU419" s="19"/>
      <c r="AV419" s="19" t="s">
        <v>6730</v>
      </c>
      <c r="AW419" s="19" t="s">
        <v>6722</v>
      </c>
      <c r="AX419" s="19" t="s">
        <v>942</v>
      </c>
      <c r="AY419" s="19" t="s">
        <v>6731</v>
      </c>
      <c r="AZ419" s="19" t="s">
        <v>6732</v>
      </c>
      <c r="BA419" s="20">
        <v>39699</v>
      </c>
      <c r="BB419" s="19" t="s">
        <v>349</v>
      </c>
      <c r="BC419" s="19" t="s">
        <v>6733</v>
      </c>
      <c r="BD419" s="19" t="s">
        <v>6730</v>
      </c>
      <c r="BE419" s="19" t="s">
        <v>130</v>
      </c>
      <c r="BF419" s="19" t="s">
        <v>6734</v>
      </c>
      <c r="BG419" s="19"/>
      <c r="BH419" s="19" t="s">
        <v>6735</v>
      </c>
      <c r="BI419" s="19" t="s">
        <v>6735</v>
      </c>
      <c r="BJ419" s="19" t="s">
        <v>1259</v>
      </c>
      <c r="BK419" s="19" t="s">
        <v>221</v>
      </c>
      <c r="BL419" s="19" t="s">
        <v>222</v>
      </c>
      <c r="BM419" s="19" t="s">
        <v>169</v>
      </c>
      <c r="BN419" s="21">
        <v>46.887</v>
      </c>
      <c r="BO419" s="21">
        <v>3020.9294100000002</v>
      </c>
      <c r="BQ419" s="2"/>
      <c r="BR419" s="2"/>
      <c r="BS419" s="2"/>
      <c r="BT419" s="2"/>
      <c r="BU419" s="22"/>
      <c r="BV419" s="2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</row>
    <row r="420" spans="1:95" x14ac:dyDescent="0.25">
      <c r="A420" s="18">
        <v>417</v>
      </c>
      <c r="B420" s="19" t="s">
        <v>6736</v>
      </c>
      <c r="C420" s="19" t="s">
        <v>6737</v>
      </c>
      <c r="D420" s="20">
        <v>46015</v>
      </c>
      <c r="E420" s="20">
        <v>37431</v>
      </c>
      <c r="F420" s="19"/>
      <c r="G420" s="19"/>
      <c r="H420" s="19" t="s">
        <v>94</v>
      </c>
      <c r="I420" s="19"/>
      <c r="J420" s="19"/>
      <c r="K420" s="19"/>
      <c r="L420" s="19" t="s">
        <v>1262</v>
      </c>
      <c r="M420" s="19" t="s">
        <v>1263</v>
      </c>
      <c r="N420" s="19" t="s">
        <v>6738</v>
      </c>
      <c r="O420" s="19" t="s">
        <v>100</v>
      </c>
      <c r="P420" s="19"/>
      <c r="Q420" s="19"/>
      <c r="R420" s="19"/>
      <c r="S420" s="19"/>
      <c r="T420" s="19"/>
      <c r="U420" s="19"/>
      <c r="V420" s="19"/>
      <c r="W420" s="19"/>
      <c r="X420" s="19"/>
      <c r="Y420" s="19" t="s">
        <v>101</v>
      </c>
      <c r="Z420" s="19" t="s">
        <v>102</v>
      </c>
      <c r="AA420" s="19" t="s">
        <v>103</v>
      </c>
      <c r="AB420" s="19" t="s">
        <v>6739</v>
      </c>
      <c r="AC420" s="19" t="s">
        <v>6740</v>
      </c>
      <c r="AD420" s="19" t="s">
        <v>6741</v>
      </c>
      <c r="AE420" s="19" t="s">
        <v>6742</v>
      </c>
      <c r="AF420" s="19" t="s">
        <v>6743</v>
      </c>
      <c r="AG420" s="19" t="s">
        <v>4699</v>
      </c>
      <c r="AH420" s="19" t="s">
        <v>6454</v>
      </c>
      <c r="AI420" s="19" t="s">
        <v>111</v>
      </c>
      <c r="AJ420" s="19" t="s">
        <v>6744</v>
      </c>
      <c r="AK420" s="19"/>
      <c r="AL420" s="19"/>
      <c r="AM420" s="19" t="s">
        <v>6745</v>
      </c>
      <c r="AN420" s="19" t="s">
        <v>6746</v>
      </c>
      <c r="AO420" s="19" t="s">
        <v>6747</v>
      </c>
      <c r="AP420" s="19" t="s">
        <v>6748</v>
      </c>
      <c r="AQ420" s="19" t="s">
        <v>117</v>
      </c>
      <c r="AR420" s="19" t="s">
        <v>6749</v>
      </c>
      <c r="AS420" s="19" t="s">
        <v>6750</v>
      </c>
      <c r="AT420" s="19" t="s">
        <v>6751</v>
      </c>
      <c r="AU420" s="19" t="s">
        <v>6752</v>
      </c>
      <c r="AV420" s="19" t="s">
        <v>514</v>
      </c>
      <c r="AW420" s="19" t="s">
        <v>6753</v>
      </c>
      <c r="AX420" s="19" t="s">
        <v>515</v>
      </c>
      <c r="AY420" s="19" t="s">
        <v>6754</v>
      </c>
      <c r="AZ420" s="19" t="s">
        <v>6755</v>
      </c>
      <c r="BA420" s="20">
        <v>42656</v>
      </c>
      <c r="BB420" s="19" t="s">
        <v>265</v>
      </c>
      <c r="BC420" s="19" t="s">
        <v>6756</v>
      </c>
      <c r="BD420" s="19" t="s">
        <v>4699</v>
      </c>
      <c r="BE420" s="19" t="s">
        <v>130</v>
      </c>
      <c r="BF420" s="19" t="s">
        <v>6757</v>
      </c>
      <c r="BG420" s="19"/>
      <c r="BH420" s="19" t="s">
        <v>6758</v>
      </c>
      <c r="BI420" s="19" t="s">
        <v>6758</v>
      </c>
      <c r="BJ420" s="19" t="s">
        <v>194</v>
      </c>
      <c r="BK420" s="19" t="s">
        <v>591</v>
      </c>
      <c r="BL420" s="19" t="s">
        <v>122</v>
      </c>
      <c r="BM420" s="19" t="s">
        <v>592</v>
      </c>
      <c r="BN420" s="21">
        <v>41.027999999999999</v>
      </c>
      <c r="BO420" s="21">
        <v>1099.5504000000001</v>
      </c>
      <c r="BQ420" s="2"/>
      <c r="BR420" s="2"/>
      <c r="BS420" s="2"/>
      <c r="BT420" s="2"/>
      <c r="BU420" s="22"/>
      <c r="BV420" s="2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</row>
    <row r="421" spans="1:95" x14ac:dyDescent="0.25">
      <c r="A421" s="18">
        <v>418</v>
      </c>
      <c r="B421" s="19" t="s">
        <v>6759</v>
      </c>
      <c r="C421" s="19" t="s">
        <v>6760</v>
      </c>
      <c r="D421" s="20">
        <v>46017</v>
      </c>
      <c r="E421" s="20">
        <v>37261</v>
      </c>
      <c r="F421" s="19" t="s">
        <v>6761</v>
      </c>
      <c r="G421" s="19" t="s">
        <v>139</v>
      </c>
      <c r="H421" s="19" t="s">
        <v>117</v>
      </c>
      <c r="I421" s="19" t="s">
        <v>6762</v>
      </c>
      <c r="J421" s="19"/>
      <c r="K421" s="19"/>
      <c r="L421" s="19" t="s">
        <v>101</v>
      </c>
      <c r="M421" s="19" t="s">
        <v>290</v>
      </c>
      <c r="N421" s="19" t="s">
        <v>6763</v>
      </c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 t="s">
        <v>101</v>
      </c>
      <c r="Z421" s="19" t="s">
        <v>102</v>
      </c>
      <c r="AA421" s="19" t="s">
        <v>103</v>
      </c>
      <c r="AB421" s="19" t="s">
        <v>173</v>
      </c>
      <c r="AC421" s="19" t="s">
        <v>174</v>
      </c>
      <c r="AD421" s="19" t="s">
        <v>6764</v>
      </c>
      <c r="AE421" s="19" t="s">
        <v>6765</v>
      </c>
      <c r="AF421" s="19"/>
      <c r="AG421" s="19" t="s">
        <v>941</v>
      </c>
      <c r="AH421" s="19" t="s">
        <v>942</v>
      </c>
      <c r="AI421" s="19" t="s">
        <v>111</v>
      </c>
      <c r="AJ421" s="19" t="s">
        <v>6766</v>
      </c>
      <c r="AK421" s="19"/>
      <c r="AL421" s="19"/>
      <c r="AM421" s="19" t="s">
        <v>6767</v>
      </c>
      <c r="AN421" s="19" t="s">
        <v>6768</v>
      </c>
      <c r="AO421" s="19" t="s">
        <v>476</v>
      </c>
      <c r="AP421" s="19" t="s">
        <v>477</v>
      </c>
      <c r="AQ421" s="19" t="s">
        <v>117</v>
      </c>
      <c r="AR421" s="19" t="s">
        <v>478</v>
      </c>
      <c r="AS421" s="19"/>
      <c r="AT421" s="19"/>
      <c r="AU421" s="19"/>
      <c r="AV421" s="19"/>
      <c r="AW421" s="19"/>
      <c r="AX421" s="19"/>
      <c r="AY421" s="19"/>
      <c r="AZ421" s="19"/>
      <c r="BA421" s="20">
        <v>44452</v>
      </c>
      <c r="BB421" s="19" t="s">
        <v>1388</v>
      </c>
      <c r="BC421" s="19" t="s">
        <v>6769</v>
      </c>
      <c r="BD421" s="19" t="s">
        <v>941</v>
      </c>
      <c r="BE421" s="19" t="s">
        <v>130</v>
      </c>
      <c r="BF421" s="19" t="s">
        <v>6770</v>
      </c>
      <c r="BG421" s="19"/>
      <c r="BH421" s="19" t="s">
        <v>6771</v>
      </c>
      <c r="BI421" s="19" t="s">
        <v>6771</v>
      </c>
      <c r="BJ421" s="19" t="s">
        <v>166</v>
      </c>
      <c r="BK421" s="19" t="s">
        <v>167</v>
      </c>
      <c r="BL421" s="19" t="s">
        <v>168</v>
      </c>
      <c r="BM421" s="19" t="s">
        <v>169</v>
      </c>
      <c r="BN421" s="21">
        <v>2.7919999999999998</v>
      </c>
      <c r="BO421" s="21">
        <v>98.904366400000001</v>
      </c>
      <c r="BQ421" s="2"/>
      <c r="BR421" s="2"/>
      <c r="BS421" s="2"/>
      <c r="BT421" s="2"/>
      <c r="BU421" s="22"/>
      <c r="BV421" s="2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</row>
    <row r="422" spans="1:95" x14ac:dyDescent="0.25">
      <c r="A422" s="18">
        <v>419</v>
      </c>
      <c r="B422" s="19" t="s">
        <v>6772</v>
      </c>
      <c r="C422" s="19" t="s">
        <v>6773</v>
      </c>
      <c r="D422" s="20">
        <v>46017</v>
      </c>
      <c r="E422" s="20">
        <v>30013</v>
      </c>
      <c r="F422" s="19"/>
      <c r="G422" s="19"/>
      <c r="H422" s="19" t="s">
        <v>94</v>
      </c>
      <c r="I422" s="19"/>
      <c r="J422" s="19"/>
      <c r="K422" s="19"/>
      <c r="L422" s="19" t="s">
        <v>244</v>
      </c>
      <c r="M422" s="19" t="s">
        <v>245</v>
      </c>
      <c r="N422" s="19" t="s">
        <v>6774</v>
      </c>
      <c r="O422" s="19" t="s">
        <v>100</v>
      </c>
      <c r="P422" s="19"/>
      <c r="Q422" s="19"/>
      <c r="R422" s="19"/>
      <c r="S422" s="19"/>
      <c r="T422" s="19"/>
      <c r="U422" s="19"/>
      <c r="V422" s="19"/>
      <c r="W422" s="19"/>
      <c r="X422" s="19"/>
      <c r="Y422" s="19" t="s">
        <v>101</v>
      </c>
      <c r="Z422" s="19" t="s">
        <v>102</v>
      </c>
      <c r="AA422" s="19" t="s">
        <v>103</v>
      </c>
      <c r="AB422" s="19" t="s">
        <v>173</v>
      </c>
      <c r="AC422" s="19" t="s">
        <v>174</v>
      </c>
      <c r="AD422" s="19" t="s">
        <v>6775</v>
      </c>
      <c r="AE422" s="19" t="s">
        <v>6776</v>
      </c>
      <c r="AF422" s="19" t="s">
        <v>6777</v>
      </c>
      <c r="AG422" s="19" t="s">
        <v>219</v>
      </c>
      <c r="AH422" s="19" t="s">
        <v>124</v>
      </c>
      <c r="AI422" s="19" t="s">
        <v>111</v>
      </c>
      <c r="AJ422" s="19" t="s">
        <v>3138</v>
      </c>
      <c r="AK422" s="19"/>
      <c r="AL422" s="19"/>
      <c r="AM422" s="19" t="s">
        <v>6778</v>
      </c>
      <c r="AN422" s="19" t="s">
        <v>6779</v>
      </c>
      <c r="AO422" s="19" t="s">
        <v>255</v>
      </c>
      <c r="AP422" s="19" t="s">
        <v>256</v>
      </c>
      <c r="AQ422" s="19" t="s">
        <v>117</v>
      </c>
      <c r="AR422" s="19" t="s">
        <v>257</v>
      </c>
      <c r="AS422" s="19" t="s">
        <v>258</v>
      </c>
      <c r="AT422" s="19" t="s">
        <v>259</v>
      </c>
      <c r="AU422" s="19" t="s">
        <v>260</v>
      </c>
      <c r="AV422" s="19" t="s">
        <v>260</v>
      </c>
      <c r="AW422" s="19" t="s">
        <v>261</v>
      </c>
      <c r="AX422" s="19" t="s">
        <v>262</v>
      </c>
      <c r="AY422" s="19" t="s">
        <v>263</v>
      </c>
      <c r="AZ422" s="19" t="s">
        <v>264</v>
      </c>
      <c r="BA422" s="20">
        <v>43627</v>
      </c>
      <c r="BB422" s="19" t="s">
        <v>265</v>
      </c>
      <c r="BC422" s="19" t="s">
        <v>6780</v>
      </c>
      <c r="BD422" s="19" t="s">
        <v>219</v>
      </c>
      <c r="BE422" s="19" t="s">
        <v>130</v>
      </c>
      <c r="BF422" s="19" t="s">
        <v>6781</v>
      </c>
      <c r="BG422" s="19"/>
      <c r="BH422" s="19" t="s">
        <v>6782</v>
      </c>
      <c r="BI422" s="19" t="s">
        <v>6782</v>
      </c>
      <c r="BJ422" s="19" t="s">
        <v>194</v>
      </c>
      <c r="BK422" s="19" t="s">
        <v>195</v>
      </c>
      <c r="BL422" s="19" t="s">
        <v>122</v>
      </c>
      <c r="BM422" s="19" t="s">
        <v>196</v>
      </c>
      <c r="BN422" s="21">
        <v>139.57</v>
      </c>
      <c r="BO422" s="21">
        <v>4944.1555939999998</v>
      </c>
      <c r="BQ422" s="2"/>
      <c r="BR422" s="2"/>
      <c r="BS422" s="2"/>
      <c r="BT422" s="2"/>
      <c r="BU422" s="22"/>
      <c r="BV422" s="2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</row>
    <row r="423" spans="1:95" x14ac:dyDescent="0.25">
      <c r="A423" s="18">
        <v>420</v>
      </c>
      <c r="B423" s="19" t="s">
        <v>6783</v>
      </c>
      <c r="C423" s="19" t="s">
        <v>6784</v>
      </c>
      <c r="D423" s="20">
        <v>46022</v>
      </c>
      <c r="E423" s="20">
        <v>37300</v>
      </c>
      <c r="F423" s="19"/>
      <c r="G423" s="19"/>
      <c r="H423" s="19" t="s">
        <v>94</v>
      </c>
      <c r="I423" s="19"/>
      <c r="J423" s="19"/>
      <c r="K423" s="19"/>
      <c r="L423" s="19" t="s">
        <v>97</v>
      </c>
      <c r="M423" s="19" t="s">
        <v>98</v>
      </c>
      <c r="N423" s="19" t="s">
        <v>6785</v>
      </c>
      <c r="O423" s="19" t="s">
        <v>100</v>
      </c>
      <c r="P423" s="19"/>
      <c r="Q423" s="19"/>
      <c r="R423" s="19"/>
      <c r="S423" s="19"/>
      <c r="T423" s="19"/>
      <c r="U423" s="19"/>
      <c r="V423" s="19"/>
      <c r="W423" s="19"/>
      <c r="X423" s="19"/>
      <c r="Y423" s="19" t="s">
        <v>101</v>
      </c>
      <c r="Z423" s="19" t="s">
        <v>102</v>
      </c>
      <c r="AA423" s="19" t="s">
        <v>103</v>
      </c>
      <c r="AB423" s="19" t="s">
        <v>3307</v>
      </c>
      <c r="AC423" s="19" t="s">
        <v>3308</v>
      </c>
      <c r="AD423" s="19" t="s">
        <v>6786</v>
      </c>
      <c r="AE423" s="19" t="s">
        <v>6787</v>
      </c>
      <c r="AF423" s="19" t="s">
        <v>6788</v>
      </c>
      <c r="AG423" s="19" t="s">
        <v>6789</v>
      </c>
      <c r="AH423" s="19" t="s">
        <v>757</v>
      </c>
      <c r="AI423" s="19" t="s">
        <v>111</v>
      </c>
      <c r="AJ423" s="19" t="s">
        <v>6790</v>
      </c>
      <c r="AK423" s="19"/>
      <c r="AL423" s="19"/>
      <c r="AM423" s="19" t="s">
        <v>6791</v>
      </c>
      <c r="AN423" s="19" t="s">
        <v>6792</v>
      </c>
      <c r="AO423" s="19" t="s">
        <v>835</v>
      </c>
      <c r="AP423" s="19" t="s">
        <v>836</v>
      </c>
      <c r="AQ423" s="19" t="s">
        <v>117</v>
      </c>
      <c r="AR423" s="19" t="s">
        <v>837</v>
      </c>
      <c r="AS423" s="19" t="s">
        <v>838</v>
      </c>
      <c r="AT423" s="19" t="s">
        <v>839</v>
      </c>
      <c r="AU423" s="19" t="s">
        <v>840</v>
      </c>
      <c r="AV423" s="19" t="s">
        <v>841</v>
      </c>
      <c r="AW423" s="19"/>
      <c r="AX423" s="19" t="s">
        <v>707</v>
      </c>
      <c r="AY423" s="19" t="s">
        <v>842</v>
      </c>
      <c r="AZ423" s="19" t="s">
        <v>843</v>
      </c>
      <c r="BA423" s="20">
        <v>45453</v>
      </c>
      <c r="BB423" s="19" t="s">
        <v>444</v>
      </c>
      <c r="BC423" s="19" t="s">
        <v>6793</v>
      </c>
      <c r="BD423" s="19" t="s">
        <v>6789</v>
      </c>
      <c r="BE423" s="19" t="s">
        <v>130</v>
      </c>
      <c r="BF423" s="19" t="s">
        <v>6794</v>
      </c>
      <c r="BG423" s="19"/>
      <c r="BH423" s="19" t="s">
        <v>6795</v>
      </c>
      <c r="BI423" s="19" t="s">
        <v>6795</v>
      </c>
      <c r="BJ423" s="19" t="s">
        <v>194</v>
      </c>
      <c r="BK423" s="19" t="s">
        <v>195</v>
      </c>
      <c r="BL423" s="19" t="s">
        <v>122</v>
      </c>
      <c r="BM423" s="19" t="s">
        <v>196</v>
      </c>
      <c r="BN423" s="21">
        <v>31.039000000000001</v>
      </c>
      <c r="BO423" s="21">
        <v>2999.8293368999998</v>
      </c>
      <c r="BQ423" s="2"/>
      <c r="BR423" s="2"/>
      <c r="BS423" s="2"/>
      <c r="BT423" s="2"/>
      <c r="BU423" s="22"/>
      <c r="BV423" s="2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</row>
    <row r="424" spans="1:95" x14ac:dyDescent="0.25">
      <c r="A424" s="18">
        <v>421</v>
      </c>
      <c r="B424" s="19" t="s">
        <v>6796</v>
      </c>
      <c r="C424" s="19" t="s">
        <v>6797</v>
      </c>
      <c r="D424" s="20">
        <v>46022</v>
      </c>
      <c r="E424" s="20">
        <v>37099</v>
      </c>
      <c r="F424" s="19"/>
      <c r="G424" s="19"/>
      <c r="H424" s="19" t="s">
        <v>94</v>
      </c>
      <c r="I424" s="19"/>
      <c r="J424" s="19"/>
      <c r="K424" s="19"/>
      <c r="L424" s="19" t="s">
        <v>140</v>
      </c>
      <c r="M424" s="19" t="s">
        <v>141</v>
      </c>
      <c r="N424" s="19" t="s">
        <v>6798</v>
      </c>
      <c r="O424" s="19" t="s">
        <v>100</v>
      </c>
      <c r="P424" s="19"/>
      <c r="Q424" s="19"/>
      <c r="R424" s="19"/>
      <c r="S424" s="19"/>
      <c r="T424" s="19"/>
      <c r="U424" s="19"/>
      <c r="V424" s="19"/>
      <c r="W424" s="19"/>
      <c r="X424" s="19"/>
      <c r="Y424" s="19" t="s">
        <v>101</v>
      </c>
      <c r="Z424" s="19" t="s">
        <v>102</v>
      </c>
      <c r="AA424" s="19" t="s">
        <v>103</v>
      </c>
      <c r="AB424" s="19" t="s">
        <v>173</v>
      </c>
      <c r="AC424" s="19" t="s">
        <v>174</v>
      </c>
      <c r="AD424" s="19" t="s">
        <v>6799</v>
      </c>
      <c r="AE424" s="19" t="s">
        <v>6800</v>
      </c>
      <c r="AF424" s="19" t="s">
        <v>6801</v>
      </c>
      <c r="AG424" s="19" t="s">
        <v>3919</v>
      </c>
      <c r="AH424" s="19" t="s">
        <v>515</v>
      </c>
      <c r="AI424" s="19" t="s">
        <v>111</v>
      </c>
      <c r="AJ424" s="19" t="s">
        <v>6802</v>
      </c>
      <c r="AK424" s="19"/>
      <c r="AL424" s="19"/>
      <c r="AM424" s="19" t="s">
        <v>6803</v>
      </c>
      <c r="AN424" s="19" t="s">
        <v>6804</v>
      </c>
      <c r="AO424" s="19" t="s">
        <v>181</v>
      </c>
      <c r="AP424" s="19" t="s">
        <v>182</v>
      </c>
      <c r="AQ424" s="19" t="s">
        <v>117</v>
      </c>
      <c r="AR424" s="19" t="s">
        <v>183</v>
      </c>
      <c r="AS424" s="19" t="s">
        <v>184</v>
      </c>
      <c r="AT424" s="19" t="s">
        <v>185</v>
      </c>
      <c r="AU424" s="19"/>
      <c r="AV424" s="19" t="s">
        <v>186</v>
      </c>
      <c r="AW424" s="19" t="s">
        <v>187</v>
      </c>
      <c r="AX424" s="19" t="s">
        <v>188</v>
      </c>
      <c r="AY424" s="19"/>
      <c r="AZ424" s="19" t="s">
        <v>189</v>
      </c>
      <c r="BA424" s="20">
        <v>44673</v>
      </c>
      <c r="BB424" s="19" t="s">
        <v>1796</v>
      </c>
      <c r="BC424" s="19" t="s">
        <v>6805</v>
      </c>
      <c r="BD424" s="19" t="s">
        <v>3919</v>
      </c>
      <c r="BE424" s="19" t="s">
        <v>130</v>
      </c>
      <c r="BF424" s="19" t="s">
        <v>6806</v>
      </c>
      <c r="BG424" s="19"/>
      <c r="BH424" s="19" t="s">
        <v>6807</v>
      </c>
      <c r="BI424" s="19" t="s">
        <v>6807</v>
      </c>
      <c r="BJ424" s="19" t="s">
        <v>194</v>
      </c>
      <c r="BK424" s="19" t="s">
        <v>195</v>
      </c>
      <c r="BL424" s="19" t="s">
        <v>122</v>
      </c>
      <c r="BM424" s="19" t="s">
        <v>196</v>
      </c>
      <c r="BN424" s="21">
        <v>5.6740000000000004</v>
      </c>
      <c r="BO424" s="21">
        <v>200.99691079999999</v>
      </c>
      <c r="BQ424" s="2"/>
      <c r="BR424" s="2"/>
      <c r="BS424" s="2"/>
      <c r="BT424" s="2"/>
      <c r="BU424" s="22"/>
      <c r="BV424" s="2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</row>
    <row r="425" spans="1:95" x14ac:dyDescent="0.25">
      <c r="A425" s="18">
        <v>422</v>
      </c>
      <c r="B425" s="19" t="s">
        <v>6808</v>
      </c>
      <c r="C425" s="19" t="s">
        <v>6809</v>
      </c>
      <c r="D425" s="20">
        <v>45999</v>
      </c>
      <c r="E425" s="20">
        <v>36776</v>
      </c>
      <c r="F425" s="19" t="s">
        <v>6810</v>
      </c>
      <c r="G425" s="19" t="s">
        <v>139</v>
      </c>
      <c r="H425" s="19" t="s">
        <v>94</v>
      </c>
      <c r="I425" s="19"/>
      <c r="J425" s="19"/>
      <c r="K425" s="19"/>
      <c r="L425" s="19" t="s">
        <v>244</v>
      </c>
      <c r="M425" s="19" t="s">
        <v>245</v>
      </c>
      <c r="N425" s="19" t="s">
        <v>6811</v>
      </c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 t="s">
        <v>101</v>
      </c>
      <c r="Z425" s="19" t="s">
        <v>102</v>
      </c>
      <c r="AA425" s="19" t="s">
        <v>103</v>
      </c>
      <c r="AB425" s="19" t="s">
        <v>143</v>
      </c>
      <c r="AC425" s="19" t="s">
        <v>144</v>
      </c>
      <c r="AD425" s="19" t="s">
        <v>6812</v>
      </c>
      <c r="AE425" s="19" t="s">
        <v>6813</v>
      </c>
      <c r="AF425" s="19" t="s">
        <v>6814</v>
      </c>
      <c r="AG425" s="19" t="s">
        <v>1140</v>
      </c>
      <c r="AH425" s="19" t="s">
        <v>327</v>
      </c>
      <c r="AI425" s="19" t="s">
        <v>111</v>
      </c>
      <c r="AJ425" s="19" t="s">
        <v>2759</v>
      </c>
      <c r="AK425" s="19"/>
      <c r="AL425" s="19"/>
      <c r="AM425" s="19" t="s">
        <v>6815</v>
      </c>
      <c r="AN425" s="19" t="s">
        <v>6816</v>
      </c>
      <c r="AO425" s="19" t="s">
        <v>255</v>
      </c>
      <c r="AP425" s="19" t="s">
        <v>256</v>
      </c>
      <c r="AQ425" s="19" t="s">
        <v>117</v>
      </c>
      <c r="AR425" s="19" t="s">
        <v>257</v>
      </c>
      <c r="AS425" s="19" t="s">
        <v>258</v>
      </c>
      <c r="AT425" s="19" t="s">
        <v>259</v>
      </c>
      <c r="AU425" s="19" t="s">
        <v>260</v>
      </c>
      <c r="AV425" s="19" t="s">
        <v>260</v>
      </c>
      <c r="AW425" s="19" t="s">
        <v>261</v>
      </c>
      <c r="AX425" s="19" t="s">
        <v>262</v>
      </c>
      <c r="AY425" s="19" t="s">
        <v>263</v>
      </c>
      <c r="AZ425" s="19" t="s">
        <v>264</v>
      </c>
      <c r="BA425" s="20">
        <v>43627</v>
      </c>
      <c r="BB425" s="19" t="s">
        <v>331</v>
      </c>
      <c r="BC425" s="19" t="s">
        <v>6817</v>
      </c>
      <c r="BD425" s="19" t="s">
        <v>1140</v>
      </c>
      <c r="BE425" s="19" t="s">
        <v>130</v>
      </c>
      <c r="BF425" s="19" t="s">
        <v>6818</v>
      </c>
      <c r="BG425" s="19"/>
      <c r="BH425" s="19" t="s">
        <v>6819</v>
      </c>
      <c r="BI425" s="19" t="s">
        <v>6819</v>
      </c>
      <c r="BJ425" s="19" t="s">
        <v>166</v>
      </c>
      <c r="BK425" s="19" t="s">
        <v>167</v>
      </c>
      <c r="BL425" s="19" t="s">
        <v>168</v>
      </c>
      <c r="BM425" s="19" t="s">
        <v>169</v>
      </c>
      <c r="BN425" s="21">
        <v>951.17200000000003</v>
      </c>
      <c r="BO425" s="21">
        <v>36230.141479999998</v>
      </c>
      <c r="BQ425" s="2"/>
      <c r="BR425" s="2"/>
      <c r="BS425" s="2"/>
      <c r="BT425" s="2"/>
      <c r="BU425" s="22"/>
      <c r="BV425" s="2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</row>
    <row r="426" spans="1:95" x14ac:dyDescent="0.25">
      <c r="A426" s="18">
        <v>423</v>
      </c>
      <c r="B426" s="19" t="s">
        <v>6820</v>
      </c>
      <c r="C426" s="19" t="s">
        <v>6821</v>
      </c>
      <c r="D426" s="20">
        <v>45999</v>
      </c>
      <c r="E426" s="20">
        <v>30147</v>
      </c>
      <c r="F426" s="19"/>
      <c r="G426" s="19"/>
      <c r="H426" s="19" t="s">
        <v>94</v>
      </c>
      <c r="I426" s="19"/>
      <c r="J426" s="19"/>
      <c r="K426" s="19"/>
      <c r="L426" s="19" t="s">
        <v>101</v>
      </c>
      <c r="M426" s="19" t="s">
        <v>290</v>
      </c>
      <c r="N426" s="19" t="s">
        <v>6822</v>
      </c>
      <c r="O426" s="19" t="s">
        <v>100</v>
      </c>
      <c r="P426" s="19"/>
      <c r="Q426" s="19"/>
      <c r="R426" s="19"/>
      <c r="S426" s="19"/>
      <c r="T426" s="19"/>
      <c r="U426" s="19"/>
      <c r="V426" s="19"/>
      <c r="W426" s="19"/>
      <c r="X426" s="19"/>
      <c r="Y426" s="19" t="s">
        <v>101</v>
      </c>
      <c r="Z426" s="19" t="s">
        <v>102</v>
      </c>
      <c r="AA426" s="19" t="s">
        <v>103</v>
      </c>
      <c r="AB426" s="19" t="s">
        <v>850</v>
      </c>
      <c r="AC426" s="19" t="s">
        <v>851</v>
      </c>
      <c r="AD426" s="19" t="s">
        <v>6823</v>
      </c>
      <c r="AE426" s="19" t="s">
        <v>6824</v>
      </c>
      <c r="AF426" s="19" t="s">
        <v>6825</v>
      </c>
      <c r="AG426" s="19" t="s">
        <v>6826</v>
      </c>
      <c r="AH426" s="19" t="s">
        <v>376</v>
      </c>
      <c r="AI426" s="19" t="s">
        <v>111</v>
      </c>
      <c r="AJ426" s="19" t="s">
        <v>6827</v>
      </c>
      <c r="AK426" s="19"/>
      <c r="AL426" s="19"/>
      <c r="AM426" s="19" t="s">
        <v>6828</v>
      </c>
      <c r="AN426" s="19" t="s">
        <v>6829</v>
      </c>
      <c r="AO426" s="19" t="s">
        <v>1545</v>
      </c>
      <c r="AP426" s="19" t="s">
        <v>116</v>
      </c>
      <c r="AQ426" s="19" t="s">
        <v>94</v>
      </c>
      <c r="AR426" s="19" t="s">
        <v>118</v>
      </c>
      <c r="AS426" s="19" t="s">
        <v>119</v>
      </c>
      <c r="AT426" s="19" t="s">
        <v>120</v>
      </c>
      <c r="AU426" s="19" t="s">
        <v>121</v>
      </c>
      <c r="AV426" s="19" t="s">
        <v>122</v>
      </c>
      <c r="AW426" s="19" t="s">
        <v>123</v>
      </c>
      <c r="AX426" s="19" t="s">
        <v>124</v>
      </c>
      <c r="AY426" s="19" t="s">
        <v>125</v>
      </c>
      <c r="AZ426" s="19" t="s">
        <v>1546</v>
      </c>
      <c r="BA426" s="20">
        <v>45181</v>
      </c>
      <c r="BB426" s="19" t="s">
        <v>1547</v>
      </c>
      <c r="BC426" s="19" t="s">
        <v>6830</v>
      </c>
      <c r="BD426" s="19" t="s">
        <v>6826</v>
      </c>
      <c r="BE426" s="19" t="s">
        <v>130</v>
      </c>
      <c r="BF426" s="19" t="s">
        <v>6831</v>
      </c>
      <c r="BG426" s="19"/>
      <c r="BH426" s="19" t="s">
        <v>6832</v>
      </c>
      <c r="BI426" s="19" t="s">
        <v>6832</v>
      </c>
      <c r="BJ426" s="19" t="s">
        <v>133</v>
      </c>
      <c r="BK426" s="19" t="s">
        <v>195</v>
      </c>
      <c r="BL426" s="19" t="s">
        <v>122</v>
      </c>
      <c r="BM426" s="19" t="s">
        <v>196</v>
      </c>
      <c r="BN426" s="21">
        <v>9.157</v>
      </c>
      <c r="BO426" s="21">
        <v>1007.17843</v>
      </c>
      <c r="BQ426" s="2"/>
      <c r="BR426" s="2"/>
      <c r="BS426" s="2"/>
      <c r="BT426" s="2"/>
      <c r="BU426" s="22"/>
      <c r="BV426" s="2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</row>
    <row r="427" spans="1:95" x14ac:dyDescent="0.25">
      <c r="A427" s="18">
        <v>424</v>
      </c>
      <c r="B427" s="19" t="s">
        <v>6833</v>
      </c>
      <c r="C427" s="19" t="s">
        <v>6834</v>
      </c>
      <c r="D427" s="20">
        <v>45992</v>
      </c>
      <c r="E427" s="20">
        <v>27518</v>
      </c>
      <c r="F427" s="19" t="s">
        <v>6835</v>
      </c>
      <c r="G427" s="19" t="s">
        <v>139</v>
      </c>
      <c r="H427" s="19" t="s">
        <v>94</v>
      </c>
      <c r="I427" s="19"/>
      <c r="J427" s="19"/>
      <c r="K427" s="19"/>
      <c r="L427" s="19" t="s">
        <v>244</v>
      </c>
      <c r="M427" s="19" t="s">
        <v>245</v>
      </c>
      <c r="N427" s="19" t="s">
        <v>6836</v>
      </c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 t="s">
        <v>101</v>
      </c>
      <c r="Z427" s="19" t="s">
        <v>102</v>
      </c>
      <c r="AA427" s="19" t="s">
        <v>103</v>
      </c>
      <c r="AB427" s="19" t="s">
        <v>247</v>
      </c>
      <c r="AC427" s="19" t="s">
        <v>248</v>
      </c>
      <c r="AD427" s="19" t="s">
        <v>6837</v>
      </c>
      <c r="AE427" s="19" t="s">
        <v>6838</v>
      </c>
      <c r="AF427" s="19" t="s">
        <v>6839</v>
      </c>
      <c r="AG427" s="19" t="s">
        <v>6840</v>
      </c>
      <c r="AH427" s="19" t="s">
        <v>124</v>
      </c>
      <c r="AI427" s="19" t="s">
        <v>111</v>
      </c>
      <c r="AJ427" s="19" t="s">
        <v>6841</v>
      </c>
      <c r="AK427" s="19"/>
      <c r="AL427" s="19"/>
      <c r="AM427" s="19" t="s">
        <v>6842</v>
      </c>
      <c r="AN427" s="19" t="s">
        <v>6843</v>
      </c>
      <c r="AO427" s="19" t="s">
        <v>255</v>
      </c>
      <c r="AP427" s="19" t="s">
        <v>256</v>
      </c>
      <c r="AQ427" s="19" t="s">
        <v>117</v>
      </c>
      <c r="AR427" s="19" t="s">
        <v>257</v>
      </c>
      <c r="AS427" s="19" t="s">
        <v>258</v>
      </c>
      <c r="AT427" s="19" t="s">
        <v>259</v>
      </c>
      <c r="AU427" s="19" t="s">
        <v>260</v>
      </c>
      <c r="AV427" s="19" t="s">
        <v>260</v>
      </c>
      <c r="AW427" s="19" t="s">
        <v>261</v>
      </c>
      <c r="AX427" s="19" t="s">
        <v>262</v>
      </c>
      <c r="AY427" s="19" t="s">
        <v>263</v>
      </c>
      <c r="AZ427" s="19" t="s">
        <v>264</v>
      </c>
      <c r="BA427" s="20">
        <v>43627</v>
      </c>
      <c r="BB427" s="19" t="s">
        <v>331</v>
      </c>
      <c r="BC427" s="19" t="s">
        <v>6844</v>
      </c>
      <c r="BD427" s="19" t="s">
        <v>6844</v>
      </c>
      <c r="BE427" s="19" t="s">
        <v>130</v>
      </c>
      <c r="BF427" s="19" t="s">
        <v>6845</v>
      </c>
      <c r="BG427" s="19"/>
      <c r="BH427" s="19" t="s">
        <v>6846</v>
      </c>
      <c r="BI427" s="19" t="s">
        <v>6846</v>
      </c>
      <c r="BJ427" s="19" t="s">
        <v>166</v>
      </c>
      <c r="BK427" s="19" t="s">
        <v>167</v>
      </c>
      <c r="BL427" s="19" t="s">
        <v>168</v>
      </c>
      <c r="BM427" s="19" t="s">
        <v>169</v>
      </c>
      <c r="BN427" s="21">
        <v>458.32100000000003</v>
      </c>
      <c r="BO427" s="21">
        <v>200979.44168039999</v>
      </c>
      <c r="BQ427" s="2"/>
      <c r="BR427" s="2"/>
      <c r="BS427" s="2"/>
      <c r="BT427" s="2"/>
      <c r="BU427" s="22"/>
      <c r="BV427" s="2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</row>
    <row r="428" spans="1:95" x14ac:dyDescent="0.25">
      <c r="A428" s="18">
        <v>425</v>
      </c>
      <c r="B428" s="19" t="s">
        <v>6847</v>
      </c>
      <c r="C428" s="19" t="s">
        <v>6848</v>
      </c>
      <c r="D428" s="20">
        <v>45996</v>
      </c>
      <c r="E428" s="20">
        <v>33407</v>
      </c>
      <c r="F428" s="19" t="s">
        <v>6849</v>
      </c>
      <c r="G428" s="19" t="s">
        <v>139</v>
      </c>
      <c r="H428" s="19" t="s">
        <v>94</v>
      </c>
      <c r="I428" s="19"/>
      <c r="J428" s="19"/>
      <c r="K428" s="19"/>
      <c r="L428" s="19" t="s">
        <v>244</v>
      </c>
      <c r="M428" s="19" t="s">
        <v>245</v>
      </c>
      <c r="N428" s="19" t="s">
        <v>6850</v>
      </c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 t="s">
        <v>101</v>
      </c>
      <c r="Z428" s="19" t="s">
        <v>102</v>
      </c>
      <c r="AA428" s="19" t="s">
        <v>103</v>
      </c>
      <c r="AB428" s="19" t="s">
        <v>143</v>
      </c>
      <c r="AC428" s="19" t="s">
        <v>144</v>
      </c>
      <c r="AD428" s="19" t="s">
        <v>6851</v>
      </c>
      <c r="AE428" s="19" t="s">
        <v>6852</v>
      </c>
      <c r="AF428" s="19" t="s">
        <v>6853</v>
      </c>
      <c r="AG428" s="19" t="s">
        <v>6854</v>
      </c>
      <c r="AH428" s="19" t="s">
        <v>1202</v>
      </c>
      <c r="AI428" s="19" t="s">
        <v>111</v>
      </c>
      <c r="AJ428" s="19" t="s">
        <v>6855</v>
      </c>
      <c r="AK428" s="19"/>
      <c r="AL428" s="19"/>
      <c r="AM428" s="19" t="s">
        <v>6856</v>
      </c>
      <c r="AN428" s="19" t="s">
        <v>6857</v>
      </c>
      <c r="AO428" s="19" t="s">
        <v>255</v>
      </c>
      <c r="AP428" s="19" t="s">
        <v>256</v>
      </c>
      <c r="AQ428" s="19" t="s">
        <v>117</v>
      </c>
      <c r="AR428" s="19" t="s">
        <v>257</v>
      </c>
      <c r="AS428" s="19" t="s">
        <v>258</v>
      </c>
      <c r="AT428" s="19" t="s">
        <v>259</v>
      </c>
      <c r="AU428" s="19" t="s">
        <v>260</v>
      </c>
      <c r="AV428" s="19" t="s">
        <v>260</v>
      </c>
      <c r="AW428" s="19" t="s">
        <v>261</v>
      </c>
      <c r="AX428" s="19" t="s">
        <v>262</v>
      </c>
      <c r="AY428" s="19" t="s">
        <v>263</v>
      </c>
      <c r="AZ428" s="19" t="s">
        <v>264</v>
      </c>
      <c r="BA428" s="20">
        <v>43627</v>
      </c>
      <c r="BB428" s="19" t="s">
        <v>1388</v>
      </c>
      <c r="BC428" s="19" t="s">
        <v>6858</v>
      </c>
      <c r="BD428" s="19" t="s">
        <v>6858</v>
      </c>
      <c r="BE428" s="19" t="s">
        <v>130</v>
      </c>
      <c r="BF428" s="19" t="s">
        <v>6859</v>
      </c>
      <c r="BG428" s="19"/>
      <c r="BH428" s="19" t="s">
        <v>6860</v>
      </c>
      <c r="BI428" s="19" t="s">
        <v>6860</v>
      </c>
      <c r="BJ428" s="19" t="s">
        <v>166</v>
      </c>
      <c r="BK428" s="19" t="s">
        <v>167</v>
      </c>
      <c r="BL428" s="19" t="s">
        <v>168</v>
      </c>
      <c r="BM428" s="19" t="s">
        <v>169</v>
      </c>
      <c r="BN428" s="21">
        <v>53.616999999999997</v>
      </c>
      <c r="BO428" s="21">
        <v>2042.27153</v>
      </c>
      <c r="BQ428" s="2"/>
      <c r="BR428" s="2"/>
      <c r="BS428" s="2"/>
      <c r="BT428" s="2"/>
      <c r="BU428" s="22"/>
      <c r="BV428" s="2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</row>
    <row r="429" spans="1:95" x14ac:dyDescent="0.25">
      <c r="A429" s="18">
        <v>426</v>
      </c>
      <c r="B429" s="19" t="s">
        <v>6861</v>
      </c>
      <c r="C429" s="19" t="s">
        <v>6862</v>
      </c>
      <c r="D429" s="20">
        <v>46000</v>
      </c>
      <c r="E429" s="20">
        <v>16438</v>
      </c>
      <c r="F429" s="19"/>
      <c r="G429" s="19"/>
      <c r="H429" s="19" t="s">
        <v>94</v>
      </c>
      <c r="I429" s="19"/>
      <c r="J429" s="19" t="s">
        <v>287</v>
      </c>
      <c r="K429" s="19" t="s">
        <v>288</v>
      </c>
      <c r="L429" s="19" t="s">
        <v>1825</v>
      </c>
      <c r="M429" s="19" t="s">
        <v>610</v>
      </c>
      <c r="N429" s="19" t="s">
        <v>6863</v>
      </c>
      <c r="O429" s="19" t="s">
        <v>100</v>
      </c>
      <c r="P429" s="19"/>
      <c r="Q429" s="19"/>
      <c r="R429" s="19"/>
      <c r="S429" s="19"/>
      <c r="T429" s="19"/>
      <c r="U429" s="19"/>
      <c r="V429" s="19"/>
      <c r="W429" s="19"/>
      <c r="X429" s="19"/>
      <c r="Y429" s="19" t="s">
        <v>101</v>
      </c>
      <c r="Z429" s="19" t="s">
        <v>102</v>
      </c>
      <c r="AA429" s="19" t="s">
        <v>103</v>
      </c>
      <c r="AB429" s="19" t="s">
        <v>850</v>
      </c>
      <c r="AC429" s="19" t="s">
        <v>851</v>
      </c>
      <c r="AD429" s="19" t="s">
        <v>6864</v>
      </c>
      <c r="AE429" s="19" t="s">
        <v>6865</v>
      </c>
      <c r="AF429" s="19" t="s">
        <v>6572</v>
      </c>
      <c r="AG429" s="19" t="s">
        <v>129</v>
      </c>
      <c r="AH429" s="19" t="s">
        <v>110</v>
      </c>
      <c r="AI429" s="19" t="s">
        <v>111</v>
      </c>
      <c r="AJ429" s="19" t="s">
        <v>6866</v>
      </c>
      <c r="AK429" s="19" t="s">
        <v>6867</v>
      </c>
      <c r="AL429" s="19"/>
      <c r="AM429" s="19" t="s">
        <v>6868</v>
      </c>
      <c r="AN429" s="19" t="s">
        <v>6869</v>
      </c>
      <c r="AO429" s="19" t="s">
        <v>772</v>
      </c>
      <c r="AP429" s="19" t="s">
        <v>773</v>
      </c>
      <c r="AQ429" s="19" t="s">
        <v>117</v>
      </c>
      <c r="AR429" s="19" t="s">
        <v>774</v>
      </c>
      <c r="AS429" s="19" t="s">
        <v>775</v>
      </c>
      <c r="AT429" s="19" t="s">
        <v>776</v>
      </c>
      <c r="AU429" s="19" t="s">
        <v>777</v>
      </c>
      <c r="AV429" s="19" t="s">
        <v>219</v>
      </c>
      <c r="AW429" s="19" t="s">
        <v>778</v>
      </c>
      <c r="AX429" s="19" t="s">
        <v>124</v>
      </c>
      <c r="AY429" s="19" t="s">
        <v>779</v>
      </c>
      <c r="AZ429" s="19" t="s">
        <v>780</v>
      </c>
      <c r="BA429" s="20">
        <v>36585</v>
      </c>
      <c r="BB429" s="19" t="s">
        <v>781</v>
      </c>
      <c r="BC429" s="19" t="s">
        <v>6870</v>
      </c>
      <c r="BD429" s="19" t="s">
        <v>6870</v>
      </c>
      <c r="BE429" s="19" t="s">
        <v>130</v>
      </c>
      <c r="BF429" s="19" t="s">
        <v>6871</v>
      </c>
      <c r="BG429" s="19" t="s">
        <v>6872</v>
      </c>
      <c r="BH429" s="19" t="s">
        <v>6873</v>
      </c>
      <c r="BI429" s="19" t="s">
        <v>6873</v>
      </c>
      <c r="BJ429" s="19" t="s">
        <v>166</v>
      </c>
      <c r="BK429" s="19" t="s">
        <v>3183</v>
      </c>
      <c r="BL429" s="19" t="s">
        <v>109</v>
      </c>
      <c r="BM429" s="19" t="s">
        <v>135</v>
      </c>
      <c r="BN429" s="21">
        <v>9.157</v>
      </c>
      <c r="BO429" s="21">
        <v>1007.17843</v>
      </c>
      <c r="BQ429" s="2"/>
      <c r="BR429" s="2"/>
      <c r="BS429" s="2"/>
      <c r="BT429" s="2"/>
      <c r="BU429" s="22"/>
      <c r="BV429" s="2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</row>
    <row r="430" spans="1:95" x14ac:dyDescent="0.25">
      <c r="A430" s="18">
        <v>427</v>
      </c>
      <c r="B430" s="19" t="s">
        <v>6874</v>
      </c>
      <c r="C430" s="19" t="s">
        <v>6875</v>
      </c>
      <c r="D430" s="20">
        <v>45995</v>
      </c>
      <c r="E430" s="20">
        <v>23929</v>
      </c>
      <c r="F430" s="19" t="s">
        <v>6876</v>
      </c>
      <c r="G430" s="19" t="s">
        <v>139</v>
      </c>
      <c r="H430" s="19" t="s">
        <v>94</v>
      </c>
      <c r="I430" s="19"/>
      <c r="J430" s="19"/>
      <c r="K430" s="19"/>
      <c r="L430" s="19" t="s">
        <v>140</v>
      </c>
      <c r="M430" s="19" t="s">
        <v>141</v>
      </c>
      <c r="N430" s="19" t="s">
        <v>6877</v>
      </c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 t="s">
        <v>101</v>
      </c>
      <c r="Z430" s="19" t="s">
        <v>102</v>
      </c>
      <c r="AA430" s="19" t="s">
        <v>103</v>
      </c>
      <c r="AB430" s="19" t="s">
        <v>3162</v>
      </c>
      <c r="AC430" s="19" t="s">
        <v>3163</v>
      </c>
      <c r="AD430" s="19" t="s">
        <v>6878</v>
      </c>
      <c r="AE430" s="19" t="s">
        <v>6879</v>
      </c>
      <c r="AF430" s="19" t="s">
        <v>6880</v>
      </c>
      <c r="AG430" s="19" t="s">
        <v>4798</v>
      </c>
      <c r="AH430" s="19" t="s">
        <v>757</v>
      </c>
      <c r="AI430" s="19" t="s">
        <v>111</v>
      </c>
      <c r="AJ430" s="19" t="s">
        <v>6881</v>
      </c>
      <c r="AK430" s="19"/>
      <c r="AL430" s="19"/>
      <c r="AM430" s="19" t="s">
        <v>6882</v>
      </c>
      <c r="AN430" s="19" t="s">
        <v>6883</v>
      </c>
      <c r="AO430" s="19" t="s">
        <v>895</v>
      </c>
      <c r="AP430" s="19" t="s">
        <v>896</v>
      </c>
      <c r="AQ430" s="19" t="s">
        <v>117</v>
      </c>
      <c r="AR430" s="19" t="s">
        <v>897</v>
      </c>
      <c r="AS430" s="19" t="s">
        <v>898</v>
      </c>
      <c r="AT430" s="19" t="s">
        <v>899</v>
      </c>
      <c r="AU430" s="19" t="s">
        <v>900</v>
      </c>
      <c r="AV430" s="19" t="s">
        <v>122</v>
      </c>
      <c r="AW430" s="19" t="s">
        <v>123</v>
      </c>
      <c r="AX430" s="19" t="s">
        <v>901</v>
      </c>
      <c r="AY430" s="19" t="s">
        <v>902</v>
      </c>
      <c r="AZ430" s="19" t="s">
        <v>903</v>
      </c>
      <c r="BA430" s="20">
        <v>37265</v>
      </c>
      <c r="BB430" s="19" t="s">
        <v>331</v>
      </c>
      <c r="BC430" s="19" t="s">
        <v>6884</v>
      </c>
      <c r="BD430" s="19" t="s">
        <v>4798</v>
      </c>
      <c r="BE430" s="19" t="s">
        <v>130</v>
      </c>
      <c r="BF430" s="19" t="s">
        <v>6885</v>
      </c>
      <c r="BG430" s="19"/>
      <c r="BH430" s="19" t="s">
        <v>6886</v>
      </c>
      <c r="BI430" s="19" t="s">
        <v>6886</v>
      </c>
      <c r="BJ430" s="19" t="s">
        <v>166</v>
      </c>
      <c r="BK430" s="19" t="s">
        <v>907</v>
      </c>
      <c r="BL430" s="19" t="s">
        <v>122</v>
      </c>
      <c r="BM430" s="19" t="s">
        <v>592</v>
      </c>
      <c r="BN430" s="21">
        <v>145.898</v>
      </c>
      <c r="BO430" s="21">
        <v>6016.5271341999996</v>
      </c>
      <c r="BQ430" s="2"/>
      <c r="BR430" s="2"/>
      <c r="BS430" s="2"/>
      <c r="BT430" s="2"/>
      <c r="BU430" s="22"/>
      <c r="BV430" s="2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</row>
    <row r="431" spans="1:95" x14ac:dyDescent="0.25">
      <c r="A431" s="18">
        <v>428</v>
      </c>
      <c r="B431" s="19" t="s">
        <v>6887</v>
      </c>
      <c r="C431" s="19" t="s">
        <v>6888</v>
      </c>
      <c r="D431" s="20">
        <v>45994</v>
      </c>
      <c r="E431" s="20">
        <v>28602</v>
      </c>
      <c r="F431" s="19"/>
      <c r="G431" s="19"/>
      <c r="H431" s="19" t="s">
        <v>94</v>
      </c>
      <c r="I431" s="19"/>
      <c r="J431" s="19"/>
      <c r="K431" s="19"/>
      <c r="L431" s="19" t="s">
        <v>4312</v>
      </c>
      <c r="M431" s="19" t="s">
        <v>4313</v>
      </c>
      <c r="N431" s="19" t="s">
        <v>6889</v>
      </c>
      <c r="O431" s="19" t="s">
        <v>100</v>
      </c>
      <c r="P431" s="19"/>
      <c r="Q431" s="19"/>
      <c r="R431" s="19"/>
      <c r="S431" s="19"/>
      <c r="T431" s="19"/>
      <c r="U431" s="19"/>
      <c r="V431" s="19"/>
      <c r="W431" s="19"/>
      <c r="X431" s="19"/>
      <c r="Y431" s="19" t="s">
        <v>101</v>
      </c>
      <c r="Z431" s="19" t="s">
        <v>102</v>
      </c>
      <c r="AA431" s="19" t="s">
        <v>103</v>
      </c>
      <c r="AB431" s="19" t="s">
        <v>292</v>
      </c>
      <c r="AC431" s="19" t="s">
        <v>293</v>
      </c>
      <c r="AD431" s="19" t="s">
        <v>6890</v>
      </c>
      <c r="AE431" s="19" t="s">
        <v>6891</v>
      </c>
      <c r="AF431" s="19" t="s">
        <v>6892</v>
      </c>
      <c r="AG431" s="19" t="s">
        <v>148</v>
      </c>
      <c r="AH431" s="19" t="s">
        <v>149</v>
      </c>
      <c r="AI431" s="19" t="s">
        <v>111</v>
      </c>
      <c r="AJ431" s="19" t="s">
        <v>6893</v>
      </c>
      <c r="AK431" s="19"/>
      <c r="AL431" s="19" t="s">
        <v>6894</v>
      </c>
      <c r="AM431" s="19" t="s">
        <v>6895</v>
      </c>
      <c r="AN431" s="19" t="s">
        <v>6896</v>
      </c>
      <c r="AO431" s="19" t="s">
        <v>6897</v>
      </c>
      <c r="AP431" s="19" t="s">
        <v>6898</v>
      </c>
      <c r="AQ431" s="19" t="s">
        <v>117</v>
      </c>
      <c r="AR431" s="19" t="s">
        <v>6899</v>
      </c>
      <c r="AS431" s="19" t="s">
        <v>6900</v>
      </c>
      <c r="AT431" s="19" t="s">
        <v>6901</v>
      </c>
      <c r="AU431" s="19" t="s">
        <v>6902</v>
      </c>
      <c r="AV431" s="19" t="s">
        <v>440</v>
      </c>
      <c r="AW431" s="19" t="s">
        <v>441</v>
      </c>
      <c r="AX431" s="19" t="s">
        <v>149</v>
      </c>
      <c r="AY431" s="19" t="s">
        <v>6903</v>
      </c>
      <c r="AZ431" s="19" t="s">
        <v>6904</v>
      </c>
      <c r="BA431" s="20">
        <v>40833</v>
      </c>
      <c r="BB431" s="19" t="s">
        <v>265</v>
      </c>
      <c r="BC431" s="19" t="s">
        <v>6905</v>
      </c>
      <c r="BD431" s="19" t="s">
        <v>148</v>
      </c>
      <c r="BE431" s="19" t="s">
        <v>130</v>
      </c>
      <c r="BF431" s="19" t="s">
        <v>6906</v>
      </c>
      <c r="BG431" s="19" t="s">
        <v>6907</v>
      </c>
      <c r="BH431" s="19" t="s">
        <v>6908</v>
      </c>
      <c r="BI431" s="19" t="s">
        <v>6908</v>
      </c>
      <c r="BJ431" s="19" t="s">
        <v>166</v>
      </c>
      <c r="BK431" s="19" t="s">
        <v>2444</v>
      </c>
      <c r="BL431" s="19" t="s">
        <v>2445</v>
      </c>
      <c r="BM431" s="19" t="s">
        <v>592</v>
      </c>
      <c r="BN431" s="21">
        <v>12490.71</v>
      </c>
      <c r="BO431" s="21">
        <v>205640.80408500001</v>
      </c>
      <c r="BQ431" s="2"/>
      <c r="BR431" s="2"/>
      <c r="BS431" s="2"/>
      <c r="BT431" s="2"/>
      <c r="BU431" s="22"/>
      <c r="BV431" s="2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</row>
    <row r="432" spans="1:95" x14ac:dyDescent="0.25">
      <c r="A432" s="18">
        <v>429</v>
      </c>
      <c r="B432" s="19" t="s">
        <v>6909</v>
      </c>
      <c r="C432" s="19" t="s">
        <v>6910</v>
      </c>
      <c r="D432" s="20">
        <v>45993</v>
      </c>
      <c r="E432" s="20">
        <v>34407</v>
      </c>
      <c r="F432" s="19" t="s">
        <v>6911</v>
      </c>
      <c r="G432" s="19" t="s">
        <v>139</v>
      </c>
      <c r="H432" s="19" t="s">
        <v>94</v>
      </c>
      <c r="I432" s="19"/>
      <c r="J432" s="19"/>
      <c r="K432" s="19"/>
      <c r="L432" s="19" t="s">
        <v>244</v>
      </c>
      <c r="M432" s="19" t="s">
        <v>245</v>
      </c>
      <c r="N432" s="19" t="s">
        <v>6912</v>
      </c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 t="s">
        <v>101</v>
      </c>
      <c r="Z432" s="19" t="s">
        <v>102</v>
      </c>
      <c r="AA432" s="19" t="s">
        <v>103</v>
      </c>
      <c r="AB432" s="19" t="s">
        <v>247</v>
      </c>
      <c r="AC432" s="19" t="s">
        <v>248</v>
      </c>
      <c r="AD432" s="19" t="s">
        <v>6913</v>
      </c>
      <c r="AE432" s="19" t="s">
        <v>6914</v>
      </c>
      <c r="AF432" s="19" t="s">
        <v>6915</v>
      </c>
      <c r="AG432" s="19" t="s">
        <v>6916</v>
      </c>
      <c r="AH432" s="19" t="s">
        <v>1015</v>
      </c>
      <c r="AI432" s="19"/>
      <c r="AJ432" s="19" t="s">
        <v>6917</v>
      </c>
      <c r="AK432" s="19"/>
      <c r="AL432" s="19"/>
      <c r="AM432" s="19" t="s">
        <v>6918</v>
      </c>
      <c r="AN432" s="19" t="s">
        <v>6919</v>
      </c>
      <c r="AO432" s="19" t="s">
        <v>255</v>
      </c>
      <c r="AP432" s="19" t="s">
        <v>256</v>
      </c>
      <c r="AQ432" s="19" t="s">
        <v>117</v>
      </c>
      <c r="AR432" s="19" t="s">
        <v>257</v>
      </c>
      <c r="AS432" s="19" t="s">
        <v>258</v>
      </c>
      <c r="AT432" s="19" t="s">
        <v>259</v>
      </c>
      <c r="AU432" s="19" t="s">
        <v>260</v>
      </c>
      <c r="AV432" s="19" t="s">
        <v>260</v>
      </c>
      <c r="AW432" s="19" t="s">
        <v>261</v>
      </c>
      <c r="AX432" s="19" t="s">
        <v>262</v>
      </c>
      <c r="AY432" s="19" t="s">
        <v>263</v>
      </c>
      <c r="AZ432" s="19" t="s">
        <v>264</v>
      </c>
      <c r="BA432" s="20">
        <v>43627</v>
      </c>
      <c r="BB432" s="19" t="s">
        <v>349</v>
      </c>
      <c r="BC432" s="19" t="s">
        <v>6920</v>
      </c>
      <c r="BD432" s="19" t="s">
        <v>1300</v>
      </c>
      <c r="BE432" s="19" t="s">
        <v>130</v>
      </c>
      <c r="BF432" s="19" t="s">
        <v>6921</v>
      </c>
      <c r="BG432" s="19"/>
      <c r="BH432" s="19" t="s">
        <v>6922</v>
      </c>
      <c r="BI432" s="19" t="s">
        <v>6922</v>
      </c>
      <c r="BJ432" s="19" t="s">
        <v>166</v>
      </c>
      <c r="BK432" s="19" t="s">
        <v>167</v>
      </c>
      <c r="BL432" s="19" t="s">
        <v>168</v>
      </c>
      <c r="BM432" s="19" t="s">
        <v>169</v>
      </c>
      <c r="BN432" s="21">
        <v>233.166</v>
      </c>
      <c r="BO432" s="21">
        <v>102246.1822584</v>
      </c>
      <c r="BQ432" s="2"/>
      <c r="BR432" s="2"/>
      <c r="BS432" s="2"/>
      <c r="BT432" s="2"/>
      <c r="BU432" s="22"/>
      <c r="BV432" s="2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</row>
    <row r="433" spans="1:95" x14ac:dyDescent="0.25">
      <c r="A433" s="18">
        <v>430</v>
      </c>
      <c r="B433" s="19" t="s">
        <v>6923</v>
      </c>
      <c r="C433" s="19" t="s">
        <v>6924</v>
      </c>
      <c r="D433" s="20">
        <v>46001</v>
      </c>
      <c r="E433" s="20">
        <v>17295</v>
      </c>
      <c r="F433" s="19"/>
      <c r="G433" s="19"/>
      <c r="H433" s="19" t="s">
        <v>94</v>
      </c>
      <c r="I433" s="19"/>
      <c r="J433" s="19"/>
      <c r="K433" s="19"/>
      <c r="L433" s="19" t="s">
        <v>609</v>
      </c>
      <c r="M433" s="19" t="s">
        <v>610</v>
      </c>
      <c r="N433" s="19" t="s">
        <v>6925</v>
      </c>
      <c r="O433" s="19" t="s">
        <v>100</v>
      </c>
      <c r="P433" s="19"/>
      <c r="Q433" s="19"/>
      <c r="R433" s="19"/>
      <c r="S433" s="19"/>
      <c r="T433" s="19"/>
      <c r="U433" s="19"/>
      <c r="V433" s="19"/>
      <c r="W433" s="19"/>
      <c r="X433" s="19"/>
      <c r="Y433" s="19" t="s">
        <v>101</v>
      </c>
      <c r="Z433" s="19" t="s">
        <v>102</v>
      </c>
      <c r="AA433" s="19" t="s">
        <v>103</v>
      </c>
      <c r="AB433" s="19" t="s">
        <v>6926</v>
      </c>
      <c r="AC433" s="19" t="s">
        <v>6927</v>
      </c>
      <c r="AD433" s="19" t="s">
        <v>6928</v>
      </c>
      <c r="AE433" s="19" t="s">
        <v>6929</v>
      </c>
      <c r="AF433" s="19"/>
      <c r="AG433" s="19" t="s">
        <v>1955</v>
      </c>
      <c r="AH433" s="19" t="s">
        <v>124</v>
      </c>
      <c r="AI433" s="19" t="s">
        <v>111</v>
      </c>
      <c r="AJ433" s="19" t="s">
        <v>6930</v>
      </c>
      <c r="AK433" s="19"/>
      <c r="AL433" s="19"/>
      <c r="AM433" s="19" t="s">
        <v>6931</v>
      </c>
      <c r="AN433" s="19" t="s">
        <v>6932</v>
      </c>
      <c r="AO433" s="19" t="s">
        <v>1077</v>
      </c>
      <c r="AP433" s="19" t="s">
        <v>1077</v>
      </c>
      <c r="AQ433" s="19" t="s">
        <v>117</v>
      </c>
      <c r="AR433" s="19"/>
      <c r="AS433" s="19" t="s">
        <v>1078</v>
      </c>
      <c r="AT433" s="19"/>
      <c r="AU433" s="19"/>
      <c r="AV433" s="19"/>
      <c r="AW433" s="19" t="s">
        <v>1079</v>
      </c>
      <c r="AX433" s="19"/>
      <c r="AY433" s="19"/>
      <c r="AZ433" s="19"/>
      <c r="BA433" s="20">
        <v>38627</v>
      </c>
      <c r="BB433" s="19" t="s">
        <v>331</v>
      </c>
      <c r="BC433" s="19" t="s">
        <v>277</v>
      </c>
      <c r="BD433" s="19" t="s">
        <v>1955</v>
      </c>
      <c r="BE433" s="19" t="s">
        <v>130</v>
      </c>
      <c r="BF433" s="19" t="s">
        <v>6933</v>
      </c>
      <c r="BG433" s="19" t="s">
        <v>6934</v>
      </c>
      <c r="BH433" s="19" t="s">
        <v>6935</v>
      </c>
      <c r="BI433" s="19" t="s">
        <v>6935</v>
      </c>
      <c r="BJ433" s="19" t="s">
        <v>166</v>
      </c>
      <c r="BK433" s="19" t="s">
        <v>3332</v>
      </c>
      <c r="BL433" s="19" t="s">
        <v>1955</v>
      </c>
      <c r="BM433" s="19" t="s">
        <v>196</v>
      </c>
      <c r="BN433" s="21">
        <v>2328.4029999999998</v>
      </c>
      <c r="BO433" s="21">
        <v>1087224.49682</v>
      </c>
      <c r="BQ433" s="2"/>
      <c r="BR433" s="2"/>
      <c r="BS433" s="2"/>
      <c r="BT433" s="2"/>
      <c r="BU433" s="22"/>
      <c r="BV433" s="2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</row>
    <row r="434" spans="1:95" x14ac:dyDescent="0.25">
      <c r="A434" s="18">
        <v>431</v>
      </c>
      <c r="B434" s="19" t="s">
        <v>6936</v>
      </c>
      <c r="C434" s="19" t="s">
        <v>6937</v>
      </c>
      <c r="D434" s="20">
        <v>46001</v>
      </c>
      <c r="E434" s="20">
        <v>36054</v>
      </c>
      <c r="F434" s="19" t="s">
        <v>6938</v>
      </c>
      <c r="G434" s="19" t="s">
        <v>139</v>
      </c>
      <c r="H434" s="19" t="s">
        <v>94</v>
      </c>
      <c r="I434" s="19"/>
      <c r="J434" s="19"/>
      <c r="K434" s="19"/>
      <c r="L434" s="19" t="s">
        <v>140</v>
      </c>
      <c r="M434" s="19" t="s">
        <v>141</v>
      </c>
      <c r="N434" s="19" t="s">
        <v>6939</v>
      </c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 t="s">
        <v>101</v>
      </c>
      <c r="Z434" s="19" t="s">
        <v>102</v>
      </c>
      <c r="AA434" s="19" t="s">
        <v>103</v>
      </c>
      <c r="AB434" s="19" t="s">
        <v>173</v>
      </c>
      <c r="AC434" s="19" t="s">
        <v>174</v>
      </c>
      <c r="AD434" s="19" t="s">
        <v>6940</v>
      </c>
      <c r="AE434" s="19" t="s">
        <v>6941</v>
      </c>
      <c r="AF434" s="19" t="s">
        <v>176</v>
      </c>
      <c r="AG434" s="19" t="s">
        <v>6942</v>
      </c>
      <c r="AH434" s="19" t="s">
        <v>124</v>
      </c>
      <c r="AI434" s="19" t="s">
        <v>111</v>
      </c>
      <c r="AJ434" s="19" t="s">
        <v>6943</v>
      </c>
      <c r="AK434" s="19"/>
      <c r="AL434" s="19" t="s">
        <v>6944</v>
      </c>
      <c r="AM434" s="19" t="s">
        <v>6945</v>
      </c>
      <c r="AN434" s="19" t="s">
        <v>6946</v>
      </c>
      <c r="AO434" s="19" t="s">
        <v>154</v>
      </c>
      <c r="AP434" s="19" t="s">
        <v>155</v>
      </c>
      <c r="AQ434" s="19" t="s">
        <v>117</v>
      </c>
      <c r="AR434" s="19" t="s">
        <v>156</v>
      </c>
      <c r="AS434" s="19" t="s">
        <v>157</v>
      </c>
      <c r="AT434" s="19" t="s">
        <v>158</v>
      </c>
      <c r="AU434" s="19"/>
      <c r="AV434" s="19" t="s">
        <v>122</v>
      </c>
      <c r="AW434" s="19"/>
      <c r="AX434" s="19" t="s">
        <v>124</v>
      </c>
      <c r="AY434" s="19" t="s">
        <v>159</v>
      </c>
      <c r="AZ434" s="19" t="s">
        <v>160</v>
      </c>
      <c r="BA434" s="20">
        <v>44676</v>
      </c>
      <c r="BB434" s="19" t="s">
        <v>190</v>
      </c>
      <c r="BC434" s="19" t="s">
        <v>6947</v>
      </c>
      <c r="BD434" s="19" t="s">
        <v>6947</v>
      </c>
      <c r="BE434" s="19" t="s">
        <v>130</v>
      </c>
      <c r="BF434" s="19" t="s">
        <v>6948</v>
      </c>
      <c r="BG434" s="19"/>
      <c r="BH434" s="19" t="s">
        <v>6949</v>
      </c>
      <c r="BI434" s="19" t="s">
        <v>6949</v>
      </c>
      <c r="BJ434" s="19" t="s">
        <v>166</v>
      </c>
      <c r="BK434" s="19" t="s">
        <v>167</v>
      </c>
      <c r="BL434" s="19" t="s">
        <v>168</v>
      </c>
      <c r="BM434" s="19" t="s">
        <v>169</v>
      </c>
      <c r="BN434" s="21">
        <v>17.451000000000001</v>
      </c>
      <c r="BO434" s="21">
        <v>618.18771419999996</v>
      </c>
      <c r="BQ434" s="2"/>
      <c r="BR434" s="2"/>
      <c r="BS434" s="2"/>
      <c r="BT434" s="2"/>
      <c r="BU434" s="22"/>
      <c r="BV434" s="2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</row>
    <row r="435" spans="1:95" x14ac:dyDescent="0.25">
      <c r="A435" s="18">
        <v>432</v>
      </c>
      <c r="B435" s="19" t="s">
        <v>6950</v>
      </c>
      <c r="C435" s="19" t="s">
        <v>6951</v>
      </c>
      <c r="D435" s="20">
        <v>45992</v>
      </c>
      <c r="E435" s="20">
        <v>27753</v>
      </c>
      <c r="F435" s="19"/>
      <c r="G435" s="19"/>
      <c r="H435" s="19" t="s">
        <v>94</v>
      </c>
      <c r="I435" s="19"/>
      <c r="J435" s="19" t="s">
        <v>3080</v>
      </c>
      <c r="K435" s="19" t="s">
        <v>3081</v>
      </c>
      <c r="L435" s="19" t="s">
        <v>687</v>
      </c>
      <c r="M435" s="19" t="s">
        <v>688</v>
      </c>
      <c r="N435" s="19" t="s">
        <v>6952</v>
      </c>
      <c r="O435" s="19" t="s">
        <v>100</v>
      </c>
      <c r="P435" s="19"/>
      <c r="Q435" s="19"/>
      <c r="R435" s="19"/>
      <c r="S435" s="19"/>
      <c r="T435" s="19"/>
      <c r="U435" s="19"/>
      <c r="V435" s="19"/>
      <c r="W435" s="19"/>
      <c r="X435" s="19"/>
      <c r="Y435" s="19" t="s">
        <v>101</v>
      </c>
      <c r="Z435" s="19" t="s">
        <v>102</v>
      </c>
      <c r="AA435" s="19" t="s">
        <v>103</v>
      </c>
      <c r="AB435" s="19" t="s">
        <v>1347</v>
      </c>
      <c r="AC435" s="19" t="s">
        <v>1348</v>
      </c>
      <c r="AD435" s="19" t="s">
        <v>6953</v>
      </c>
      <c r="AE435" s="19" t="s">
        <v>6954</v>
      </c>
      <c r="AF435" s="19" t="s">
        <v>6955</v>
      </c>
      <c r="AG435" s="19" t="s">
        <v>4199</v>
      </c>
      <c r="AH435" s="19" t="s">
        <v>3516</v>
      </c>
      <c r="AI435" s="19" t="s">
        <v>111</v>
      </c>
      <c r="AJ435" s="19" t="s">
        <v>6956</v>
      </c>
      <c r="AK435" s="19"/>
      <c r="AL435" s="19"/>
      <c r="AM435" s="19" t="s">
        <v>6957</v>
      </c>
      <c r="AN435" s="19" t="s">
        <v>6958</v>
      </c>
      <c r="AO435" s="19" t="s">
        <v>6959</v>
      </c>
      <c r="AP435" s="19" t="s">
        <v>6960</v>
      </c>
      <c r="AQ435" s="19" t="s">
        <v>117</v>
      </c>
      <c r="AR435" s="19" t="s">
        <v>6961</v>
      </c>
      <c r="AS435" s="19" t="s">
        <v>6962</v>
      </c>
      <c r="AT435" s="19" t="s">
        <v>6963</v>
      </c>
      <c r="AU435" s="19" t="s">
        <v>6964</v>
      </c>
      <c r="AV435" s="19" t="s">
        <v>122</v>
      </c>
      <c r="AW435" s="19" t="s">
        <v>123</v>
      </c>
      <c r="AX435" s="19" t="s">
        <v>124</v>
      </c>
      <c r="AY435" s="19" t="s">
        <v>6965</v>
      </c>
      <c r="AZ435" s="19" t="s">
        <v>6966</v>
      </c>
      <c r="BA435" s="20">
        <v>45098</v>
      </c>
      <c r="BB435" s="19" t="s">
        <v>331</v>
      </c>
      <c r="BC435" s="19" t="s">
        <v>6967</v>
      </c>
      <c r="BD435" s="19" t="s">
        <v>5466</v>
      </c>
      <c r="BE435" s="19" t="s">
        <v>130</v>
      </c>
      <c r="BF435" s="19" t="s">
        <v>6968</v>
      </c>
      <c r="BG435" s="19"/>
      <c r="BH435" s="19" t="s">
        <v>6969</v>
      </c>
      <c r="BI435" s="19" t="s">
        <v>6969</v>
      </c>
      <c r="BJ435" s="19" t="s">
        <v>166</v>
      </c>
      <c r="BK435" s="19" t="s">
        <v>6970</v>
      </c>
      <c r="BL435" s="19" t="s">
        <v>6971</v>
      </c>
      <c r="BM435" s="19" t="s">
        <v>135</v>
      </c>
      <c r="BN435" s="21">
        <v>2293.4630000000002</v>
      </c>
      <c r="BO435" s="21">
        <v>24929.94281</v>
      </c>
      <c r="BQ435" s="2"/>
      <c r="BR435" s="2"/>
      <c r="BS435" s="2"/>
      <c r="BT435" s="2"/>
      <c r="BU435" s="22"/>
      <c r="BV435" s="2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</row>
    <row r="436" spans="1:95" x14ac:dyDescent="0.25">
      <c r="A436" s="18">
        <v>433</v>
      </c>
      <c r="B436" s="19" t="s">
        <v>6972</v>
      </c>
      <c r="C436" s="19" t="s">
        <v>6973</v>
      </c>
      <c r="D436" s="20">
        <v>46013</v>
      </c>
      <c r="E436" s="20">
        <v>34394</v>
      </c>
      <c r="F436" s="19"/>
      <c r="G436" s="19"/>
      <c r="H436" s="19" t="s">
        <v>94</v>
      </c>
      <c r="I436" s="19"/>
      <c r="J436" s="19" t="s">
        <v>95</v>
      </c>
      <c r="K436" s="19" t="s">
        <v>96</v>
      </c>
      <c r="L436" s="19" t="s">
        <v>140</v>
      </c>
      <c r="M436" s="19" t="s">
        <v>141</v>
      </c>
      <c r="N436" s="19" t="s">
        <v>6974</v>
      </c>
      <c r="O436" s="19" t="s">
        <v>100</v>
      </c>
      <c r="P436" s="19"/>
      <c r="Q436" s="19"/>
      <c r="R436" s="19"/>
      <c r="S436" s="19"/>
      <c r="T436" s="19"/>
      <c r="U436" s="19"/>
      <c r="V436" s="19"/>
      <c r="W436" s="19"/>
      <c r="X436" s="19"/>
      <c r="Y436" s="19" t="s">
        <v>101</v>
      </c>
      <c r="Z436" s="19" t="s">
        <v>102</v>
      </c>
      <c r="AA436" s="19" t="s">
        <v>103</v>
      </c>
      <c r="AB436" s="19" t="s">
        <v>292</v>
      </c>
      <c r="AC436" s="19" t="s">
        <v>293</v>
      </c>
      <c r="AD436" s="19" t="s">
        <v>6975</v>
      </c>
      <c r="AE436" s="19"/>
      <c r="AF436" s="19"/>
      <c r="AG436" s="19" t="s">
        <v>623</v>
      </c>
      <c r="AH436" s="19" t="s">
        <v>124</v>
      </c>
      <c r="AI436" s="19" t="s">
        <v>111</v>
      </c>
      <c r="AJ436" s="19" t="s">
        <v>6976</v>
      </c>
      <c r="AK436" s="19"/>
      <c r="AL436" s="19"/>
      <c r="AM436" s="19" t="s">
        <v>6977</v>
      </c>
      <c r="AN436" s="19" t="s">
        <v>6978</v>
      </c>
      <c r="AO436" s="19" t="s">
        <v>4616</v>
      </c>
      <c r="AP436" s="19" t="s">
        <v>2089</v>
      </c>
      <c r="AQ436" s="19" t="s">
        <v>117</v>
      </c>
      <c r="AR436" s="19" t="s">
        <v>2090</v>
      </c>
      <c r="AS436" s="19" t="s">
        <v>2091</v>
      </c>
      <c r="AT436" s="19" t="s">
        <v>2092</v>
      </c>
      <c r="AU436" s="19" t="s">
        <v>2093</v>
      </c>
      <c r="AV436" s="19" t="s">
        <v>122</v>
      </c>
      <c r="AW436" s="19" t="s">
        <v>2094</v>
      </c>
      <c r="AX436" s="19" t="s">
        <v>901</v>
      </c>
      <c r="AY436" s="19" t="s">
        <v>2095</v>
      </c>
      <c r="AZ436" s="19" t="s">
        <v>2096</v>
      </c>
      <c r="BA436" s="20">
        <v>37075</v>
      </c>
      <c r="BB436" s="19" t="s">
        <v>4617</v>
      </c>
      <c r="BC436" s="19" t="s">
        <v>6979</v>
      </c>
      <c r="BD436" s="19" t="s">
        <v>6980</v>
      </c>
      <c r="BE436" s="19" t="s">
        <v>130</v>
      </c>
      <c r="BF436" s="19" t="s">
        <v>6981</v>
      </c>
      <c r="BG436" s="19" t="s">
        <v>6982</v>
      </c>
      <c r="BH436" s="19" t="s">
        <v>6983</v>
      </c>
      <c r="BI436" s="19" t="s">
        <v>6983</v>
      </c>
      <c r="BJ436" s="19" t="s">
        <v>166</v>
      </c>
      <c r="BK436" s="19" t="s">
        <v>6129</v>
      </c>
      <c r="BL436" s="19" t="s">
        <v>122</v>
      </c>
      <c r="BM436" s="19" t="s">
        <v>196</v>
      </c>
      <c r="BN436" s="21">
        <v>121.607</v>
      </c>
      <c r="BO436" s="21">
        <v>2002.0768445000001</v>
      </c>
      <c r="BQ436" s="2"/>
      <c r="BR436" s="2"/>
      <c r="BS436" s="2"/>
      <c r="BT436" s="2"/>
      <c r="BU436" s="22"/>
      <c r="BV436" s="2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</row>
    <row r="437" spans="1:95" x14ac:dyDescent="0.25">
      <c r="A437" s="18">
        <v>434</v>
      </c>
      <c r="B437" s="19" t="s">
        <v>6984</v>
      </c>
      <c r="C437" s="19" t="s">
        <v>6985</v>
      </c>
      <c r="D437" s="20">
        <v>46001</v>
      </c>
      <c r="E437" s="20">
        <v>27708</v>
      </c>
      <c r="F437" s="19"/>
      <c r="G437" s="19"/>
      <c r="H437" s="19" t="s">
        <v>94</v>
      </c>
      <c r="I437" s="19"/>
      <c r="J437" s="19" t="s">
        <v>95</v>
      </c>
      <c r="K437" s="19" t="s">
        <v>96</v>
      </c>
      <c r="L437" s="19" t="s">
        <v>467</v>
      </c>
      <c r="M437" s="19" t="s">
        <v>468</v>
      </c>
      <c r="N437" s="19" t="s">
        <v>6986</v>
      </c>
      <c r="O437" s="19" t="s">
        <v>100</v>
      </c>
      <c r="P437" s="19"/>
      <c r="Q437" s="19"/>
      <c r="R437" s="19"/>
      <c r="S437" s="19"/>
      <c r="T437" s="19"/>
      <c r="U437" s="19"/>
      <c r="V437" s="19"/>
      <c r="W437" s="19"/>
      <c r="X437" s="19"/>
      <c r="Y437" s="19" t="s">
        <v>101</v>
      </c>
      <c r="Z437" s="19" t="s">
        <v>102</v>
      </c>
      <c r="AA437" s="19" t="s">
        <v>103</v>
      </c>
      <c r="AB437" s="19" t="s">
        <v>1222</v>
      </c>
      <c r="AC437" s="19" t="s">
        <v>1223</v>
      </c>
      <c r="AD437" s="19" t="s">
        <v>6987</v>
      </c>
      <c r="AE437" s="19"/>
      <c r="AF437" s="19"/>
      <c r="AG437" s="19" t="s">
        <v>6988</v>
      </c>
      <c r="AH437" s="19" t="s">
        <v>298</v>
      </c>
      <c r="AI437" s="19" t="s">
        <v>111</v>
      </c>
      <c r="AJ437" s="19" t="s">
        <v>6989</v>
      </c>
      <c r="AK437" s="19"/>
      <c r="AL437" s="19"/>
      <c r="AM437" s="19" t="s">
        <v>6990</v>
      </c>
      <c r="AN437" s="19" t="s">
        <v>6991</v>
      </c>
      <c r="AO437" s="19" t="s">
        <v>6992</v>
      </c>
      <c r="AP437" s="19" t="s">
        <v>6993</v>
      </c>
      <c r="AQ437" s="19" t="s">
        <v>117</v>
      </c>
      <c r="AR437" s="19" t="s">
        <v>6994</v>
      </c>
      <c r="AS437" s="19" t="s">
        <v>6995</v>
      </c>
      <c r="AT437" s="19" t="s">
        <v>6995</v>
      </c>
      <c r="AU437" s="19" t="s">
        <v>6995</v>
      </c>
      <c r="AV437" s="19" t="s">
        <v>6996</v>
      </c>
      <c r="AW437" s="19" t="s">
        <v>6989</v>
      </c>
      <c r="AX437" s="19" t="s">
        <v>309</v>
      </c>
      <c r="AY437" s="19" t="s">
        <v>6997</v>
      </c>
      <c r="AZ437" s="19" t="s">
        <v>6998</v>
      </c>
      <c r="BA437" s="20">
        <v>45971</v>
      </c>
      <c r="BB437" s="19" t="s">
        <v>1388</v>
      </c>
      <c r="BC437" s="19" t="s">
        <v>6999</v>
      </c>
      <c r="BD437" s="19" t="s">
        <v>6988</v>
      </c>
      <c r="BE437" s="19" t="s">
        <v>130</v>
      </c>
      <c r="BF437" s="19" t="s">
        <v>7000</v>
      </c>
      <c r="BG437" s="19"/>
      <c r="BH437" s="19" t="s">
        <v>7001</v>
      </c>
      <c r="BI437" s="19" t="s">
        <v>7001</v>
      </c>
      <c r="BJ437" s="19" t="s">
        <v>166</v>
      </c>
      <c r="BK437" s="19" t="s">
        <v>7002</v>
      </c>
      <c r="BL437" s="19" t="s">
        <v>6996</v>
      </c>
      <c r="BM437" s="19" t="s">
        <v>135</v>
      </c>
      <c r="BN437" s="21">
        <v>6.8929999999999998</v>
      </c>
      <c r="BO437" s="21">
        <v>1512.1174100000001</v>
      </c>
      <c r="BQ437" s="2"/>
      <c r="BR437" s="2"/>
      <c r="BS437" s="2"/>
      <c r="BT437" s="2"/>
      <c r="BU437" s="22"/>
      <c r="BV437" s="2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</row>
    <row r="438" spans="1:95" x14ac:dyDescent="0.25">
      <c r="A438" s="18">
        <v>435</v>
      </c>
      <c r="B438" s="19" t="s">
        <v>7003</v>
      </c>
      <c r="C438" s="19" t="s">
        <v>7004</v>
      </c>
      <c r="D438" s="20">
        <v>46002</v>
      </c>
      <c r="E438" s="20">
        <v>34985</v>
      </c>
      <c r="F438" s="19" t="s">
        <v>7005</v>
      </c>
      <c r="G438" s="19" t="s">
        <v>139</v>
      </c>
      <c r="H438" s="19" t="s">
        <v>94</v>
      </c>
      <c r="I438" s="19"/>
      <c r="J438" s="19"/>
      <c r="K438" s="19"/>
      <c r="L438" s="19" t="s">
        <v>101</v>
      </c>
      <c r="M438" s="19" t="s">
        <v>290</v>
      </c>
      <c r="N438" s="19" t="s">
        <v>7006</v>
      </c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 t="s">
        <v>101</v>
      </c>
      <c r="Z438" s="19" t="s">
        <v>102</v>
      </c>
      <c r="AA438" s="19" t="s">
        <v>103</v>
      </c>
      <c r="AB438" s="19" t="s">
        <v>4485</v>
      </c>
      <c r="AC438" s="19" t="s">
        <v>4486</v>
      </c>
      <c r="AD438" s="19" t="s">
        <v>7007</v>
      </c>
      <c r="AE438" s="19" t="s">
        <v>7008</v>
      </c>
      <c r="AF438" s="19"/>
      <c r="AG438" s="19" t="s">
        <v>6051</v>
      </c>
      <c r="AH438" s="19" t="s">
        <v>110</v>
      </c>
      <c r="AI438" s="19"/>
      <c r="AJ438" s="19" t="s">
        <v>7009</v>
      </c>
      <c r="AK438" s="19"/>
      <c r="AL438" s="19"/>
      <c r="AM438" s="19" t="s">
        <v>7010</v>
      </c>
      <c r="AN438" s="19" t="s">
        <v>7011</v>
      </c>
      <c r="AO438" s="19" t="s">
        <v>476</v>
      </c>
      <c r="AP438" s="19" t="s">
        <v>477</v>
      </c>
      <c r="AQ438" s="19" t="s">
        <v>117</v>
      </c>
      <c r="AR438" s="19" t="s">
        <v>478</v>
      </c>
      <c r="AS438" s="19"/>
      <c r="AT438" s="19"/>
      <c r="AU438" s="19"/>
      <c r="AV438" s="19"/>
      <c r="AW438" s="19"/>
      <c r="AX438" s="19"/>
      <c r="AY438" s="19"/>
      <c r="AZ438" s="19"/>
      <c r="BA438" s="20">
        <v>44452</v>
      </c>
      <c r="BB438" s="19" t="s">
        <v>444</v>
      </c>
      <c r="BC438" s="19" t="s">
        <v>5303</v>
      </c>
      <c r="BD438" s="19" t="s">
        <v>260</v>
      </c>
      <c r="BE438" s="19" t="s">
        <v>130</v>
      </c>
      <c r="BF438" s="19" t="s">
        <v>7012</v>
      </c>
      <c r="BG438" s="19"/>
      <c r="BH438" s="19" t="s">
        <v>5305</v>
      </c>
      <c r="BI438" s="19" t="s">
        <v>5305</v>
      </c>
      <c r="BJ438" s="19" t="s">
        <v>166</v>
      </c>
      <c r="BK438" s="19" t="s">
        <v>167</v>
      </c>
      <c r="BL438" s="19" t="s">
        <v>168</v>
      </c>
      <c r="BM438" s="19" t="s">
        <v>169</v>
      </c>
      <c r="BN438" s="21">
        <v>124.749</v>
      </c>
      <c r="BO438" s="21">
        <v>14730.5240937</v>
      </c>
      <c r="BQ438" s="2"/>
      <c r="BR438" s="2"/>
      <c r="BS438" s="2"/>
      <c r="BT438" s="2"/>
      <c r="BU438" s="22"/>
      <c r="BV438" s="2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</row>
    <row r="439" spans="1:95" x14ac:dyDescent="0.25">
      <c r="A439" s="18">
        <v>436</v>
      </c>
      <c r="B439" s="19" t="s">
        <v>7013</v>
      </c>
      <c r="C439" s="19" t="s">
        <v>7014</v>
      </c>
      <c r="D439" s="20">
        <v>46002</v>
      </c>
      <c r="E439" s="20">
        <v>23885</v>
      </c>
      <c r="F439" s="19"/>
      <c r="G439" s="19"/>
      <c r="H439" s="19" t="s">
        <v>94</v>
      </c>
      <c r="I439" s="19"/>
      <c r="J439" s="19"/>
      <c r="K439" s="19"/>
      <c r="L439" s="19" t="s">
        <v>244</v>
      </c>
      <c r="M439" s="19" t="s">
        <v>245</v>
      </c>
      <c r="N439" s="19" t="s">
        <v>7015</v>
      </c>
      <c r="O439" s="19" t="s">
        <v>100</v>
      </c>
      <c r="P439" s="19"/>
      <c r="Q439" s="19"/>
      <c r="R439" s="19"/>
      <c r="S439" s="19"/>
      <c r="T439" s="19"/>
      <c r="U439" s="19"/>
      <c r="V439" s="19"/>
      <c r="W439" s="19"/>
      <c r="X439" s="19"/>
      <c r="Y439" s="19" t="s">
        <v>101</v>
      </c>
      <c r="Z439" s="19" t="s">
        <v>102</v>
      </c>
      <c r="AA439" s="19" t="s">
        <v>103</v>
      </c>
      <c r="AB439" s="19" t="s">
        <v>3162</v>
      </c>
      <c r="AC439" s="19" t="s">
        <v>3163</v>
      </c>
      <c r="AD439" s="19" t="s">
        <v>7016</v>
      </c>
      <c r="AE439" s="19" t="s">
        <v>7017</v>
      </c>
      <c r="AF439" s="19"/>
      <c r="AG439" s="19" t="s">
        <v>7018</v>
      </c>
      <c r="AH439" s="19" t="s">
        <v>1029</v>
      </c>
      <c r="AI439" s="19" t="s">
        <v>111</v>
      </c>
      <c r="AJ439" s="19" t="s">
        <v>7019</v>
      </c>
      <c r="AK439" s="19"/>
      <c r="AL439" s="19"/>
      <c r="AM439" s="19" t="s">
        <v>7020</v>
      </c>
      <c r="AN439" s="19" t="s">
        <v>7021</v>
      </c>
      <c r="AO439" s="19" t="s">
        <v>7022</v>
      </c>
      <c r="AP439" s="19" t="s">
        <v>7023</v>
      </c>
      <c r="AQ439" s="19" t="s">
        <v>117</v>
      </c>
      <c r="AR439" s="19" t="s">
        <v>7024</v>
      </c>
      <c r="AS439" s="19" t="s">
        <v>7025</v>
      </c>
      <c r="AT439" s="19" t="s">
        <v>7026</v>
      </c>
      <c r="AU439" s="19"/>
      <c r="AV439" s="19" t="s">
        <v>7027</v>
      </c>
      <c r="AW439" s="19" t="s">
        <v>7028</v>
      </c>
      <c r="AX439" s="19" t="s">
        <v>1029</v>
      </c>
      <c r="AY439" s="19" t="s">
        <v>7029</v>
      </c>
      <c r="AZ439" s="19" t="s">
        <v>7030</v>
      </c>
      <c r="BA439" s="20">
        <v>45601</v>
      </c>
      <c r="BB439" s="19" t="s">
        <v>331</v>
      </c>
      <c r="BC439" s="19" t="s">
        <v>7031</v>
      </c>
      <c r="BD439" s="19" t="s">
        <v>7018</v>
      </c>
      <c r="BE439" s="19" t="s">
        <v>130</v>
      </c>
      <c r="BF439" s="19" t="s">
        <v>7032</v>
      </c>
      <c r="BG439" s="19"/>
      <c r="BH439" s="19" t="s">
        <v>7033</v>
      </c>
      <c r="BI439" s="19" t="s">
        <v>7033</v>
      </c>
      <c r="BJ439" s="19" t="s">
        <v>1259</v>
      </c>
      <c r="BK439" s="19" t="s">
        <v>221</v>
      </c>
      <c r="BL439" s="19" t="s">
        <v>222</v>
      </c>
      <c r="BM439" s="19" t="s">
        <v>169</v>
      </c>
      <c r="BN439" s="21">
        <v>1824.0740000000001</v>
      </c>
      <c r="BO439" s="21">
        <v>75220.981204600001</v>
      </c>
      <c r="BQ439" s="2"/>
      <c r="BR439" s="2"/>
      <c r="BS439" s="2"/>
      <c r="BT439" s="2"/>
      <c r="BU439" s="22"/>
      <c r="BV439" s="2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</row>
    <row r="440" spans="1:95" x14ac:dyDescent="0.25">
      <c r="A440" s="18">
        <v>437</v>
      </c>
      <c r="B440" s="19" t="s">
        <v>7034</v>
      </c>
      <c r="C440" s="19" t="s">
        <v>7035</v>
      </c>
      <c r="D440" s="20">
        <v>46002</v>
      </c>
      <c r="E440" s="20">
        <v>36454</v>
      </c>
      <c r="F440" s="19"/>
      <c r="G440" s="19"/>
      <c r="H440" s="19" t="s">
        <v>94</v>
      </c>
      <c r="I440" s="19"/>
      <c r="J440" s="19"/>
      <c r="K440" s="19"/>
      <c r="L440" s="19" t="s">
        <v>140</v>
      </c>
      <c r="M440" s="19" t="s">
        <v>141</v>
      </c>
      <c r="N440" s="19" t="s">
        <v>7036</v>
      </c>
      <c r="O440" s="19" t="s">
        <v>100</v>
      </c>
      <c r="P440" s="19"/>
      <c r="Q440" s="19"/>
      <c r="R440" s="19"/>
      <c r="S440" s="19"/>
      <c r="T440" s="19"/>
      <c r="U440" s="19"/>
      <c r="V440" s="19"/>
      <c r="W440" s="19"/>
      <c r="X440" s="19"/>
      <c r="Y440" s="19" t="s">
        <v>101</v>
      </c>
      <c r="Z440" s="19" t="s">
        <v>102</v>
      </c>
      <c r="AA440" s="19" t="s">
        <v>103</v>
      </c>
      <c r="AB440" s="19" t="s">
        <v>7037</v>
      </c>
      <c r="AC440" s="19" t="s">
        <v>7038</v>
      </c>
      <c r="AD440" s="19" t="s">
        <v>7039</v>
      </c>
      <c r="AE440" s="19" t="s">
        <v>7040</v>
      </c>
      <c r="AF440" s="19"/>
      <c r="AG440" s="19" t="s">
        <v>7041</v>
      </c>
      <c r="AH440" s="19" t="s">
        <v>942</v>
      </c>
      <c r="AI440" s="19" t="s">
        <v>111</v>
      </c>
      <c r="AJ440" s="19" t="s">
        <v>7042</v>
      </c>
      <c r="AK440" s="19"/>
      <c r="AL440" s="19"/>
      <c r="AM440" s="19" t="s">
        <v>7043</v>
      </c>
      <c r="AN440" s="19" t="s">
        <v>7044</v>
      </c>
      <c r="AO440" s="19" t="s">
        <v>7045</v>
      </c>
      <c r="AP440" s="19" t="s">
        <v>7046</v>
      </c>
      <c r="AQ440" s="19" t="s">
        <v>117</v>
      </c>
      <c r="AR440" s="19" t="s">
        <v>7047</v>
      </c>
      <c r="AS440" s="19" t="s">
        <v>7048</v>
      </c>
      <c r="AT440" s="19" t="s">
        <v>7049</v>
      </c>
      <c r="AU440" s="19" t="s">
        <v>7050</v>
      </c>
      <c r="AV440" s="19" t="s">
        <v>222</v>
      </c>
      <c r="AW440" s="19" t="s">
        <v>7051</v>
      </c>
      <c r="AX440" s="19" t="s">
        <v>515</v>
      </c>
      <c r="AY440" s="19" t="s">
        <v>7052</v>
      </c>
      <c r="AZ440" s="19" t="s">
        <v>7053</v>
      </c>
      <c r="BA440" s="20">
        <v>41505</v>
      </c>
      <c r="BB440" s="19" t="s">
        <v>331</v>
      </c>
      <c r="BC440" s="19" t="s">
        <v>7041</v>
      </c>
      <c r="BD440" s="19" t="s">
        <v>7041</v>
      </c>
      <c r="BE440" s="19" t="s">
        <v>130</v>
      </c>
      <c r="BF440" s="19" t="s">
        <v>7054</v>
      </c>
      <c r="BG440" s="19" t="s">
        <v>7055</v>
      </c>
      <c r="BH440" s="19" t="s">
        <v>7056</v>
      </c>
      <c r="BI440" s="19" t="s">
        <v>7056</v>
      </c>
      <c r="BJ440" s="19" t="s">
        <v>1259</v>
      </c>
      <c r="BK440" s="19" t="s">
        <v>221</v>
      </c>
      <c r="BL440" s="19" t="s">
        <v>222</v>
      </c>
      <c r="BM440" s="19" t="s">
        <v>169</v>
      </c>
      <c r="BN440" s="21">
        <v>0</v>
      </c>
      <c r="BO440" s="21">
        <v>0</v>
      </c>
      <c r="BQ440" s="2"/>
      <c r="BR440" s="2"/>
      <c r="BS440" s="2"/>
      <c r="BT440" s="2"/>
      <c r="BU440" s="22"/>
      <c r="BV440" s="2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</row>
    <row r="441" spans="1:95" x14ac:dyDescent="0.25">
      <c r="A441" s="18">
        <v>438</v>
      </c>
      <c r="B441" s="19" t="s">
        <v>7057</v>
      </c>
      <c r="C441" s="19" t="s">
        <v>7058</v>
      </c>
      <c r="D441" s="20">
        <v>46005</v>
      </c>
      <c r="E441" s="20">
        <v>24958</v>
      </c>
      <c r="F441" s="19"/>
      <c r="G441" s="19"/>
      <c r="H441" s="19" t="s">
        <v>94</v>
      </c>
      <c r="I441" s="19"/>
      <c r="J441" s="19"/>
      <c r="K441" s="19"/>
      <c r="L441" s="19" t="s">
        <v>687</v>
      </c>
      <c r="M441" s="19" t="s">
        <v>688</v>
      </c>
      <c r="N441" s="19" t="s">
        <v>7059</v>
      </c>
      <c r="O441" s="19" t="s">
        <v>100</v>
      </c>
      <c r="P441" s="19"/>
      <c r="Q441" s="19"/>
      <c r="R441" s="19"/>
      <c r="S441" s="19"/>
      <c r="T441" s="19"/>
      <c r="U441" s="19"/>
      <c r="V441" s="19"/>
      <c r="W441" s="19"/>
      <c r="X441" s="19"/>
      <c r="Y441" s="19" t="s">
        <v>101</v>
      </c>
      <c r="Z441" s="19" t="s">
        <v>102</v>
      </c>
      <c r="AA441" s="19" t="s">
        <v>103</v>
      </c>
      <c r="AB441" s="19" t="s">
        <v>7060</v>
      </c>
      <c r="AC441" s="19" t="s">
        <v>7061</v>
      </c>
      <c r="AD441" s="19" t="s">
        <v>7062</v>
      </c>
      <c r="AE441" s="19" t="s">
        <v>7063</v>
      </c>
      <c r="AF441" s="19" t="s">
        <v>7064</v>
      </c>
      <c r="AG441" s="19" t="s">
        <v>7065</v>
      </c>
      <c r="AH441" s="19" t="s">
        <v>376</v>
      </c>
      <c r="AI441" s="19" t="s">
        <v>111</v>
      </c>
      <c r="AJ441" s="19" t="s">
        <v>7066</v>
      </c>
      <c r="AK441" s="19"/>
      <c r="AL441" s="19"/>
      <c r="AM441" s="19" t="s">
        <v>7067</v>
      </c>
      <c r="AN441" s="19" t="s">
        <v>7068</v>
      </c>
      <c r="AO441" s="19" t="s">
        <v>181</v>
      </c>
      <c r="AP441" s="19" t="s">
        <v>182</v>
      </c>
      <c r="AQ441" s="19" t="s">
        <v>117</v>
      </c>
      <c r="AR441" s="19" t="s">
        <v>183</v>
      </c>
      <c r="AS441" s="19" t="s">
        <v>184</v>
      </c>
      <c r="AT441" s="19" t="s">
        <v>185</v>
      </c>
      <c r="AU441" s="19"/>
      <c r="AV441" s="19" t="s">
        <v>186</v>
      </c>
      <c r="AW441" s="19" t="s">
        <v>187</v>
      </c>
      <c r="AX441" s="19" t="s">
        <v>188</v>
      </c>
      <c r="AY441" s="19"/>
      <c r="AZ441" s="19" t="s">
        <v>189</v>
      </c>
      <c r="BA441" s="20">
        <v>44673</v>
      </c>
      <c r="BB441" s="19" t="s">
        <v>444</v>
      </c>
      <c r="BC441" s="19" t="s">
        <v>7069</v>
      </c>
      <c r="BD441" s="19" t="s">
        <v>7065</v>
      </c>
      <c r="BE441" s="19" t="s">
        <v>130</v>
      </c>
      <c r="BF441" s="19" t="s">
        <v>7070</v>
      </c>
      <c r="BG441" s="19"/>
      <c r="BH441" s="19" t="s">
        <v>7071</v>
      </c>
      <c r="BI441" s="19" t="s">
        <v>7071</v>
      </c>
      <c r="BJ441" s="19" t="s">
        <v>194</v>
      </c>
      <c r="BK441" s="19" t="s">
        <v>195</v>
      </c>
      <c r="BL441" s="19" t="s">
        <v>122</v>
      </c>
      <c r="BM441" s="19" t="s">
        <v>196</v>
      </c>
      <c r="BN441" s="21">
        <v>6.968</v>
      </c>
      <c r="BO441" s="21">
        <v>10024.306250400001</v>
      </c>
      <c r="BQ441" s="2"/>
      <c r="BR441" s="2"/>
      <c r="BS441" s="2"/>
      <c r="BT441" s="2"/>
      <c r="BU441" s="22"/>
      <c r="BV441" s="2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</row>
    <row r="442" spans="1:95" x14ac:dyDescent="0.25">
      <c r="A442" s="18">
        <v>439</v>
      </c>
      <c r="B442" s="19" t="s">
        <v>7072</v>
      </c>
      <c r="C442" s="19" t="s">
        <v>7073</v>
      </c>
      <c r="D442" s="20">
        <v>46003</v>
      </c>
      <c r="E442" s="20">
        <v>31377</v>
      </c>
      <c r="F442" s="19" t="s">
        <v>7074</v>
      </c>
      <c r="G442" s="19" t="s">
        <v>139</v>
      </c>
      <c r="H442" s="19" t="s">
        <v>94</v>
      </c>
      <c r="I442" s="19"/>
      <c r="J442" s="19"/>
      <c r="K442" s="19"/>
      <c r="L442" s="19" t="s">
        <v>101</v>
      </c>
      <c r="M442" s="19" t="s">
        <v>290</v>
      </c>
      <c r="N442" s="19" t="s">
        <v>7075</v>
      </c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 t="s">
        <v>101</v>
      </c>
      <c r="Z442" s="19" t="s">
        <v>102</v>
      </c>
      <c r="AA442" s="19" t="s">
        <v>103</v>
      </c>
      <c r="AB442" s="19" t="s">
        <v>292</v>
      </c>
      <c r="AC442" s="19" t="s">
        <v>293</v>
      </c>
      <c r="AD442" s="19" t="s">
        <v>7076</v>
      </c>
      <c r="AE442" s="19" t="s">
        <v>7077</v>
      </c>
      <c r="AF442" s="19"/>
      <c r="AG442" s="19" t="s">
        <v>4010</v>
      </c>
      <c r="AH442" s="19" t="s">
        <v>1029</v>
      </c>
      <c r="AI442" s="19" t="s">
        <v>111</v>
      </c>
      <c r="AJ442" s="19" t="s">
        <v>7078</v>
      </c>
      <c r="AK442" s="19" t="s">
        <v>7079</v>
      </c>
      <c r="AL442" s="19" t="s">
        <v>7079</v>
      </c>
      <c r="AM442" s="19" t="s">
        <v>7080</v>
      </c>
      <c r="AN442" s="19" t="s">
        <v>7081</v>
      </c>
      <c r="AO442" s="19" t="s">
        <v>7082</v>
      </c>
      <c r="AP442" s="19" t="s">
        <v>7083</v>
      </c>
      <c r="AQ442" s="19" t="s">
        <v>117</v>
      </c>
      <c r="AR442" s="19" t="s">
        <v>7084</v>
      </c>
      <c r="AS442" s="19" t="s">
        <v>7083</v>
      </c>
      <c r="AT442" s="19" t="s">
        <v>7085</v>
      </c>
      <c r="AU442" s="19" t="s">
        <v>7086</v>
      </c>
      <c r="AV442" s="19" t="s">
        <v>7087</v>
      </c>
      <c r="AW442" s="19" t="s">
        <v>7088</v>
      </c>
      <c r="AX442" s="19" t="s">
        <v>1029</v>
      </c>
      <c r="AY442" s="19" t="s">
        <v>7089</v>
      </c>
      <c r="AZ442" s="19" t="s">
        <v>7090</v>
      </c>
      <c r="BA442" s="20">
        <v>34754</v>
      </c>
      <c r="BB442" s="19" t="s">
        <v>349</v>
      </c>
      <c r="BC442" s="19" t="s">
        <v>7091</v>
      </c>
      <c r="BD442" s="19" t="s">
        <v>4010</v>
      </c>
      <c r="BE442" s="19" t="s">
        <v>130</v>
      </c>
      <c r="BF442" s="19" t="s">
        <v>7092</v>
      </c>
      <c r="BG442" s="19"/>
      <c r="BH442" s="19" t="s">
        <v>7093</v>
      </c>
      <c r="BI442" s="19" t="s">
        <v>7093</v>
      </c>
      <c r="BJ442" s="19" t="s">
        <v>166</v>
      </c>
      <c r="BK442" s="19" t="s">
        <v>907</v>
      </c>
      <c r="BL442" s="19" t="s">
        <v>122</v>
      </c>
      <c r="BM442" s="19" t="s">
        <v>592</v>
      </c>
      <c r="BN442" s="21">
        <v>154.376</v>
      </c>
      <c r="BO442" s="21">
        <v>2541.5692760000002</v>
      </c>
      <c r="BQ442" s="2"/>
      <c r="BR442" s="2"/>
      <c r="BS442" s="2"/>
      <c r="BT442" s="2"/>
      <c r="BU442" s="22"/>
      <c r="BV442" s="2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</row>
    <row r="443" spans="1:95" x14ac:dyDescent="0.25">
      <c r="A443" s="18">
        <v>440</v>
      </c>
      <c r="B443" s="19" t="s">
        <v>7094</v>
      </c>
      <c r="C443" s="19" t="s">
        <v>7095</v>
      </c>
      <c r="D443" s="20">
        <v>46006</v>
      </c>
      <c r="E443" s="20">
        <v>28331</v>
      </c>
      <c r="F443" s="19" t="s">
        <v>7096</v>
      </c>
      <c r="G443" s="19" t="s">
        <v>139</v>
      </c>
      <c r="H443" s="19" t="s">
        <v>94</v>
      </c>
      <c r="I443" s="19"/>
      <c r="J443" s="19"/>
      <c r="K443" s="19"/>
      <c r="L443" s="19" t="s">
        <v>244</v>
      </c>
      <c r="M443" s="19" t="s">
        <v>245</v>
      </c>
      <c r="N443" s="19" t="s">
        <v>7097</v>
      </c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 t="s">
        <v>101</v>
      </c>
      <c r="Z443" s="19" t="s">
        <v>102</v>
      </c>
      <c r="AA443" s="19" t="s">
        <v>103</v>
      </c>
      <c r="AB443" s="19" t="s">
        <v>173</v>
      </c>
      <c r="AC443" s="19" t="s">
        <v>174</v>
      </c>
      <c r="AD443" s="19" t="s">
        <v>7098</v>
      </c>
      <c r="AE443" s="19" t="s">
        <v>7099</v>
      </c>
      <c r="AF443" s="19" t="s">
        <v>7100</v>
      </c>
      <c r="AG443" s="19" t="s">
        <v>7101</v>
      </c>
      <c r="AH443" s="19" t="s">
        <v>188</v>
      </c>
      <c r="AI443" s="19" t="s">
        <v>111</v>
      </c>
      <c r="AJ443" s="19" t="s">
        <v>2072</v>
      </c>
      <c r="AK443" s="19"/>
      <c r="AL443" s="19"/>
      <c r="AM443" s="19" t="s">
        <v>7102</v>
      </c>
      <c r="AN443" s="19" t="s">
        <v>7103</v>
      </c>
      <c r="AO443" s="19" t="s">
        <v>255</v>
      </c>
      <c r="AP443" s="19" t="s">
        <v>256</v>
      </c>
      <c r="AQ443" s="19" t="s">
        <v>117</v>
      </c>
      <c r="AR443" s="19" t="s">
        <v>257</v>
      </c>
      <c r="AS443" s="19" t="s">
        <v>258</v>
      </c>
      <c r="AT443" s="19" t="s">
        <v>259</v>
      </c>
      <c r="AU443" s="19" t="s">
        <v>260</v>
      </c>
      <c r="AV443" s="19" t="s">
        <v>260</v>
      </c>
      <c r="AW443" s="19" t="s">
        <v>261</v>
      </c>
      <c r="AX443" s="19" t="s">
        <v>262</v>
      </c>
      <c r="AY443" s="19" t="s">
        <v>263</v>
      </c>
      <c r="AZ443" s="19" t="s">
        <v>264</v>
      </c>
      <c r="BA443" s="20">
        <v>43627</v>
      </c>
      <c r="BB443" s="19" t="s">
        <v>331</v>
      </c>
      <c r="BC443" s="19" t="s">
        <v>7104</v>
      </c>
      <c r="BD443" s="19" t="s">
        <v>365</v>
      </c>
      <c r="BE443" s="19" t="s">
        <v>130</v>
      </c>
      <c r="BF443" s="19" t="s">
        <v>7105</v>
      </c>
      <c r="BG443" s="19"/>
      <c r="BH443" s="19" t="s">
        <v>7106</v>
      </c>
      <c r="BI443" s="19" t="s">
        <v>7106</v>
      </c>
      <c r="BJ443" s="19" t="s">
        <v>166</v>
      </c>
      <c r="BK443" s="19" t="s">
        <v>167</v>
      </c>
      <c r="BL443" s="19" t="s">
        <v>168</v>
      </c>
      <c r="BM443" s="19" t="s">
        <v>169</v>
      </c>
      <c r="BN443" s="21">
        <v>16.542999999999999</v>
      </c>
      <c r="BO443" s="21">
        <v>586.02254059999996</v>
      </c>
      <c r="BQ443" s="2"/>
      <c r="BR443" s="2"/>
      <c r="BS443" s="2"/>
      <c r="BT443" s="2"/>
      <c r="BU443" s="22"/>
      <c r="BV443" s="2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</row>
    <row r="444" spans="1:95" x14ac:dyDescent="0.25">
      <c r="A444" s="18">
        <v>441</v>
      </c>
      <c r="B444" s="19" t="s">
        <v>7107</v>
      </c>
      <c r="C444" s="19" t="s">
        <v>7108</v>
      </c>
      <c r="D444" s="20">
        <v>46013</v>
      </c>
      <c r="E444" s="20">
        <v>36114</v>
      </c>
      <c r="F444" s="19" t="s">
        <v>7109</v>
      </c>
      <c r="G444" s="19" t="s">
        <v>139</v>
      </c>
      <c r="H444" s="19" t="s">
        <v>94</v>
      </c>
      <c r="I444" s="19"/>
      <c r="J444" s="19"/>
      <c r="K444" s="19"/>
      <c r="L444" s="19" t="s">
        <v>244</v>
      </c>
      <c r="M444" s="19" t="s">
        <v>245</v>
      </c>
      <c r="N444" s="19" t="s">
        <v>7110</v>
      </c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 t="s">
        <v>101</v>
      </c>
      <c r="Z444" s="19" t="s">
        <v>102</v>
      </c>
      <c r="AA444" s="19" t="s">
        <v>103</v>
      </c>
      <c r="AB444" s="19" t="s">
        <v>173</v>
      </c>
      <c r="AC444" s="19" t="s">
        <v>174</v>
      </c>
      <c r="AD444" s="19" t="s">
        <v>7111</v>
      </c>
      <c r="AE444" s="19" t="s">
        <v>7112</v>
      </c>
      <c r="AF444" s="19" t="s">
        <v>7113</v>
      </c>
      <c r="AG444" s="19" t="s">
        <v>2071</v>
      </c>
      <c r="AH444" s="19" t="s">
        <v>188</v>
      </c>
      <c r="AI444" s="19" t="s">
        <v>111</v>
      </c>
      <c r="AJ444" s="19" t="s">
        <v>7114</v>
      </c>
      <c r="AK444" s="19"/>
      <c r="AL444" s="19"/>
      <c r="AM444" s="19" t="s">
        <v>7115</v>
      </c>
      <c r="AN444" s="19" t="s">
        <v>7116</v>
      </c>
      <c r="AO444" s="19" t="s">
        <v>255</v>
      </c>
      <c r="AP444" s="19" t="s">
        <v>256</v>
      </c>
      <c r="AQ444" s="19" t="s">
        <v>117</v>
      </c>
      <c r="AR444" s="19" t="s">
        <v>257</v>
      </c>
      <c r="AS444" s="19" t="s">
        <v>258</v>
      </c>
      <c r="AT444" s="19" t="s">
        <v>259</v>
      </c>
      <c r="AU444" s="19" t="s">
        <v>260</v>
      </c>
      <c r="AV444" s="19" t="s">
        <v>260</v>
      </c>
      <c r="AW444" s="19" t="s">
        <v>261</v>
      </c>
      <c r="AX444" s="19" t="s">
        <v>262</v>
      </c>
      <c r="AY444" s="19" t="s">
        <v>263</v>
      </c>
      <c r="AZ444" s="19" t="s">
        <v>264</v>
      </c>
      <c r="BA444" s="20">
        <v>43627</v>
      </c>
      <c r="BB444" s="19" t="s">
        <v>331</v>
      </c>
      <c r="BC444" s="19" t="s">
        <v>7117</v>
      </c>
      <c r="BD444" s="19" t="s">
        <v>365</v>
      </c>
      <c r="BE444" s="19" t="s">
        <v>130</v>
      </c>
      <c r="BF444" s="19" t="s">
        <v>7118</v>
      </c>
      <c r="BG444" s="19"/>
      <c r="BH444" s="19" t="s">
        <v>7119</v>
      </c>
      <c r="BI444" s="19" t="s">
        <v>7119</v>
      </c>
      <c r="BJ444" s="19" t="s">
        <v>166</v>
      </c>
      <c r="BK444" s="19" t="s">
        <v>167</v>
      </c>
      <c r="BL444" s="19" t="s">
        <v>168</v>
      </c>
      <c r="BM444" s="19" t="s">
        <v>169</v>
      </c>
      <c r="BN444" s="21">
        <v>30.529</v>
      </c>
      <c r="BO444" s="21">
        <v>1081.4654018000001</v>
      </c>
      <c r="BQ444" s="2"/>
      <c r="BR444" s="2"/>
      <c r="BS444" s="2"/>
      <c r="BT444" s="2"/>
      <c r="BU444" s="22"/>
      <c r="BV444" s="2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</row>
    <row r="445" spans="1:95" x14ac:dyDescent="0.25">
      <c r="A445" s="18">
        <v>442</v>
      </c>
      <c r="B445" s="19" t="s">
        <v>7120</v>
      </c>
      <c r="C445" s="19" t="s">
        <v>7121</v>
      </c>
      <c r="D445" s="20">
        <v>46013</v>
      </c>
      <c r="E445" s="20">
        <v>37009</v>
      </c>
      <c r="F445" s="19" t="s">
        <v>7122</v>
      </c>
      <c r="G445" s="19" t="s">
        <v>139</v>
      </c>
      <c r="H445" s="19" t="s">
        <v>94</v>
      </c>
      <c r="I445" s="19"/>
      <c r="J445" s="19"/>
      <c r="K445" s="19"/>
      <c r="L445" s="19" t="s">
        <v>244</v>
      </c>
      <c r="M445" s="19" t="s">
        <v>245</v>
      </c>
      <c r="N445" s="19" t="s">
        <v>7123</v>
      </c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 t="s">
        <v>101</v>
      </c>
      <c r="Z445" s="19" t="s">
        <v>102</v>
      </c>
      <c r="AA445" s="19" t="s">
        <v>103</v>
      </c>
      <c r="AB445" s="19" t="s">
        <v>953</v>
      </c>
      <c r="AC445" s="19" t="s">
        <v>954</v>
      </c>
      <c r="AD445" s="19" t="s">
        <v>7124</v>
      </c>
      <c r="AE445" s="19" t="s">
        <v>7125</v>
      </c>
      <c r="AF445" s="19" t="s">
        <v>7126</v>
      </c>
      <c r="AG445" s="19" t="s">
        <v>2599</v>
      </c>
      <c r="AH445" s="19" t="s">
        <v>1015</v>
      </c>
      <c r="AI445" s="19" t="s">
        <v>111</v>
      </c>
      <c r="AJ445" s="19" t="s">
        <v>7127</v>
      </c>
      <c r="AK445" s="19"/>
      <c r="AL445" s="19"/>
      <c r="AM445" s="19" t="s">
        <v>7128</v>
      </c>
      <c r="AN445" s="19" t="s">
        <v>7129</v>
      </c>
      <c r="AO445" s="19" t="s">
        <v>255</v>
      </c>
      <c r="AP445" s="19" t="s">
        <v>256</v>
      </c>
      <c r="AQ445" s="19" t="s">
        <v>117</v>
      </c>
      <c r="AR445" s="19" t="s">
        <v>257</v>
      </c>
      <c r="AS445" s="19" t="s">
        <v>258</v>
      </c>
      <c r="AT445" s="19" t="s">
        <v>259</v>
      </c>
      <c r="AU445" s="19" t="s">
        <v>260</v>
      </c>
      <c r="AV445" s="19" t="s">
        <v>260</v>
      </c>
      <c r="AW445" s="19" t="s">
        <v>261</v>
      </c>
      <c r="AX445" s="19" t="s">
        <v>262</v>
      </c>
      <c r="AY445" s="19" t="s">
        <v>263</v>
      </c>
      <c r="AZ445" s="19" t="s">
        <v>264</v>
      </c>
      <c r="BA445" s="20">
        <v>43627</v>
      </c>
      <c r="BB445" s="19" t="s">
        <v>349</v>
      </c>
      <c r="BC445" s="19" t="s">
        <v>7130</v>
      </c>
      <c r="BD445" s="19" t="s">
        <v>7130</v>
      </c>
      <c r="BE445" s="19" t="s">
        <v>130</v>
      </c>
      <c r="BF445" s="19" t="s">
        <v>7131</v>
      </c>
      <c r="BG445" s="19"/>
      <c r="BH445" s="19" t="s">
        <v>7132</v>
      </c>
      <c r="BI445" s="19" t="s">
        <v>7132</v>
      </c>
      <c r="BJ445" s="19" t="s">
        <v>166</v>
      </c>
      <c r="BK445" s="19" t="s">
        <v>167</v>
      </c>
      <c r="BL445" s="19" t="s">
        <v>168</v>
      </c>
      <c r="BM445" s="19" t="s">
        <v>169</v>
      </c>
      <c r="BN445" s="21">
        <v>12.327999999999999</v>
      </c>
      <c r="BO445" s="21">
        <v>496.59279759999998</v>
      </c>
      <c r="BQ445" s="2"/>
      <c r="BR445" s="2"/>
      <c r="BS445" s="2"/>
      <c r="BT445" s="2"/>
      <c r="BU445" s="22"/>
      <c r="BV445" s="2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</row>
    <row r="446" spans="1:95" x14ac:dyDescent="0.25">
      <c r="A446" s="18">
        <v>443</v>
      </c>
      <c r="B446" s="19" t="s">
        <v>7133</v>
      </c>
      <c r="C446" s="19" t="s">
        <v>7134</v>
      </c>
      <c r="D446" s="20">
        <v>46008</v>
      </c>
      <c r="E446" s="20">
        <v>32256</v>
      </c>
      <c r="F446" s="19" t="s">
        <v>7135</v>
      </c>
      <c r="G446" s="19" t="s">
        <v>139</v>
      </c>
      <c r="H446" s="19" t="s">
        <v>94</v>
      </c>
      <c r="I446" s="19"/>
      <c r="J446" s="19"/>
      <c r="K446" s="19"/>
      <c r="L446" s="19" t="s">
        <v>244</v>
      </c>
      <c r="M446" s="19" t="s">
        <v>245</v>
      </c>
      <c r="N446" s="19" t="s">
        <v>7136</v>
      </c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 t="s">
        <v>101</v>
      </c>
      <c r="Z446" s="19" t="s">
        <v>102</v>
      </c>
      <c r="AA446" s="19" t="s">
        <v>103</v>
      </c>
      <c r="AB446" s="19" t="s">
        <v>953</v>
      </c>
      <c r="AC446" s="19" t="s">
        <v>954</v>
      </c>
      <c r="AD446" s="19" t="s">
        <v>7137</v>
      </c>
      <c r="AE446" s="19"/>
      <c r="AF446" s="19"/>
      <c r="AG446" s="19" t="s">
        <v>277</v>
      </c>
      <c r="AH446" s="19" t="s">
        <v>124</v>
      </c>
      <c r="AI446" s="19"/>
      <c r="AJ446" s="19" t="s">
        <v>7138</v>
      </c>
      <c r="AK446" s="19"/>
      <c r="AL446" s="19"/>
      <c r="AM446" s="19" t="s">
        <v>7139</v>
      </c>
      <c r="AN446" s="19" t="s">
        <v>7140</v>
      </c>
      <c r="AO446" s="19" t="s">
        <v>255</v>
      </c>
      <c r="AP446" s="19" t="s">
        <v>256</v>
      </c>
      <c r="AQ446" s="19" t="s">
        <v>117</v>
      </c>
      <c r="AR446" s="19" t="s">
        <v>257</v>
      </c>
      <c r="AS446" s="19" t="s">
        <v>258</v>
      </c>
      <c r="AT446" s="19" t="s">
        <v>259</v>
      </c>
      <c r="AU446" s="19" t="s">
        <v>260</v>
      </c>
      <c r="AV446" s="19" t="s">
        <v>260</v>
      </c>
      <c r="AW446" s="19" t="s">
        <v>261</v>
      </c>
      <c r="AX446" s="19" t="s">
        <v>262</v>
      </c>
      <c r="AY446" s="19" t="s">
        <v>263</v>
      </c>
      <c r="AZ446" s="19" t="s">
        <v>264</v>
      </c>
      <c r="BA446" s="20">
        <v>43627</v>
      </c>
      <c r="BB446" s="19" t="s">
        <v>331</v>
      </c>
      <c r="BC446" s="19" t="s">
        <v>7141</v>
      </c>
      <c r="BD446" s="19" t="s">
        <v>7142</v>
      </c>
      <c r="BE446" s="19" t="s">
        <v>130</v>
      </c>
      <c r="BF446" s="19" t="s">
        <v>7143</v>
      </c>
      <c r="BG446" s="19"/>
      <c r="BH446" s="19" t="s">
        <v>7144</v>
      </c>
      <c r="BI446" s="19" t="s">
        <v>7144</v>
      </c>
      <c r="BJ446" s="19" t="s">
        <v>166</v>
      </c>
      <c r="BK446" s="19" t="s">
        <v>167</v>
      </c>
      <c r="BL446" s="19" t="s">
        <v>168</v>
      </c>
      <c r="BM446" s="19" t="s">
        <v>169</v>
      </c>
      <c r="BN446" s="21">
        <v>675.03899999999999</v>
      </c>
      <c r="BO446" s="21">
        <v>27191.7184863</v>
      </c>
      <c r="BQ446" s="2"/>
      <c r="BR446" s="2"/>
      <c r="BS446" s="2"/>
      <c r="BT446" s="2"/>
      <c r="BU446" s="22"/>
      <c r="BV446" s="2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</row>
    <row r="447" spans="1:95" x14ac:dyDescent="0.25">
      <c r="A447" s="18">
        <v>444</v>
      </c>
      <c r="B447" s="19" t="s">
        <v>7145</v>
      </c>
      <c r="C447" s="19" t="s">
        <v>7146</v>
      </c>
      <c r="D447" s="20">
        <v>46009</v>
      </c>
      <c r="E447" s="20">
        <v>15447</v>
      </c>
      <c r="F447" s="19"/>
      <c r="G447" s="19"/>
      <c r="H447" s="19" t="s">
        <v>94</v>
      </c>
      <c r="I447" s="19"/>
      <c r="J447" s="19" t="s">
        <v>3080</v>
      </c>
      <c r="K447" s="19" t="s">
        <v>3081</v>
      </c>
      <c r="L447" s="19" t="s">
        <v>1825</v>
      </c>
      <c r="M447" s="19" t="s">
        <v>610</v>
      </c>
      <c r="N447" s="19" t="s">
        <v>7147</v>
      </c>
      <c r="O447" s="19" t="s">
        <v>100</v>
      </c>
      <c r="P447" s="19"/>
      <c r="Q447" s="19"/>
      <c r="R447" s="19"/>
      <c r="S447" s="19"/>
      <c r="T447" s="19"/>
      <c r="U447" s="19"/>
      <c r="V447" s="19"/>
      <c r="W447" s="19"/>
      <c r="X447" s="19"/>
      <c r="Y447" s="19" t="s">
        <v>101</v>
      </c>
      <c r="Z447" s="19" t="s">
        <v>102</v>
      </c>
      <c r="AA447" s="19" t="s">
        <v>103</v>
      </c>
      <c r="AB447" s="19" t="s">
        <v>402</v>
      </c>
      <c r="AC447" s="19" t="s">
        <v>403</v>
      </c>
      <c r="AD447" s="19" t="s">
        <v>7148</v>
      </c>
      <c r="AE447" s="19" t="s">
        <v>7149</v>
      </c>
      <c r="AF447" s="19"/>
      <c r="AG447" s="19" t="s">
        <v>1127</v>
      </c>
      <c r="AH447" s="19" t="s">
        <v>757</v>
      </c>
      <c r="AI447" s="19" t="s">
        <v>111</v>
      </c>
      <c r="AJ447" s="19" t="s">
        <v>1717</v>
      </c>
      <c r="AK447" s="19"/>
      <c r="AL447" s="19"/>
      <c r="AM447" s="19" t="s">
        <v>7150</v>
      </c>
      <c r="AN447" s="19" t="s">
        <v>7151</v>
      </c>
      <c r="AO447" s="19" t="s">
        <v>7152</v>
      </c>
      <c r="AP447" s="19" t="s">
        <v>7153</v>
      </c>
      <c r="AQ447" s="19" t="s">
        <v>117</v>
      </c>
      <c r="AR447" s="19" t="s">
        <v>7154</v>
      </c>
      <c r="AS447" s="19" t="s">
        <v>7155</v>
      </c>
      <c r="AT447" s="19" t="s">
        <v>7156</v>
      </c>
      <c r="AU447" s="19"/>
      <c r="AV447" s="19" t="s">
        <v>7157</v>
      </c>
      <c r="AW447" s="19" t="s">
        <v>1717</v>
      </c>
      <c r="AX447" s="19" t="s">
        <v>757</v>
      </c>
      <c r="AY447" s="19" t="s">
        <v>7158</v>
      </c>
      <c r="AZ447" s="19" t="s">
        <v>7159</v>
      </c>
      <c r="BA447" s="20">
        <v>45755</v>
      </c>
      <c r="BB447" s="19" t="s">
        <v>1388</v>
      </c>
      <c r="BC447" s="19" t="s">
        <v>7160</v>
      </c>
      <c r="BD447" s="19" t="s">
        <v>7157</v>
      </c>
      <c r="BE447" s="19" t="s">
        <v>130</v>
      </c>
      <c r="BF447" s="19" t="s">
        <v>7161</v>
      </c>
      <c r="BG447" s="19" t="s">
        <v>7162</v>
      </c>
      <c r="BH447" s="19" t="s">
        <v>7163</v>
      </c>
      <c r="BI447" s="19" t="s">
        <v>7163</v>
      </c>
      <c r="BJ447" s="19" t="s">
        <v>166</v>
      </c>
      <c r="BK447" s="19" t="s">
        <v>7164</v>
      </c>
      <c r="BL447" s="19" t="s">
        <v>7157</v>
      </c>
      <c r="BM447" s="19" t="s">
        <v>1045</v>
      </c>
      <c r="BN447" s="21">
        <v>106.979</v>
      </c>
      <c r="BO447" s="21">
        <v>202546.55007</v>
      </c>
      <c r="BQ447" s="2"/>
      <c r="BR447" s="2"/>
      <c r="BS447" s="2"/>
      <c r="BT447" s="2"/>
      <c r="BU447" s="22"/>
      <c r="BV447" s="2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</row>
    <row r="448" spans="1:95" x14ac:dyDescent="0.25">
      <c r="A448" s="18">
        <v>445</v>
      </c>
      <c r="B448" s="19" t="s">
        <v>7165</v>
      </c>
      <c r="C448" s="19" t="s">
        <v>7166</v>
      </c>
      <c r="D448" s="20">
        <v>46010</v>
      </c>
      <c r="E448" s="20">
        <v>24918</v>
      </c>
      <c r="F448" s="19"/>
      <c r="G448" s="19"/>
      <c r="H448" s="19" t="s">
        <v>94</v>
      </c>
      <c r="I448" s="19"/>
      <c r="J448" s="19" t="s">
        <v>2625</v>
      </c>
      <c r="K448" s="19" t="s">
        <v>2626</v>
      </c>
      <c r="L448" s="19" t="s">
        <v>97</v>
      </c>
      <c r="M448" s="19" t="s">
        <v>98</v>
      </c>
      <c r="N448" s="19" t="s">
        <v>7167</v>
      </c>
      <c r="O448" s="19" t="s">
        <v>100</v>
      </c>
      <c r="P448" s="19"/>
      <c r="Q448" s="19"/>
      <c r="R448" s="19"/>
      <c r="S448" s="19"/>
      <c r="T448" s="19"/>
      <c r="U448" s="19"/>
      <c r="V448" s="19"/>
      <c r="W448" s="19"/>
      <c r="X448" s="19"/>
      <c r="Y448" s="19" t="s">
        <v>3160</v>
      </c>
      <c r="Z448" s="19" t="s">
        <v>3161</v>
      </c>
      <c r="AA448" s="19" t="s">
        <v>103</v>
      </c>
      <c r="AB448" s="19" t="s">
        <v>1347</v>
      </c>
      <c r="AC448" s="19" t="s">
        <v>1348</v>
      </c>
      <c r="AD448" s="19" t="s">
        <v>7168</v>
      </c>
      <c r="AE448" s="19" t="s">
        <v>7169</v>
      </c>
      <c r="AF448" s="19" t="s">
        <v>7170</v>
      </c>
      <c r="AG448" s="19" t="s">
        <v>7171</v>
      </c>
      <c r="AH448" s="19" t="s">
        <v>124</v>
      </c>
      <c r="AI448" s="19" t="s">
        <v>111</v>
      </c>
      <c r="AJ448" s="19" t="s">
        <v>7172</v>
      </c>
      <c r="AK448" s="19"/>
      <c r="AL448" s="19"/>
      <c r="AM448" s="19" t="s">
        <v>7173</v>
      </c>
      <c r="AN448" s="19" t="s">
        <v>7174</v>
      </c>
      <c r="AO448" s="19" t="s">
        <v>7082</v>
      </c>
      <c r="AP448" s="19" t="s">
        <v>7083</v>
      </c>
      <c r="AQ448" s="19" t="s">
        <v>117</v>
      </c>
      <c r="AR448" s="19" t="s">
        <v>7084</v>
      </c>
      <c r="AS448" s="19" t="s">
        <v>7083</v>
      </c>
      <c r="AT448" s="19" t="s">
        <v>7085</v>
      </c>
      <c r="AU448" s="19" t="s">
        <v>7086</v>
      </c>
      <c r="AV448" s="19" t="s">
        <v>7087</v>
      </c>
      <c r="AW448" s="19" t="s">
        <v>7088</v>
      </c>
      <c r="AX448" s="19" t="s">
        <v>1029</v>
      </c>
      <c r="AY448" s="19" t="s">
        <v>7089</v>
      </c>
      <c r="AZ448" s="19" t="s">
        <v>7090</v>
      </c>
      <c r="BA448" s="20">
        <v>34754</v>
      </c>
      <c r="BB448" s="19" t="s">
        <v>961</v>
      </c>
      <c r="BC448" s="19" t="s">
        <v>7175</v>
      </c>
      <c r="BD448" s="19" t="s">
        <v>7175</v>
      </c>
      <c r="BE448" s="19" t="s">
        <v>3180</v>
      </c>
      <c r="BF448" s="19" t="s">
        <v>7176</v>
      </c>
      <c r="BG448" s="19"/>
      <c r="BH448" s="19" t="s">
        <v>7177</v>
      </c>
      <c r="BI448" s="19" t="s">
        <v>7177</v>
      </c>
      <c r="BJ448" s="19" t="s">
        <v>1934</v>
      </c>
      <c r="BK448" s="19" t="s">
        <v>7178</v>
      </c>
      <c r="BL448" s="19" t="s">
        <v>7179</v>
      </c>
      <c r="BM448" s="19" t="s">
        <v>169</v>
      </c>
      <c r="BN448" s="21">
        <v>465.96</v>
      </c>
      <c r="BO448" s="21">
        <v>5064.9852000000001</v>
      </c>
      <c r="BQ448" s="2"/>
      <c r="BR448" s="2"/>
      <c r="BS448" s="2"/>
      <c r="BT448" s="2"/>
      <c r="BU448" s="22"/>
      <c r="BV448" s="2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</row>
    <row r="449" spans="1:95" x14ac:dyDescent="0.25">
      <c r="A449" s="18">
        <v>446</v>
      </c>
      <c r="B449" s="19" t="s">
        <v>7180</v>
      </c>
      <c r="C449" s="19" t="s">
        <v>7181</v>
      </c>
      <c r="D449" s="20">
        <v>46013</v>
      </c>
      <c r="E449" s="20">
        <v>36300</v>
      </c>
      <c r="F449" s="19"/>
      <c r="G449" s="19"/>
      <c r="H449" s="19" t="s">
        <v>94</v>
      </c>
      <c r="I449" s="19"/>
      <c r="J449" s="19"/>
      <c r="K449" s="19"/>
      <c r="L449" s="19" t="s">
        <v>140</v>
      </c>
      <c r="M449" s="19" t="s">
        <v>141</v>
      </c>
      <c r="N449" s="19" t="s">
        <v>7182</v>
      </c>
      <c r="O449" s="19" t="s">
        <v>100</v>
      </c>
      <c r="P449" s="19"/>
      <c r="Q449" s="19"/>
      <c r="R449" s="19"/>
      <c r="S449" s="19"/>
      <c r="T449" s="19"/>
      <c r="U449" s="19"/>
      <c r="V449" s="19"/>
      <c r="W449" s="19"/>
      <c r="X449" s="19"/>
      <c r="Y449" s="19" t="s">
        <v>101</v>
      </c>
      <c r="Z449" s="19" t="s">
        <v>102</v>
      </c>
      <c r="AA449" s="19" t="s">
        <v>103</v>
      </c>
      <c r="AB449" s="19" t="s">
        <v>173</v>
      </c>
      <c r="AC449" s="19" t="s">
        <v>174</v>
      </c>
      <c r="AD449" s="19" t="s">
        <v>7183</v>
      </c>
      <c r="AE449" s="19"/>
      <c r="AF449" s="19"/>
      <c r="AG449" s="19" t="s">
        <v>7184</v>
      </c>
      <c r="AH449" s="19" t="s">
        <v>124</v>
      </c>
      <c r="AI449" s="19" t="s">
        <v>111</v>
      </c>
      <c r="AJ449" s="19" t="s">
        <v>7185</v>
      </c>
      <c r="AK449" s="19"/>
      <c r="AL449" s="19"/>
      <c r="AM449" s="19" t="s">
        <v>7186</v>
      </c>
      <c r="AN449" s="19" t="s">
        <v>7187</v>
      </c>
      <c r="AO449" s="19" t="s">
        <v>181</v>
      </c>
      <c r="AP449" s="19" t="s">
        <v>182</v>
      </c>
      <c r="AQ449" s="19" t="s">
        <v>117</v>
      </c>
      <c r="AR449" s="19" t="s">
        <v>183</v>
      </c>
      <c r="AS449" s="19" t="s">
        <v>184</v>
      </c>
      <c r="AT449" s="19" t="s">
        <v>185</v>
      </c>
      <c r="AU449" s="19"/>
      <c r="AV449" s="19" t="s">
        <v>186</v>
      </c>
      <c r="AW449" s="19" t="s">
        <v>187</v>
      </c>
      <c r="AX449" s="19" t="s">
        <v>188</v>
      </c>
      <c r="AY449" s="19"/>
      <c r="AZ449" s="19" t="s">
        <v>189</v>
      </c>
      <c r="BA449" s="20">
        <v>44673</v>
      </c>
      <c r="BB449" s="19" t="s">
        <v>161</v>
      </c>
      <c r="BC449" s="19" t="s">
        <v>7188</v>
      </c>
      <c r="BD449" s="19" t="s">
        <v>219</v>
      </c>
      <c r="BE449" s="19" t="s">
        <v>130</v>
      </c>
      <c r="BF449" s="19" t="s">
        <v>7189</v>
      </c>
      <c r="BG449" s="19"/>
      <c r="BH449" s="19" t="s">
        <v>7190</v>
      </c>
      <c r="BI449" s="19" t="s">
        <v>7190</v>
      </c>
      <c r="BJ449" s="19" t="s">
        <v>194</v>
      </c>
      <c r="BK449" s="19" t="s">
        <v>195</v>
      </c>
      <c r="BL449" s="19" t="s">
        <v>122</v>
      </c>
      <c r="BM449" s="19" t="s">
        <v>196</v>
      </c>
      <c r="BN449" s="21">
        <v>3.0529999999999999</v>
      </c>
      <c r="BO449" s="21">
        <v>108.1500826</v>
      </c>
      <c r="BQ449" s="2"/>
      <c r="BR449" s="2"/>
      <c r="BS449" s="2"/>
      <c r="BT449" s="2"/>
      <c r="BU449" s="22"/>
      <c r="BV449" s="2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</row>
    <row r="450" spans="1:95" x14ac:dyDescent="0.25">
      <c r="A450" s="18">
        <v>447</v>
      </c>
      <c r="B450" s="19" t="s">
        <v>7191</v>
      </c>
      <c r="C450" s="19" t="s">
        <v>7192</v>
      </c>
      <c r="D450" s="20">
        <v>46010</v>
      </c>
      <c r="E450" s="20">
        <v>37496</v>
      </c>
      <c r="F450" s="19"/>
      <c r="G450" s="19"/>
      <c r="H450" s="19" t="s">
        <v>94</v>
      </c>
      <c r="I450" s="19"/>
      <c r="J450" s="19"/>
      <c r="K450" s="19"/>
      <c r="L450" s="19" t="s">
        <v>101</v>
      </c>
      <c r="M450" s="19" t="s">
        <v>290</v>
      </c>
      <c r="N450" s="19" t="s">
        <v>7193</v>
      </c>
      <c r="O450" s="19" t="s">
        <v>100</v>
      </c>
      <c r="P450" s="19"/>
      <c r="Q450" s="19"/>
      <c r="R450" s="19"/>
      <c r="S450" s="19"/>
      <c r="T450" s="19"/>
      <c r="U450" s="19"/>
      <c r="V450" s="19"/>
      <c r="W450" s="19"/>
      <c r="X450" s="19"/>
      <c r="Y450" s="19" t="s">
        <v>101</v>
      </c>
      <c r="Z450" s="19" t="s">
        <v>102</v>
      </c>
      <c r="AA450" s="19" t="s">
        <v>103</v>
      </c>
      <c r="AB450" s="19" t="s">
        <v>173</v>
      </c>
      <c r="AC450" s="19" t="s">
        <v>174</v>
      </c>
      <c r="AD450" s="19" t="s">
        <v>7194</v>
      </c>
      <c r="AE450" s="19" t="s">
        <v>7195</v>
      </c>
      <c r="AF450" s="19" t="s">
        <v>358</v>
      </c>
      <c r="AG450" s="19" t="s">
        <v>5383</v>
      </c>
      <c r="AH450" s="19" t="s">
        <v>188</v>
      </c>
      <c r="AI450" s="19" t="s">
        <v>111</v>
      </c>
      <c r="AJ450" s="19" t="s">
        <v>2480</v>
      </c>
      <c r="AK450" s="19"/>
      <c r="AL450" s="19"/>
      <c r="AM450" s="19" t="s">
        <v>7196</v>
      </c>
      <c r="AN450" s="19" t="s">
        <v>7197</v>
      </c>
      <c r="AO450" s="19" t="s">
        <v>181</v>
      </c>
      <c r="AP450" s="19" t="s">
        <v>182</v>
      </c>
      <c r="AQ450" s="19" t="s">
        <v>117</v>
      </c>
      <c r="AR450" s="19" t="s">
        <v>183</v>
      </c>
      <c r="AS450" s="19" t="s">
        <v>184</v>
      </c>
      <c r="AT450" s="19" t="s">
        <v>185</v>
      </c>
      <c r="AU450" s="19"/>
      <c r="AV450" s="19" t="s">
        <v>186</v>
      </c>
      <c r="AW450" s="19" t="s">
        <v>187</v>
      </c>
      <c r="AX450" s="19" t="s">
        <v>188</v>
      </c>
      <c r="AY450" s="19"/>
      <c r="AZ450" s="19" t="s">
        <v>189</v>
      </c>
      <c r="BA450" s="20">
        <v>44673</v>
      </c>
      <c r="BB450" s="19" t="s">
        <v>161</v>
      </c>
      <c r="BC450" s="19" t="s">
        <v>7198</v>
      </c>
      <c r="BD450" s="19" t="s">
        <v>365</v>
      </c>
      <c r="BE450" s="19" t="s">
        <v>130</v>
      </c>
      <c r="BF450" s="19" t="s">
        <v>7199</v>
      </c>
      <c r="BG450" s="19"/>
      <c r="BH450" s="19" t="s">
        <v>7200</v>
      </c>
      <c r="BI450" s="19" t="s">
        <v>7200</v>
      </c>
      <c r="BJ450" s="19" t="s">
        <v>194</v>
      </c>
      <c r="BK450" s="19" t="s">
        <v>195</v>
      </c>
      <c r="BL450" s="19" t="s">
        <v>122</v>
      </c>
      <c r="BM450" s="19" t="s">
        <v>196</v>
      </c>
      <c r="BN450" s="21">
        <v>3.177</v>
      </c>
      <c r="BO450" s="21">
        <v>112.5426834</v>
      </c>
      <c r="BQ450" s="2"/>
      <c r="BR450" s="2"/>
      <c r="BS450" s="2"/>
      <c r="BT450" s="2"/>
      <c r="BU450" s="22"/>
      <c r="BV450" s="2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</row>
    <row r="451" spans="1:95" x14ac:dyDescent="0.25">
      <c r="A451" s="18">
        <v>448</v>
      </c>
      <c r="B451" s="19" t="s">
        <v>7201</v>
      </c>
      <c r="C451" s="19" t="s">
        <v>7202</v>
      </c>
      <c r="D451" s="20">
        <v>46013</v>
      </c>
      <c r="E451" s="20">
        <v>35998</v>
      </c>
      <c r="F451" s="19"/>
      <c r="G451" s="19"/>
      <c r="H451" s="19" t="s">
        <v>94</v>
      </c>
      <c r="I451" s="19"/>
      <c r="J451" s="19"/>
      <c r="K451" s="19"/>
      <c r="L451" s="19" t="s">
        <v>140</v>
      </c>
      <c r="M451" s="19" t="s">
        <v>141</v>
      </c>
      <c r="N451" s="19" t="s">
        <v>7203</v>
      </c>
      <c r="O451" s="19" t="s">
        <v>100</v>
      </c>
      <c r="P451" s="19"/>
      <c r="Q451" s="19"/>
      <c r="R451" s="19"/>
      <c r="S451" s="19"/>
      <c r="T451" s="19"/>
      <c r="U451" s="19"/>
      <c r="V451" s="19"/>
      <c r="W451" s="19"/>
      <c r="X451" s="19"/>
      <c r="Y451" s="19" t="s">
        <v>101</v>
      </c>
      <c r="Z451" s="19" t="s">
        <v>102</v>
      </c>
      <c r="AA451" s="19" t="s">
        <v>103</v>
      </c>
      <c r="AB451" s="19" t="s">
        <v>173</v>
      </c>
      <c r="AC451" s="19" t="s">
        <v>174</v>
      </c>
      <c r="AD451" s="19" t="s">
        <v>7204</v>
      </c>
      <c r="AE451" s="19" t="s">
        <v>7205</v>
      </c>
      <c r="AF451" s="19" t="s">
        <v>1187</v>
      </c>
      <c r="AG451" s="19" t="s">
        <v>3869</v>
      </c>
      <c r="AH451" s="19" t="s">
        <v>327</v>
      </c>
      <c r="AI451" s="19" t="s">
        <v>111</v>
      </c>
      <c r="AJ451" s="19" t="s">
        <v>7206</v>
      </c>
      <c r="AK451" s="19"/>
      <c r="AL451" s="19"/>
      <c r="AM451" s="19" t="s">
        <v>7207</v>
      </c>
      <c r="AN451" s="19" t="s">
        <v>7208</v>
      </c>
      <c r="AO451" s="19" t="s">
        <v>181</v>
      </c>
      <c r="AP451" s="19" t="s">
        <v>182</v>
      </c>
      <c r="AQ451" s="19" t="s">
        <v>117</v>
      </c>
      <c r="AR451" s="19" t="s">
        <v>183</v>
      </c>
      <c r="AS451" s="19" t="s">
        <v>184</v>
      </c>
      <c r="AT451" s="19" t="s">
        <v>185</v>
      </c>
      <c r="AU451" s="19"/>
      <c r="AV451" s="19" t="s">
        <v>186</v>
      </c>
      <c r="AW451" s="19" t="s">
        <v>187</v>
      </c>
      <c r="AX451" s="19" t="s">
        <v>188</v>
      </c>
      <c r="AY451" s="19"/>
      <c r="AZ451" s="19" t="s">
        <v>189</v>
      </c>
      <c r="BA451" s="20">
        <v>44673</v>
      </c>
      <c r="BB451" s="19" t="s">
        <v>2783</v>
      </c>
      <c r="BC451" s="19" t="s">
        <v>2784</v>
      </c>
      <c r="BD451" s="19" t="s">
        <v>2785</v>
      </c>
      <c r="BE451" s="19" t="s">
        <v>130</v>
      </c>
      <c r="BF451" s="19" t="s">
        <v>7209</v>
      </c>
      <c r="BG451" s="19"/>
      <c r="BH451" s="19" t="s">
        <v>2787</v>
      </c>
      <c r="BI451" s="19" t="s">
        <v>2787</v>
      </c>
      <c r="BJ451" s="19" t="s">
        <v>194</v>
      </c>
      <c r="BK451" s="19" t="s">
        <v>195</v>
      </c>
      <c r="BL451" s="19" t="s">
        <v>122</v>
      </c>
      <c r="BM451" s="19" t="s">
        <v>196</v>
      </c>
      <c r="BN451" s="21">
        <v>14.393000000000001</v>
      </c>
      <c r="BO451" s="21">
        <v>509.8605106</v>
      </c>
      <c r="BQ451" s="2"/>
      <c r="BR451" s="2"/>
      <c r="BS451" s="2"/>
      <c r="BT451" s="2"/>
      <c r="BU451" s="22"/>
      <c r="BV451" s="2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</row>
    <row r="452" spans="1:95" x14ac:dyDescent="0.25">
      <c r="A452" s="18">
        <v>449</v>
      </c>
      <c r="B452" s="19" t="s">
        <v>7210</v>
      </c>
      <c r="C452" s="19" t="s">
        <v>7211</v>
      </c>
      <c r="D452" s="20">
        <v>46020</v>
      </c>
      <c r="E452" s="20">
        <v>45239</v>
      </c>
      <c r="F452" s="19" t="s">
        <v>7212</v>
      </c>
      <c r="G452" s="19" t="s">
        <v>139</v>
      </c>
      <c r="H452" s="19" t="s">
        <v>94</v>
      </c>
      <c r="I452" s="19"/>
      <c r="J452" s="19"/>
      <c r="K452" s="19"/>
      <c r="L452" s="19" t="s">
        <v>1262</v>
      </c>
      <c r="M452" s="19" t="s">
        <v>1263</v>
      </c>
      <c r="N452" s="19" t="s">
        <v>7213</v>
      </c>
      <c r="O452" s="19"/>
      <c r="P452" s="19" t="s">
        <v>7214</v>
      </c>
      <c r="Q452" s="19" t="s">
        <v>7215</v>
      </c>
      <c r="R452" s="19"/>
      <c r="S452" s="19"/>
      <c r="T452" s="19"/>
      <c r="U452" s="19"/>
      <c r="V452" s="19"/>
      <c r="W452" s="19"/>
      <c r="X452" s="19"/>
      <c r="Y452" s="19" t="s">
        <v>244</v>
      </c>
      <c r="Z452" s="19" t="s">
        <v>1371</v>
      </c>
      <c r="AA452" s="19" t="s">
        <v>103</v>
      </c>
      <c r="AB452" s="19" t="s">
        <v>2051</v>
      </c>
      <c r="AC452" s="19" t="s">
        <v>2052</v>
      </c>
      <c r="AD452" s="19" t="s">
        <v>7216</v>
      </c>
      <c r="AE452" s="19" t="s">
        <v>7217</v>
      </c>
      <c r="AF452" s="19"/>
      <c r="AG452" s="19" t="s">
        <v>7218</v>
      </c>
      <c r="AH452" s="19" t="s">
        <v>2860</v>
      </c>
      <c r="AI452" s="19" t="s">
        <v>111</v>
      </c>
      <c r="AJ452" s="19" t="s">
        <v>7219</v>
      </c>
      <c r="AK452" s="19"/>
      <c r="AL452" s="19"/>
      <c r="AM452" s="19" t="s">
        <v>7220</v>
      </c>
      <c r="AN452" s="19" t="s">
        <v>7221</v>
      </c>
      <c r="AO452" s="19" t="s">
        <v>476</v>
      </c>
      <c r="AP452" s="19" t="s">
        <v>477</v>
      </c>
      <c r="AQ452" s="19" t="s">
        <v>117</v>
      </c>
      <c r="AR452" s="19" t="s">
        <v>478</v>
      </c>
      <c r="AS452" s="19"/>
      <c r="AT452" s="19"/>
      <c r="AU452" s="19"/>
      <c r="AV452" s="19"/>
      <c r="AW452" s="19"/>
      <c r="AX452" s="19"/>
      <c r="AY452" s="19"/>
      <c r="AZ452" s="19"/>
      <c r="BA452" s="20">
        <v>44452</v>
      </c>
      <c r="BB452" s="19" t="s">
        <v>5747</v>
      </c>
      <c r="BC452" s="19" t="s">
        <v>7222</v>
      </c>
      <c r="BD452" s="19" t="s">
        <v>1770</v>
      </c>
      <c r="BE452" s="19" t="s">
        <v>130</v>
      </c>
      <c r="BF452" s="19" t="s">
        <v>7223</v>
      </c>
      <c r="BG452" s="19"/>
      <c r="BH452" s="19" t="s">
        <v>7224</v>
      </c>
      <c r="BI452" s="19" t="s">
        <v>7224</v>
      </c>
      <c r="BJ452" s="19" t="s">
        <v>166</v>
      </c>
      <c r="BK452" s="19" t="s">
        <v>167</v>
      </c>
      <c r="BL452" s="19" t="s">
        <v>168</v>
      </c>
      <c r="BM452" s="19" t="s">
        <v>169</v>
      </c>
      <c r="BN452" s="21">
        <v>9050.3860000000004</v>
      </c>
      <c r="BO452" s="21">
        <v>100237.550143</v>
      </c>
      <c r="BQ452" s="2"/>
      <c r="BR452" s="2"/>
      <c r="BS452" s="2"/>
      <c r="BT452" s="2"/>
      <c r="BU452" s="22"/>
      <c r="BV452" s="2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</row>
    <row r="453" spans="1:95" x14ac:dyDescent="0.25">
      <c r="A453" s="18">
        <v>450</v>
      </c>
      <c r="B453" s="19" t="s">
        <v>7225</v>
      </c>
      <c r="C453" s="19" t="s">
        <v>7226</v>
      </c>
      <c r="D453" s="20">
        <v>46003</v>
      </c>
      <c r="E453" s="20">
        <v>35297</v>
      </c>
      <c r="F453" s="19"/>
      <c r="G453" s="19"/>
      <c r="H453" s="19" t="s">
        <v>94</v>
      </c>
      <c r="I453" s="19"/>
      <c r="J453" s="19"/>
      <c r="K453" s="19"/>
      <c r="L453" s="19" t="s">
        <v>140</v>
      </c>
      <c r="M453" s="19" t="s">
        <v>141</v>
      </c>
      <c r="N453" s="19" t="s">
        <v>7227</v>
      </c>
      <c r="O453" s="19" t="s">
        <v>100</v>
      </c>
      <c r="P453" s="19"/>
      <c r="Q453" s="19"/>
      <c r="R453" s="19"/>
      <c r="S453" s="19"/>
      <c r="T453" s="19"/>
      <c r="U453" s="19"/>
      <c r="V453" s="19"/>
      <c r="W453" s="19"/>
      <c r="X453" s="19"/>
      <c r="Y453" s="19" t="s">
        <v>101</v>
      </c>
      <c r="Z453" s="19" t="s">
        <v>102</v>
      </c>
      <c r="AA453" s="19" t="s">
        <v>103</v>
      </c>
      <c r="AB453" s="19" t="s">
        <v>1372</v>
      </c>
      <c r="AC453" s="19" t="s">
        <v>1373</v>
      </c>
      <c r="AD453" s="19" t="s">
        <v>7228</v>
      </c>
      <c r="AE453" s="19" t="s">
        <v>7229</v>
      </c>
      <c r="AF453" s="19"/>
      <c r="AG453" s="19" t="s">
        <v>7230</v>
      </c>
      <c r="AH453" s="19" t="s">
        <v>942</v>
      </c>
      <c r="AI453" s="19" t="s">
        <v>111</v>
      </c>
      <c r="AJ453" s="19" t="s">
        <v>7231</v>
      </c>
      <c r="AK453" s="19"/>
      <c r="AL453" s="19"/>
      <c r="AM453" s="19" t="s">
        <v>7232</v>
      </c>
      <c r="AN453" s="19" t="s">
        <v>7233</v>
      </c>
      <c r="AO453" s="19" t="s">
        <v>7234</v>
      </c>
      <c r="AP453" s="19" t="s">
        <v>7235</v>
      </c>
      <c r="AQ453" s="19" t="s">
        <v>117</v>
      </c>
      <c r="AR453" s="19" t="s">
        <v>7236</v>
      </c>
      <c r="AS453" s="19" t="s">
        <v>7237</v>
      </c>
      <c r="AT453" s="19" t="s">
        <v>7238</v>
      </c>
      <c r="AU453" s="19"/>
      <c r="AV453" s="19" t="s">
        <v>7239</v>
      </c>
      <c r="AW453" s="19" t="s">
        <v>7240</v>
      </c>
      <c r="AX453" s="19" t="s">
        <v>6298</v>
      </c>
      <c r="AY453" s="19" t="s">
        <v>7241</v>
      </c>
      <c r="AZ453" s="19" t="s">
        <v>7242</v>
      </c>
      <c r="BA453" s="20">
        <v>41697</v>
      </c>
      <c r="BB453" s="19" t="s">
        <v>460</v>
      </c>
      <c r="BC453" s="19" t="s">
        <v>7243</v>
      </c>
      <c r="BD453" s="19" t="s">
        <v>7244</v>
      </c>
      <c r="BE453" s="19" t="s">
        <v>130</v>
      </c>
      <c r="BF453" s="19" t="s">
        <v>7245</v>
      </c>
      <c r="BG453" s="19"/>
      <c r="BH453" s="19" t="s">
        <v>7246</v>
      </c>
      <c r="BI453" s="19" t="s">
        <v>7246</v>
      </c>
      <c r="BJ453" s="19" t="s">
        <v>194</v>
      </c>
      <c r="BK453" s="19" t="s">
        <v>591</v>
      </c>
      <c r="BL453" s="19" t="s">
        <v>122</v>
      </c>
      <c r="BM453" s="19" t="s">
        <v>592</v>
      </c>
      <c r="BN453" s="21">
        <v>1070.27</v>
      </c>
      <c r="BO453" s="21">
        <v>41417.522513999997</v>
      </c>
      <c r="BQ453" s="2"/>
      <c r="BR453" s="2"/>
      <c r="BS453" s="2"/>
      <c r="BT453" s="2"/>
      <c r="BU453" s="22"/>
      <c r="BV453" s="2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</row>
    <row r="454" spans="1:95" x14ac:dyDescent="0.25">
      <c r="A454" s="18">
        <v>451</v>
      </c>
      <c r="B454" s="19" t="s">
        <v>7247</v>
      </c>
      <c r="C454" s="19" t="s">
        <v>7248</v>
      </c>
      <c r="D454" s="20">
        <v>45992</v>
      </c>
      <c r="E454" s="20">
        <v>32113</v>
      </c>
      <c r="F454" s="19"/>
      <c r="G454" s="19"/>
      <c r="H454" s="19" t="s">
        <v>94</v>
      </c>
      <c r="I454" s="19"/>
      <c r="J454" s="19"/>
      <c r="K454" s="19"/>
      <c r="L454" s="19" t="s">
        <v>101</v>
      </c>
      <c r="M454" s="19" t="s">
        <v>290</v>
      </c>
      <c r="N454" s="19" t="s">
        <v>7249</v>
      </c>
      <c r="O454" s="19" t="s">
        <v>100</v>
      </c>
      <c r="P454" s="19"/>
      <c r="Q454" s="19"/>
      <c r="R454" s="19"/>
      <c r="S454" s="19"/>
      <c r="T454" s="19"/>
      <c r="U454" s="19"/>
      <c r="V454" s="19"/>
      <c r="W454" s="19"/>
      <c r="X454" s="19"/>
      <c r="Y454" s="19" t="s">
        <v>101</v>
      </c>
      <c r="Z454" s="19" t="s">
        <v>102</v>
      </c>
      <c r="AA454" s="19" t="s">
        <v>103</v>
      </c>
      <c r="AB454" s="19" t="s">
        <v>402</v>
      </c>
      <c r="AC454" s="19" t="s">
        <v>403</v>
      </c>
      <c r="AD454" s="19" t="s">
        <v>7250</v>
      </c>
      <c r="AE454" s="19" t="s">
        <v>7251</v>
      </c>
      <c r="AF454" s="19" t="s">
        <v>111</v>
      </c>
      <c r="AG454" s="19" t="s">
        <v>214</v>
      </c>
      <c r="AH454" s="19" t="s">
        <v>149</v>
      </c>
      <c r="AI454" s="19" t="s">
        <v>111</v>
      </c>
      <c r="AJ454" s="19" t="s">
        <v>7252</v>
      </c>
      <c r="AK454" s="19"/>
      <c r="AL454" s="19"/>
      <c r="AM454" s="19" t="s">
        <v>7253</v>
      </c>
      <c r="AN454" s="19" t="s">
        <v>7254</v>
      </c>
      <c r="AO454" s="19" t="s">
        <v>208</v>
      </c>
      <c r="AP454" s="19" t="s">
        <v>209</v>
      </c>
      <c r="AQ454" s="19" t="s">
        <v>117</v>
      </c>
      <c r="AR454" s="19" t="s">
        <v>210</v>
      </c>
      <c r="AS454" s="19" t="s">
        <v>211</v>
      </c>
      <c r="AT454" s="19" t="s">
        <v>212</v>
      </c>
      <c r="AU454" s="19" t="s">
        <v>213</v>
      </c>
      <c r="AV454" s="19" t="s">
        <v>214</v>
      </c>
      <c r="AW454" s="19" t="s">
        <v>215</v>
      </c>
      <c r="AX454" s="19" t="s">
        <v>149</v>
      </c>
      <c r="AY454" s="19" t="s">
        <v>216</v>
      </c>
      <c r="AZ454" s="19" t="s">
        <v>217</v>
      </c>
      <c r="BA454" s="20">
        <v>35521</v>
      </c>
      <c r="BB454" s="19" t="s">
        <v>312</v>
      </c>
      <c r="BC454" s="19" t="s">
        <v>7255</v>
      </c>
      <c r="BD454" s="19" t="s">
        <v>3226</v>
      </c>
      <c r="BE454" s="19" t="s">
        <v>130</v>
      </c>
      <c r="BF454" s="19" t="s">
        <v>7256</v>
      </c>
      <c r="BG454" s="19"/>
      <c r="BH454" s="19" t="s">
        <v>7257</v>
      </c>
      <c r="BI454" s="19" t="s">
        <v>7257</v>
      </c>
      <c r="BJ454" s="19" t="s">
        <v>194</v>
      </c>
      <c r="BK454" s="19" t="s">
        <v>3715</v>
      </c>
      <c r="BL454" s="19" t="s">
        <v>122</v>
      </c>
      <c r="BM454" s="19" t="s">
        <v>196</v>
      </c>
      <c r="BN454" s="21">
        <v>4.3739999999999997</v>
      </c>
      <c r="BO454" s="21">
        <v>8281.4254199999996</v>
      </c>
      <c r="BQ454" s="2"/>
      <c r="BR454" s="2"/>
      <c r="BS454" s="2"/>
      <c r="BT454" s="2"/>
      <c r="BU454" s="22"/>
      <c r="BV454" s="2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</row>
    <row r="455" spans="1:95" x14ac:dyDescent="0.25">
      <c r="A455" s="18">
        <v>452</v>
      </c>
      <c r="B455" s="19" t="s">
        <v>7258</v>
      </c>
      <c r="C455" s="19" t="s">
        <v>7259</v>
      </c>
      <c r="D455" s="20">
        <v>46014</v>
      </c>
      <c r="E455" s="20">
        <v>29456</v>
      </c>
      <c r="F455" s="19"/>
      <c r="G455" s="19"/>
      <c r="H455" s="19" t="s">
        <v>94</v>
      </c>
      <c r="I455" s="19"/>
      <c r="J455" s="19"/>
      <c r="K455" s="19"/>
      <c r="L455" s="19" t="s">
        <v>244</v>
      </c>
      <c r="M455" s="19" t="s">
        <v>245</v>
      </c>
      <c r="N455" s="19" t="s">
        <v>7260</v>
      </c>
      <c r="O455" s="19" t="s">
        <v>100</v>
      </c>
      <c r="P455" s="19"/>
      <c r="Q455" s="19"/>
      <c r="R455" s="19"/>
      <c r="S455" s="19"/>
      <c r="T455" s="19"/>
      <c r="U455" s="19"/>
      <c r="V455" s="19"/>
      <c r="W455" s="19"/>
      <c r="X455" s="19"/>
      <c r="Y455" s="19" t="s">
        <v>101</v>
      </c>
      <c r="Z455" s="19" t="s">
        <v>102</v>
      </c>
      <c r="AA455" s="19" t="s">
        <v>103</v>
      </c>
      <c r="AB455" s="19" t="s">
        <v>402</v>
      </c>
      <c r="AC455" s="19" t="s">
        <v>403</v>
      </c>
      <c r="AD455" s="19" t="s">
        <v>7261</v>
      </c>
      <c r="AE455" s="19" t="s">
        <v>7262</v>
      </c>
      <c r="AF455" s="19"/>
      <c r="AG455" s="19" t="s">
        <v>481</v>
      </c>
      <c r="AH455" s="19" t="s">
        <v>707</v>
      </c>
      <c r="AI455" s="19" t="s">
        <v>111</v>
      </c>
      <c r="AJ455" s="19" t="s">
        <v>7263</v>
      </c>
      <c r="AK455" s="19"/>
      <c r="AL455" s="19"/>
      <c r="AM455" s="19" t="s">
        <v>7264</v>
      </c>
      <c r="AN455" s="19" t="s">
        <v>7265</v>
      </c>
      <c r="AO455" s="19" t="s">
        <v>7266</v>
      </c>
      <c r="AP455" s="19" t="s">
        <v>7267</v>
      </c>
      <c r="AQ455" s="19" t="s">
        <v>117</v>
      </c>
      <c r="AR455" s="19" t="s">
        <v>7268</v>
      </c>
      <c r="AS455" s="19" t="s">
        <v>7269</v>
      </c>
      <c r="AT455" s="19" t="s">
        <v>7270</v>
      </c>
      <c r="AU455" s="19"/>
      <c r="AV455" s="19" t="s">
        <v>3150</v>
      </c>
      <c r="AW455" s="19" t="s">
        <v>7271</v>
      </c>
      <c r="AX455" s="19" t="s">
        <v>707</v>
      </c>
      <c r="AY455" s="19" t="s">
        <v>7272</v>
      </c>
      <c r="AZ455" s="19" t="s">
        <v>7273</v>
      </c>
      <c r="BA455" s="20">
        <v>42345</v>
      </c>
      <c r="BB455" s="19" t="s">
        <v>331</v>
      </c>
      <c r="BC455" s="19" t="s">
        <v>7274</v>
      </c>
      <c r="BD455" s="19" t="s">
        <v>365</v>
      </c>
      <c r="BE455" s="19" t="s">
        <v>130</v>
      </c>
      <c r="BF455" s="19" t="s">
        <v>7275</v>
      </c>
      <c r="BG455" s="19" t="s">
        <v>7276</v>
      </c>
      <c r="BH455" s="19" t="s">
        <v>7277</v>
      </c>
      <c r="BI455" s="19" t="s">
        <v>7277</v>
      </c>
      <c r="BJ455" s="19" t="s">
        <v>1259</v>
      </c>
      <c r="BK455" s="19" t="s">
        <v>221</v>
      </c>
      <c r="BL455" s="19" t="s">
        <v>222</v>
      </c>
      <c r="BM455" s="19" t="s">
        <v>169</v>
      </c>
      <c r="BN455" s="21">
        <v>1.3169999999999999</v>
      </c>
      <c r="BO455" s="21">
        <v>2493.5156099999999</v>
      </c>
      <c r="BQ455" s="2"/>
      <c r="BR455" s="2"/>
      <c r="BS455" s="2"/>
      <c r="BT455" s="2"/>
      <c r="BU455" s="22"/>
      <c r="BV455" s="2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</row>
    <row r="456" spans="1:95" x14ac:dyDescent="0.25">
      <c r="A456" s="18">
        <v>453</v>
      </c>
      <c r="B456" s="19" t="s">
        <v>7278</v>
      </c>
      <c r="C456" s="19" t="s">
        <v>7279</v>
      </c>
      <c r="D456" s="20">
        <v>46014</v>
      </c>
      <c r="E456" s="20">
        <v>28594</v>
      </c>
      <c r="F456" s="19"/>
      <c r="G456" s="19"/>
      <c r="H456" s="19" t="s">
        <v>94</v>
      </c>
      <c r="I456" s="19"/>
      <c r="J456" s="19" t="s">
        <v>7280</v>
      </c>
      <c r="K456" s="19" t="s">
        <v>7281</v>
      </c>
      <c r="L456" s="19" t="s">
        <v>97</v>
      </c>
      <c r="M456" s="19" t="s">
        <v>98</v>
      </c>
      <c r="N456" s="19" t="s">
        <v>7282</v>
      </c>
      <c r="O456" s="19" t="s">
        <v>100</v>
      </c>
      <c r="P456" s="19"/>
      <c r="Q456" s="19"/>
      <c r="R456" s="19"/>
      <c r="S456" s="19"/>
      <c r="T456" s="19"/>
      <c r="U456" s="19"/>
      <c r="V456" s="19"/>
      <c r="W456" s="19"/>
      <c r="X456" s="19"/>
      <c r="Y456" s="19" t="s">
        <v>1279</v>
      </c>
      <c r="Z456" s="19" t="s">
        <v>1280</v>
      </c>
      <c r="AA456" s="19" t="s">
        <v>103</v>
      </c>
      <c r="AB456" s="19" t="s">
        <v>247</v>
      </c>
      <c r="AC456" s="19" t="s">
        <v>248</v>
      </c>
      <c r="AD456" s="19" t="s">
        <v>7283</v>
      </c>
      <c r="AE456" s="19" t="s">
        <v>7284</v>
      </c>
      <c r="AF456" s="19"/>
      <c r="AG456" s="19" t="s">
        <v>7285</v>
      </c>
      <c r="AH456" s="19"/>
      <c r="AI456" s="19" t="s">
        <v>1283</v>
      </c>
      <c r="AJ456" s="19" t="s">
        <v>7286</v>
      </c>
      <c r="AK456" s="19"/>
      <c r="AL456" s="19"/>
      <c r="AM456" s="19" t="s">
        <v>7287</v>
      </c>
      <c r="AN456" s="19" t="s">
        <v>7288</v>
      </c>
      <c r="AO456" s="19" t="s">
        <v>1077</v>
      </c>
      <c r="AP456" s="19" t="s">
        <v>1077</v>
      </c>
      <c r="AQ456" s="19" t="s">
        <v>117</v>
      </c>
      <c r="AR456" s="19"/>
      <c r="AS456" s="19" t="s">
        <v>1078</v>
      </c>
      <c r="AT456" s="19"/>
      <c r="AU456" s="19"/>
      <c r="AV456" s="19"/>
      <c r="AW456" s="19" t="s">
        <v>1079</v>
      </c>
      <c r="AX456" s="19"/>
      <c r="AY456" s="19"/>
      <c r="AZ456" s="19"/>
      <c r="BA456" s="20">
        <v>38627</v>
      </c>
      <c r="BB456" s="19" t="s">
        <v>127</v>
      </c>
      <c r="BC456" s="19" t="s">
        <v>1286</v>
      </c>
      <c r="BD456" s="19" t="s">
        <v>219</v>
      </c>
      <c r="BE456" s="19" t="s">
        <v>1287</v>
      </c>
      <c r="BF456" s="19" t="s">
        <v>7289</v>
      </c>
      <c r="BG456" s="19"/>
      <c r="BH456" s="19" t="s">
        <v>1289</v>
      </c>
      <c r="BI456" s="19" t="s">
        <v>1289</v>
      </c>
      <c r="BJ456" s="19" t="s">
        <v>133</v>
      </c>
      <c r="BK456" s="19" t="s">
        <v>785</v>
      </c>
      <c r="BL456" s="19" t="s">
        <v>122</v>
      </c>
      <c r="BM456" s="19" t="s">
        <v>196</v>
      </c>
      <c r="BN456" s="21">
        <v>9135.4969999999994</v>
      </c>
      <c r="BO456" s="21">
        <v>4006028.7146628001</v>
      </c>
      <c r="BQ456" s="2"/>
      <c r="BR456" s="2"/>
      <c r="BS456" s="2"/>
      <c r="BT456" s="2"/>
      <c r="BU456" s="22"/>
      <c r="BV456" s="2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</row>
    <row r="457" spans="1:95" x14ac:dyDescent="0.25">
      <c r="A457" s="18">
        <v>454</v>
      </c>
      <c r="B457" s="19" t="s">
        <v>7290</v>
      </c>
      <c r="C457" s="19" t="s">
        <v>7291</v>
      </c>
      <c r="D457" s="20">
        <v>46015</v>
      </c>
      <c r="E457" s="20">
        <v>25452</v>
      </c>
      <c r="F457" s="19"/>
      <c r="G457" s="19"/>
      <c r="H457" s="19" t="s">
        <v>94</v>
      </c>
      <c r="I457" s="19"/>
      <c r="J457" s="19"/>
      <c r="K457" s="19"/>
      <c r="L457" s="19"/>
      <c r="M457" s="19"/>
      <c r="N457" s="19" t="s">
        <v>7292</v>
      </c>
      <c r="O457" s="19" t="s">
        <v>100</v>
      </c>
      <c r="P457" s="19"/>
      <c r="Q457" s="19"/>
      <c r="R457" s="19"/>
      <c r="S457" s="19"/>
      <c r="T457" s="19"/>
      <c r="U457" s="19"/>
      <c r="V457" s="19"/>
      <c r="W457" s="19"/>
      <c r="X457" s="19"/>
      <c r="Y457" s="19" t="s">
        <v>101</v>
      </c>
      <c r="Z457" s="19" t="s">
        <v>102</v>
      </c>
      <c r="AA457" s="19" t="s">
        <v>103</v>
      </c>
      <c r="AB457" s="19" t="s">
        <v>984</v>
      </c>
      <c r="AC457" s="19" t="s">
        <v>985</v>
      </c>
      <c r="AD457" s="19" t="s">
        <v>7293</v>
      </c>
      <c r="AE457" s="19" t="s">
        <v>7294</v>
      </c>
      <c r="AF457" s="19" t="s">
        <v>7295</v>
      </c>
      <c r="AG457" s="19" t="s">
        <v>6840</v>
      </c>
      <c r="AH457" s="19" t="s">
        <v>124</v>
      </c>
      <c r="AI457" s="19" t="s">
        <v>111</v>
      </c>
      <c r="AJ457" s="19" t="s">
        <v>7296</v>
      </c>
      <c r="AK457" s="19"/>
      <c r="AL457" s="19"/>
      <c r="AM457" s="19" t="s">
        <v>7297</v>
      </c>
      <c r="AN457" s="19" t="s">
        <v>7298</v>
      </c>
      <c r="AO457" s="19" t="s">
        <v>7299</v>
      </c>
      <c r="AP457" s="19" t="s">
        <v>7300</v>
      </c>
      <c r="AQ457" s="19" t="s">
        <v>117</v>
      </c>
      <c r="AR457" s="19" t="s">
        <v>7301</v>
      </c>
      <c r="AS457" s="19" t="s">
        <v>7302</v>
      </c>
      <c r="AT457" s="19" t="s">
        <v>7303</v>
      </c>
      <c r="AU457" s="19" t="s">
        <v>7304</v>
      </c>
      <c r="AV457" s="19" t="s">
        <v>7305</v>
      </c>
      <c r="AW457" s="19" t="s">
        <v>7306</v>
      </c>
      <c r="AX457" s="19" t="s">
        <v>124</v>
      </c>
      <c r="AY457" s="19" t="s">
        <v>7307</v>
      </c>
      <c r="AZ457" s="19" t="s">
        <v>7308</v>
      </c>
      <c r="BA457" s="20">
        <v>38643</v>
      </c>
      <c r="BB457" s="19" t="s">
        <v>3671</v>
      </c>
      <c r="BC457" s="19" t="s">
        <v>7309</v>
      </c>
      <c r="BD457" s="19" t="s">
        <v>7305</v>
      </c>
      <c r="BE457" s="19" t="s">
        <v>130</v>
      </c>
      <c r="BF457" s="19" t="s">
        <v>7310</v>
      </c>
      <c r="BG457" s="19"/>
      <c r="BH457" s="19" t="s">
        <v>7311</v>
      </c>
      <c r="BI457" s="19" t="s">
        <v>7311</v>
      </c>
      <c r="BJ457" s="19" t="s">
        <v>166</v>
      </c>
      <c r="BK457" s="19" t="s">
        <v>1084</v>
      </c>
      <c r="BL457" s="19" t="s">
        <v>222</v>
      </c>
      <c r="BM457" s="19" t="s">
        <v>169</v>
      </c>
      <c r="BN457" s="21">
        <v>671.755</v>
      </c>
      <c r="BO457" s="21">
        <v>49969.301781000002</v>
      </c>
      <c r="BQ457" s="2"/>
      <c r="BR457" s="2"/>
      <c r="BS457" s="2"/>
      <c r="BT457" s="2"/>
      <c r="BU457" s="22"/>
      <c r="BV457" s="2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</row>
    <row r="458" spans="1:95" x14ac:dyDescent="0.25">
      <c r="A458" s="18">
        <v>455</v>
      </c>
      <c r="B458" s="19" t="s">
        <v>7312</v>
      </c>
      <c r="C458" s="19" t="s">
        <v>7313</v>
      </c>
      <c r="D458" s="20">
        <v>46016</v>
      </c>
      <c r="E458" s="20">
        <v>35097</v>
      </c>
      <c r="F458" s="19" t="s">
        <v>7314</v>
      </c>
      <c r="G458" s="19" t="s">
        <v>139</v>
      </c>
      <c r="H458" s="19" t="s">
        <v>94</v>
      </c>
      <c r="I458" s="19"/>
      <c r="J458" s="19"/>
      <c r="K458" s="19"/>
      <c r="L458" s="19" t="s">
        <v>244</v>
      </c>
      <c r="M458" s="19" t="s">
        <v>245</v>
      </c>
      <c r="N458" s="19" t="s">
        <v>7315</v>
      </c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 t="s">
        <v>101</v>
      </c>
      <c r="Z458" s="19" t="s">
        <v>102</v>
      </c>
      <c r="AA458" s="19" t="s">
        <v>103</v>
      </c>
      <c r="AB458" s="19" t="s">
        <v>247</v>
      </c>
      <c r="AC458" s="19" t="s">
        <v>248</v>
      </c>
      <c r="AD458" s="19" t="s">
        <v>7316</v>
      </c>
      <c r="AE458" s="19" t="s">
        <v>7317</v>
      </c>
      <c r="AF458" s="19" t="s">
        <v>7318</v>
      </c>
      <c r="AG458" s="19" t="s">
        <v>7319</v>
      </c>
      <c r="AH458" s="19" t="s">
        <v>262</v>
      </c>
      <c r="AI458" s="19" t="s">
        <v>111</v>
      </c>
      <c r="AJ458" s="19" t="s">
        <v>7320</v>
      </c>
      <c r="AK458" s="19"/>
      <c r="AL458" s="19"/>
      <c r="AM458" s="19" t="s">
        <v>7321</v>
      </c>
      <c r="AN458" s="19" t="s">
        <v>7322</v>
      </c>
      <c r="AO458" s="19" t="s">
        <v>255</v>
      </c>
      <c r="AP458" s="19" t="s">
        <v>256</v>
      </c>
      <c r="AQ458" s="19" t="s">
        <v>117</v>
      </c>
      <c r="AR458" s="19" t="s">
        <v>257</v>
      </c>
      <c r="AS458" s="19" t="s">
        <v>258</v>
      </c>
      <c r="AT458" s="19" t="s">
        <v>259</v>
      </c>
      <c r="AU458" s="19" t="s">
        <v>260</v>
      </c>
      <c r="AV458" s="19" t="s">
        <v>260</v>
      </c>
      <c r="AW458" s="19" t="s">
        <v>261</v>
      </c>
      <c r="AX458" s="19" t="s">
        <v>262</v>
      </c>
      <c r="AY458" s="19" t="s">
        <v>263</v>
      </c>
      <c r="AZ458" s="19" t="s">
        <v>264</v>
      </c>
      <c r="BA458" s="20">
        <v>43627</v>
      </c>
      <c r="BB458" s="19" t="s">
        <v>1002</v>
      </c>
      <c r="BC458" s="19" t="s">
        <v>7323</v>
      </c>
      <c r="BD458" s="19" t="s">
        <v>7324</v>
      </c>
      <c r="BE458" s="19" t="s">
        <v>130</v>
      </c>
      <c r="BF458" s="19" t="s">
        <v>7325</v>
      </c>
      <c r="BG458" s="19"/>
      <c r="BH458" s="19" t="s">
        <v>7326</v>
      </c>
      <c r="BI458" s="19" t="s">
        <v>7326</v>
      </c>
      <c r="BJ458" s="19" t="s">
        <v>166</v>
      </c>
      <c r="BK458" s="19" t="s">
        <v>167</v>
      </c>
      <c r="BL458" s="19" t="s">
        <v>168</v>
      </c>
      <c r="BM458" s="19" t="s">
        <v>169</v>
      </c>
      <c r="BN458" s="21">
        <v>11.414999999999999</v>
      </c>
      <c r="BO458" s="21">
        <v>5005.6190459999998</v>
      </c>
      <c r="BQ458" s="2"/>
      <c r="BR458" s="2"/>
      <c r="BS458" s="2"/>
      <c r="BT458" s="2"/>
      <c r="BU458" s="22"/>
      <c r="BV458" s="2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</row>
    <row r="459" spans="1:95" x14ac:dyDescent="0.25">
      <c r="A459" s="18">
        <v>456</v>
      </c>
      <c r="B459" s="19" t="s">
        <v>7327</v>
      </c>
      <c r="C459" s="19" t="s">
        <v>7328</v>
      </c>
      <c r="D459" s="20">
        <v>46021</v>
      </c>
      <c r="E459" s="20">
        <v>35614</v>
      </c>
      <c r="F459" s="19" t="s">
        <v>7329</v>
      </c>
      <c r="G459" s="19" t="s">
        <v>139</v>
      </c>
      <c r="H459" s="19" t="s">
        <v>94</v>
      </c>
      <c r="I459" s="19"/>
      <c r="J459" s="19"/>
      <c r="K459" s="19"/>
      <c r="L459" s="19" t="s">
        <v>244</v>
      </c>
      <c r="M459" s="19" t="s">
        <v>245</v>
      </c>
      <c r="N459" s="19" t="s">
        <v>7330</v>
      </c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 t="s">
        <v>101</v>
      </c>
      <c r="Z459" s="19" t="s">
        <v>102</v>
      </c>
      <c r="AA459" s="19" t="s">
        <v>103</v>
      </c>
      <c r="AB459" s="19" t="s">
        <v>953</v>
      </c>
      <c r="AC459" s="19" t="s">
        <v>954</v>
      </c>
      <c r="AD459" s="19" t="s">
        <v>7331</v>
      </c>
      <c r="AE459" s="19" t="s">
        <v>7332</v>
      </c>
      <c r="AF459" s="19"/>
      <c r="AG459" s="19" t="s">
        <v>7333</v>
      </c>
      <c r="AH459" s="19" t="s">
        <v>942</v>
      </c>
      <c r="AI459" s="19"/>
      <c r="AJ459" s="19" t="s">
        <v>7334</v>
      </c>
      <c r="AK459" s="19"/>
      <c r="AL459" s="19" t="s">
        <v>7335</v>
      </c>
      <c r="AM459" s="19" t="s">
        <v>7336</v>
      </c>
      <c r="AN459" s="19" t="s">
        <v>7337</v>
      </c>
      <c r="AO459" s="19" t="s">
        <v>154</v>
      </c>
      <c r="AP459" s="19" t="s">
        <v>155</v>
      </c>
      <c r="AQ459" s="19" t="s">
        <v>117</v>
      </c>
      <c r="AR459" s="19" t="s">
        <v>156</v>
      </c>
      <c r="AS459" s="19" t="s">
        <v>157</v>
      </c>
      <c r="AT459" s="19" t="s">
        <v>158</v>
      </c>
      <c r="AU459" s="19"/>
      <c r="AV459" s="19" t="s">
        <v>122</v>
      </c>
      <c r="AW459" s="19"/>
      <c r="AX459" s="19" t="s">
        <v>124</v>
      </c>
      <c r="AY459" s="19" t="s">
        <v>159</v>
      </c>
      <c r="AZ459" s="19" t="s">
        <v>160</v>
      </c>
      <c r="BA459" s="20">
        <v>44676</v>
      </c>
      <c r="BB459" s="19" t="s">
        <v>444</v>
      </c>
      <c r="BC459" s="19" t="s">
        <v>7333</v>
      </c>
      <c r="BD459" s="19" t="s">
        <v>7333</v>
      </c>
      <c r="BE459" s="19" t="s">
        <v>130</v>
      </c>
      <c r="BF459" s="19" t="s">
        <v>7338</v>
      </c>
      <c r="BG459" s="19"/>
      <c r="BH459" s="19" t="s">
        <v>7339</v>
      </c>
      <c r="BI459" s="19" t="s">
        <v>7339</v>
      </c>
      <c r="BJ459" s="19" t="s">
        <v>166</v>
      </c>
      <c r="BK459" s="19" t="s">
        <v>167</v>
      </c>
      <c r="BL459" s="19" t="s">
        <v>168</v>
      </c>
      <c r="BM459" s="19" t="s">
        <v>169</v>
      </c>
      <c r="BN459" s="21">
        <v>4.93</v>
      </c>
      <c r="BO459" s="21">
        <v>198.58878100000001</v>
      </c>
      <c r="BQ459" s="2"/>
      <c r="BR459" s="2"/>
      <c r="BS459" s="2"/>
      <c r="BT459" s="2"/>
      <c r="BU459" s="22"/>
      <c r="BV459" s="2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</row>
    <row r="460" spans="1:95" x14ac:dyDescent="0.25">
      <c r="A460" s="18">
        <v>457</v>
      </c>
      <c r="B460" s="19" t="s">
        <v>7340</v>
      </c>
      <c r="C460" s="19" t="s">
        <v>7341</v>
      </c>
      <c r="D460" s="20">
        <v>46021</v>
      </c>
      <c r="E460" s="20">
        <v>28145</v>
      </c>
      <c r="F460" s="19" t="s">
        <v>7342</v>
      </c>
      <c r="G460" s="19" t="s">
        <v>139</v>
      </c>
      <c r="H460" s="19" t="s">
        <v>94</v>
      </c>
      <c r="I460" s="19"/>
      <c r="J460" s="19"/>
      <c r="K460" s="19"/>
      <c r="L460" s="19" t="s">
        <v>101</v>
      </c>
      <c r="M460" s="19" t="s">
        <v>290</v>
      </c>
      <c r="N460" s="19" t="s">
        <v>7343</v>
      </c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 t="s">
        <v>101</v>
      </c>
      <c r="Z460" s="19" t="s">
        <v>102</v>
      </c>
      <c r="AA460" s="19" t="s">
        <v>103</v>
      </c>
      <c r="AB460" s="19" t="s">
        <v>247</v>
      </c>
      <c r="AC460" s="19" t="s">
        <v>248</v>
      </c>
      <c r="AD460" s="19" t="s">
        <v>7344</v>
      </c>
      <c r="AE460" s="19" t="s">
        <v>7345</v>
      </c>
      <c r="AF460" s="19"/>
      <c r="AG460" s="19" t="s">
        <v>490</v>
      </c>
      <c r="AH460" s="19" t="s">
        <v>262</v>
      </c>
      <c r="AI460" s="19"/>
      <c r="AJ460" s="19" t="s">
        <v>7346</v>
      </c>
      <c r="AK460" s="19"/>
      <c r="AL460" s="19"/>
      <c r="AM460" s="19" t="s">
        <v>7347</v>
      </c>
      <c r="AN460" s="19" t="s">
        <v>7348</v>
      </c>
      <c r="AO460" s="19" t="s">
        <v>476</v>
      </c>
      <c r="AP460" s="19" t="s">
        <v>477</v>
      </c>
      <c r="AQ460" s="19" t="s">
        <v>117</v>
      </c>
      <c r="AR460" s="19" t="s">
        <v>478</v>
      </c>
      <c r="AS460" s="19"/>
      <c r="AT460" s="19"/>
      <c r="AU460" s="19"/>
      <c r="AV460" s="19"/>
      <c r="AW460" s="19"/>
      <c r="AX460" s="19"/>
      <c r="AY460" s="19"/>
      <c r="AZ460" s="19"/>
      <c r="BA460" s="20">
        <v>44452</v>
      </c>
      <c r="BB460" s="19" t="s">
        <v>479</v>
      </c>
      <c r="BC460" s="19" t="s">
        <v>7349</v>
      </c>
      <c r="BD460" s="19" t="s">
        <v>365</v>
      </c>
      <c r="BE460" s="19" t="s">
        <v>130</v>
      </c>
      <c r="BF460" s="19" t="s">
        <v>7350</v>
      </c>
      <c r="BG460" s="19"/>
      <c r="BH460" s="19" t="s">
        <v>7351</v>
      </c>
      <c r="BI460" s="19" t="s">
        <v>7351</v>
      </c>
      <c r="BJ460" s="19" t="s">
        <v>166</v>
      </c>
      <c r="BK460" s="19" t="s">
        <v>167</v>
      </c>
      <c r="BL460" s="19" t="s">
        <v>168</v>
      </c>
      <c r="BM460" s="19" t="s">
        <v>169</v>
      </c>
      <c r="BN460" s="21">
        <v>456.30500000000001</v>
      </c>
      <c r="BO460" s="21">
        <v>200095.40068200001</v>
      </c>
      <c r="BQ460" s="2"/>
      <c r="BR460" s="2"/>
      <c r="BS460" s="2"/>
      <c r="BT460" s="2"/>
      <c r="BU460" s="22"/>
      <c r="BV460" s="2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</row>
    <row r="461" spans="1:95" x14ac:dyDescent="0.25">
      <c r="A461" s="18">
        <v>458</v>
      </c>
      <c r="B461" s="19" t="s">
        <v>7352</v>
      </c>
      <c r="C461" s="19" t="s">
        <v>7353</v>
      </c>
      <c r="D461" s="20">
        <v>46022</v>
      </c>
      <c r="E461" s="20">
        <v>28232</v>
      </c>
      <c r="F461" s="19" t="s">
        <v>7354</v>
      </c>
      <c r="G461" s="19" t="s">
        <v>139</v>
      </c>
      <c r="H461" s="19" t="s">
        <v>94</v>
      </c>
      <c r="I461" s="19"/>
      <c r="J461" s="19"/>
      <c r="K461" s="19"/>
      <c r="L461" s="19" t="s">
        <v>244</v>
      </c>
      <c r="M461" s="19" t="s">
        <v>245</v>
      </c>
      <c r="N461" s="19" t="s">
        <v>7355</v>
      </c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 t="s">
        <v>101</v>
      </c>
      <c r="Z461" s="19" t="s">
        <v>102</v>
      </c>
      <c r="AA461" s="19" t="s">
        <v>103</v>
      </c>
      <c r="AB461" s="19" t="s">
        <v>173</v>
      </c>
      <c r="AC461" s="19" t="s">
        <v>174</v>
      </c>
      <c r="AD461" s="19" t="s">
        <v>7356</v>
      </c>
      <c r="AE461" s="19" t="s">
        <v>7357</v>
      </c>
      <c r="AF461" s="19" t="s">
        <v>7358</v>
      </c>
      <c r="AG461" s="19" t="s">
        <v>490</v>
      </c>
      <c r="AH461" s="19" t="s">
        <v>262</v>
      </c>
      <c r="AI461" s="19" t="s">
        <v>111</v>
      </c>
      <c r="AJ461" s="19" t="s">
        <v>972</v>
      </c>
      <c r="AK461" s="19"/>
      <c r="AL461" s="19" t="s">
        <v>7359</v>
      </c>
      <c r="AM461" s="19" t="s">
        <v>7360</v>
      </c>
      <c r="AN461" s="19" t="s">
        <v>7361</v>
      </c>
      <c r="AO461" s="19" t="s">
        <v>154</v>
      </c>
      <c r="AP461" s="19" t="s">
        <v>155</v>
      </c>
      <c r="AQ461" s="19" t="s">
        <v>117</v>
      </c>
      <c r="AR461" s="19" t="s">
        <v>156</v>
      </c>
      <c r="AS461" s="19" t="s">
        <v>157</v>
      </c>
      <c r="AT461" s="19" t="s">
        <v>158</v>
      </c>
      <c r="AU461" s="19"/>
      <c r="AV461" s="19" t="s">
        <v>122</v>
      </c>
      <c r="AW461" s="19"/>
      <c r="AX461" s="19" t="s">
        <v>124</v>
      </c>
      <c r="AY461" s="19" t="s">
        <v>159</v>
      </c>
      <c r="AZ461" s="19" t="s">
        <v>160</v>
      </c>
      <c r="BA461" s="20">
        <v>44676</v>
      </c>
      <c r="BB461" s="19" t="s">
        <v>444</v>
      </c>
      <c r="BC461" s="19" t="s">
        <v>7362</v>
      </c>
      <c r="BD461" s="19" t="s">
        <v>260</v>
      </c>
      <c r="BE461" s="19" t="s">
        <v>130</v>
      </c>
      <c r="BF461" s="19" t="s">
        <v>7363</v>
      </c>
      <c r="BG461" s="19"/>
      <c r="BH461" s="19" t="s">
        <v>7364</v>
      </c>
      <c r="BI461" s="19" t="s">
        <v>7364</v>
      </c>
      <c r="BJ461" s="19" t="s">
        <v>166</v>
      </c>
      <c r="BK461" s="19" t="s">
        <v>167</v>
      </c>
      <c r="BL461" s="19" t="s">
        <v>168</v>
      </c>
      <c r="BM461" s="19" t="s">
        <v>169</v>
      </c>
      <c r="BN461" s="21">
        <v>705.697</v>
      </c>
      <c r="BO461" s="21">
        <v>24998.7516674</v>
      </c>
      <c r="BQ461" s="2"/>
      <c r="BR461" s="2"/>
      <c r="BS461" s="2"/>
      <c r="BT461" s="2"/>
      <c r="BU461" s="22"/>
      <c r="BV461" s="2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</row>
    <row r="462" spans="1:95" x14ac:dyDescent="0.25">
      <c r="A462" s="18">
        <v>459</v>
      </c>
      <c r="B462" s="19" t="s">
        <v>7365</v>
      </c>
      <c r="C462" s="19" t="s">
        <v>7366</v>
      </c>
      <c r="D462" s="20">
        <v>45992</v>
      </c>
      <c r="E462" s="20">
        <v>38998</v>
      </c>
      <c r="F462" s="19"/>
      <c r="G462" s="19"/>
      <c r="H462" s="19" t="s">
        <v>94</v>
      </c>
      <c r="I462" s="19"/>
      <c r="J462" s="19"/>
      <c r="K462" s="19"/>
      <c r="L462" s="19" t="s">
        <v>1262</v>
      </c>
      <c r="M462" s="19" t="s">
        <v>1263</v>
      </c>
      <c r="N462" s="19" t="s">
        <v>7367</v>
      </c>
      <c r="O462" s="19" t="s">
        <v>100</v>
      </c>
      <c r="P462" s="19"/>
      <c r="Q462" s="19"/>
      <c r="R462" s="19"/>
      <c r="S462" s="19"/>
      <c r="T462" s="19"/>
      <c r="U462" s="19"/>
      <c r="V462" s="19"/>
      <c r="W462" s="19"/>
      <c r="X462" s="19"/>
      <c r="Y462" s="19" t="s">
        <v>101</v>
      </c>
      <c r="Z462" s="19" t="s">
        <v>102</v>
      </c>
      <c r="AA462" s="19" t="s">
        <v>103</v>
      </c>
      <c r="AB462" s="19" t="s">
        <v>6477</v>
      </c>
      <c r="AC462" s="19" t="s">
        <v>6478</v>
      </c>
      <c r="AD462" s="19" t="s">
        <v>7368</v>
      </c>
      <c r="AE462" s="19" t="s">
        <v>7369</v>
      </c>
      <c r="AF462" s="19" t="s">
        <v>168</v>
      </c>
      <c r="AG462" s="19" t="s">
        <v>260</v>
      </c>
      <c r="AH462" s="19" t="s">
        <v>262</v>
      </c>
      <c r="AI462" s="19" t="s">
        <v>111</v>
      </c>
      <c r="AJ462" s="19" t="s">
        <v>7370</v>
      </c>
      <c r="AK462" s="19"/>
      <c r="AL462" s="19"/>
      <c r="AM462" s="19" t="s">
        <v>7371</v>
      </c>
      <c r="AN462" s="19" t="s">
        <v>7372</v>
      </c>
      <c r="AO462" s="19" t="s">
        <v>208</v>
      </c>
      <c r="AP462" s="19" t="s">
        <v>209</v>
      </c>
      <c r="AQ462" s="19" t="s">
        <v>117</v>
      </c>
      <c r="AR462" s="19" t="s">
        <v>210</v>
      </c>
      <c r="AS462" s="19" t="s">
        <v>211</v>
      </c>
      <c r="AT462" s="19" t="s">
        <v>212</v>
      </c>
      <c r="AU462" s="19" t="s">
        <v>213</v>
      </c>
      <c r="AV462" s="19" t="s">
        <v>214</v>
      </c>
      <c r="AW462" s="19" t="s">
        <v>215</v>
      </c>
      <c r="AX462" s="19" t="s">
        <v>149</v>
      </c>
      <c r="AY462" s="19" t="s">
        <v>216</v>
      </c>
      <c r="AZ462" s="19" t="s">
        <v>217</v>
      </c>
      <c r="BA462" s="20">
        <v>35521</v>
      </c>
      <c r="BB462" s="19" t="s">
        <v>1388</v>
      </c>
      <c r="BC462" s="19" t="s">
        <v>7373</v>
      </c>
      <c r="BD462" s="19" t="s">
        <v>168</v>
      </c>
      <c r="BE462" s="19" t="s">
        <v>130</v>
      </c>
      <c r="BF462" s="19" t="s">
        <v>7374</v>
      </c>
      <c r="BG462" s="19" t="s">
        <v>7375</v>
      </c>
      <c r="BH462" s="19" t="s">
        <v>7376</v>
      </c>
      <c r="BI462" s="19" t="s">
        <v>7376</v>
      </c>
      <c r="BJ462" s="19" t="s">
        <v>166</v>
      </c>
      <c r="BK462" s="19" t="s">
        <v>7377</v>
      </c>
      <c r="BL462" s="19" t="s">
        <v>7378</v>
      </c>
      <c r="BM462" s="19" t="s">
        <v>169</v>
      </c>
      <c r="BN462" s="21">
        <v>0</v>
      </c>
      <c r="BO462" s="21">
        <v>0</v>
      </c>
      <c r="BQ462" s="2"/>
      <c r="BR462" s="2"/>
      <c r="BS462" s="2"/>
      <c r="BT462" s="2"/>
      <c r="BU462" s="22"/>
      <c r="BV462" s="2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</row>
    <row r="463" spans="1:95" x14ac:dyDescent="0.25">
      <c r="A463" s="18">
        <v>460</v>
      </c>
      <c r="B463" s="19" t="s">
        <v>7379</v>
      </c>
      <c r="C463" s="19" t="s">
        <v>7380</v>
      </c>
      <c r="D463" s="20">
        <v>45992</v>
      </c>
      <c r="E463" s="20">
        <v>27974</v>
      </c>
      <c r="F463" s="19"/>
      <c r="G463" s="19"/>
      <c r="H463" s="19" t="s">
        <v>94</v>
      </c>
      <c r="I463" s="19"/>
      <c r="J463" s="19" t="s">
        <v>95</v>
      </c>
      <c r="K463" s="19" t="s">
        <v>96</v>
      </c>
      <c r="L463" s="19" t="s">
        <v>1619</v>
      </c>
      <c r="M463" s="19" t="s">
        <v>1620</v>
      </c>
      <c r="N463" s="19" t="s">
        <v>7381</v>
      </c>
      <c r="O463" s="19" t="s">
        <v>100</v>
      </c>
      <c r="P463" s="19"/>
      <c r="Q463" s="19"/>
      <c r="R463" s="19"/>
      <c r="S463" s="19" t="s">
        <v>7382</v>
      </c>
      <c r="T463" s="19" t="s">
        <v>7383</v>
      </c>
      <c r="U463" s="19" t="s">
        <v>100</v>
      </c>
      <c r="V463" s="19"/>
      <c r="W463" s="19"/>
      <c r="X463" s="19"/>
      <c r="Y463" s="19" t="s">
        <v>101</v>
      </c>
      <c r="Z463" s="19" t="s">
        <v>102</v>
      </c>
      <c r="AA463" s="19" t="s">
        <v>103</v>
      </c>
      <c r="AB463" s="19" t="s">
        <v>201</v>
      </c>
      <c r="AC463" s="19" t="s">
        <v>202</v>
      </c>
      <c r="AD463" s="19" t="s">
        <v>7384</v>
      </c>
      <c r="AE463" s="19" t="s">
        <v>7385</v>
      </c>
      <c r="AF463" s="19" t="s">
        <v>7386</v>
      </c>
      <c r="AG463" s="19" t="s">
        <v>3869</v>
      </c>
      <c r="AH463" s="19" t="s">
        <v>327</v>
      </c>
      <c r="AI463" s="19" t="s">
        <v>111</v>
      </c>
      <c r="AJ463" s="19" t="s">
        <v>7387</v>
      </c>
      <c r="AK463" s="19"/>
      <c r="AL463" s="19"/>
      <c r="AM463" s="19" t="s">
        <v>7388</v>
      </c>
      <c r="AN463" s="19" t="s">
        <v>7389</v>
      </c>
      <c r="AO463" s="19" t="s">
        <v>7390</v>
      </c>
      <c r="AP463" s="19" t="s">
        <v>7391</v>
      </c>
      <c r="AQ463" s="19" t="s">
        <v>117</v>
      </c>
      <c r="AR463" s="19" t="s">
        <v>7383</v>
      </c>
      <c r="AS463" s="19" t="s">
        <v>7392</v>
      </c>
      <c r="AT463" s="19" t="s">
        <v>7393</v>
      </c>
      <c r="AU463" s="19" t="s">
        <v>7394</v>
      </c>
      <c r="AV463" s="19" t="s">
        <v>5892</v>
      </c>
      <c r="AW463" s="19" t="s">
        <v>7387</v>
      </c>
      <c r="AX463" s="19" t="s">
        <v>327</v>
      </c>
      <c r="AY463" s="19" t="s">
        <v>7395</v>
      </c>
      <c r="AZ463" s="19" t="s">
        <v>7396</v>
      </c>
      <c r="BA463" s="20">
        <v>41926</v>
      </c>
      <c r="BB463" s="19" t="s">
        <v>331</v>
      </c>
      <c r="BC463" s="19" t="s">
        <v>7397</v>
      </c>
      <c r="BD463" s="19" t="s">
        <v>3869</v>
      </c>
      <c r="BE463" s="19" t="s">
        <v>130</v>
      </c>
      <c r="BF463" s="19" t="s">
        <v>7398</v>
      </c>
      <c r="BG463" s="19" t="s">
        <v>7399</v>
      </c>
      <c r="BH463" s="19" t="s">
        <v>7400</v>
      </c>
      <c r="BI463" s="19" t="s">
        <v>7400</v>
      </c>
      <c r="BJ463" s="19" t="s">
        <v>166</v>
      </c>
      <c r="BK463" s="19" t="s">
        <v>5908</v>
      </c>
      <c r="BL463" s="19" t="s">
        <v>5892</v>
      </c>
      <c r="BM463" s="19" t="s">
        <v>1045</v>
      </c>
      <c r="BN463" s="21">
        <v>352.173</v>
      </c>
      <c r="BO463" s="21">
        <v>29833.279176</v>
      </c>
      <c r="BQ463" s="2"/>
      <c r="BR463" s="2"/>
      <c r="BS463" s="2"/>
      <c r="BT463" s="2"/>
      <c r="BU463" s="22"/>
      <c r="BV463" s="2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</row>
    <row r="464" spans="1:95" x14ac:dyDescent="0.25">
      <c r="A464" s="18">
        <v>461</v>
      </c>
      <c r="B464" s="19" t="s">
        <v>7401</v>
      </c>
      <c r="C464" s="19" t="s">
        <v>7402</v>
      </c>
      <c r="D464" s="20">
        <v>45999</v>
      </c>
      <c r="E464" s="20">
        <v>37803</v>
      </c>
      <c r="F464" s="19" t="s">
        <v>7403</v>
      </c>
      <c r="G464" s="19" t="s">
        <v>139</v>
      </c>
      <c r="H464" s="19" t="s">
        <v>94</v>
      </c>
      <c r="I464" s="19"/>
      <c r="J464" s="19"/>
      <c r="K464" s="19"/>
      <c r="L464" s="19" t="s">
        <v>101</v>
      </c>
      <c r="M464" s="19" t="s">
        <v>290</v>
      </c>
      <c r="N464" s="19" t="s">
        <v>7404</v>
      </c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 t="s">
        <v>101</v>
      </c>
      <c r="Z464" s="19" t="s">
        <v>102</v>
      </c>
      <c r="AA464" s="19" t="s">
        <v>103</v>
      </c>
      <c r="AB464" s="19" t="s">
        <v>612</v>
      </c>
      <c r="AC464" s="19" t="s">
        <v>613</v>
      </c>
      <c r="AD464" s="19" t="s">
        <v>7405</v>
      </c>
      <c r="AE464" s="19" t="s">
        <v>7406</v>
      </c>
      <c r="AF464" s="19" t="s">
        <v>7407</v>
      </c>
      <c r="AG464" s="19" t="s">
        <v>3837</v>
      </c>
      <c r="AH464" s="19" t="s">
        <v>149</v>
      </c>
      <c r="AI464" s="19"/>
      <c r="AJ464" s="19" t="s">
        <v>7408</v>
      </c>
      <c r="AK464" s="19"/>
      <c r="AL464" s="19" t="s">
        <v>7409</v>
      </c>
      <c r="AM464" s="19" t="s">
        <v>7410</v>
      </c>
      <c r="AN464" s="19" t="s">
        <v>7411</v>
      </c>
      <c r="AO464" s="19" t="s">
        <v>1407</v>
      </c>
      <c r="AP464" s="19" t="s">
        <v>1408</v>
      </c>
      <c r="AQ464" s="19" t="s">
        <v>117</v>
      </c>
      <c r="AR464" s="19" t="s">
        <v>156</v>
      </c>
      <c r="AS464" s="19" t="s">
        <v>1409</v>
      </c>
      <c r="AT464" s="19" t="s">
        <v>1410</v>
      </c>
      <c r="AU464" s="19" t="s">
        <v>1411</v>
      </c>
      <c r="AV464" s="19" t="s">
        <v>219</v>
      </c>
      <c r="AW464" s="19" t="s">
        <v>1412</v>
      </c>
      <c r="AX464" s="19" t="s">
        <v>124</v>
      </c>
      <c r="AY464" s="19" t="s">
        <v>1413</v>
      </c>
      <c r="AZ464" s="19" t="s">
        <v>1414</v>
      </c>
      <c r="BA464" s="20">
        <v>40180</v>
      </c>
      <c r="BB464" s="19" t="s">
        <v>331</v>
      </c>
      <c r="BC464" s="19" t="s">
        <v>7412</v>
      </c>
      <c r="BD464" s="19" t="s">
        <v>3837</v>
      </c>
      <c r="BE464" s="19" t="s">
        <v>130</v>
      </c>
      <c r="BF464" s="19" t="s">
        <v>7413</v>
      </c>
      <c r="BG464" s="19"/>
      <c r="BH464" s="19" t="s">
        <v>7414</v>
      </c>
      <c r="BI464" s="19" t="s">
        <v>7414</v>
      </c>
      <c r="BJ464" s="19" t="s">
        <v>166</v>
      </c>
      <c r="BK464" s="19" t="s">
        <v>907</v>
      </c>
      <c r="BL464" s="19" t="s">
        <v>122</v>
      </c>
      <c r="BM464" s="19" t="s">
        <v>592</v>
      </c>
      <c r="BN464" s="21">
        <v>0.92100000000000004</v>
      </c>
      <c r="BO464" s="21">
        <v>504.68036999999998</v>
      </c>
      <c r="BQ464" s="2"/>
      <c r="BR464" s="2"/>
      <c r="BS464" s="2"/>
      <c r="BT464" s="2"/>
      <c r="BU464" s="22"/>
      <c r="BV464" s="2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</row>
    <row r="465" spans="1:95" x14ac:dyDescent="0.25">
      <c r="A465" s="18">
        <v>462</v>
      </c>
      <c r="B465" s="19" t="s">
        <v>7415</v>
      </c>
      <c r="C465" s="19" t="s">
        <v>7416</v>
      </c>
      <c r="D465" s="20">
        <v>45999</v>
      </c>
      <c r="E465" s="20">
        <v>22935</v>
      </c>
      <c r="F465" s="19" t="s">
        <v>7417</v>
      </c>
      <c r="G465" s="19" t="s">
        <v>139</v>
      </c>
      <c r="H465" s="19" t="s">
        <v>94</v>
      </c>
      <c r="I465" s="19"/>
      <c r="J465" s="19"/>
      <c r="K465" s="19"/>
      <c r="L465" s="19" t="s">
        <v>244</v>
      </c>
      <c r="M465" s="19" t="s">
        <v>245</v>
      </c>
      <c r="N465" s="19" t="s">
        <v>7418</v>
      </c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 t="s">
        <v>101</v>
      </c>
      <c r="Z465" s="19" t="s">
        <v>102</v>
      </c>
      <c r="AA465" s="19" t="s">
        <v>103</v>
      </c>
      <c r="AB465" s="19" t="s">
        <v>173</v>
      </c>
      <c r="AC465" s="19" t="s">
        <v>174</v>
      </c>
      <c r="AD465" s="19" t="s">
        <v>7419</v>
      </c>
      <c r="AE465" s="19" t="s">
        <v>7420</v>
      </c>
      <c r="AF465" s="19" t="s">
        <v>7421</v>
      </c>
      <c r="AG465" s="19" t="s">
        <v>1193</v>
      </c>
      <c r="AH465" s="19" t="s">
        <v>1015</v>
      </c>
      <c r="AI465" s="19" t="s">
        <v>111</v>
      </c>
      <c r="AJ465" s="19" t="s">
        <v>7422</v>
      </c>
      <c r="AK465" s="19"/>
      <c r="AL465" s="19"/>
      <c r="AM465" s="19" t="s">
        <v>7423</v>
      </c>
      <c r="AN465" s="19" t="s">
        <v>7424</v>
      </c>
      <c r="AO465" s="19" t="s">
        <v>255</v>
      </c>
      <c r="AP465" s="19" t="s">
        <v>256</v>
      </c>
      <c r="AQ465" s="19" t="s">
        <v>117</v>
      </c>
      <c r="AR465" s="19" t="s">
        <v>257</v>
      </c>
      <c r="AS465" s="19" t="s">
        <v>258</v>
      </c>
      <c r="AT465" s="19" t="s">
        <v>259</v>
      </c>
      <c r="AU465" s="19" t="s">
        <v>260</v>
      </c>
      <c r="AV465" s="19" t="s">
        <v>260</v>
      </c>
      <c r="AW465" s="19" t="s">
        <v>261</v>
      </c>
      <c r="AX465" s="19" t="s">
        <v>262</v>
      </c>
      <c r="AY465" s="19" t="s">
        <v>263</v>
      </c>
      <c r="AZ465" s="19" t="s">
        <v>264</v>
      </c>
      <c r="BA465" s="20">
        <v>43627</v>
      </c>
      <c r="BB465" s="19" t="s">
        <v>479</v>
      </c>
      <c r="BC465" s="19" t="s">
        <v>7425</v>
      </c>
      <c r="BD465" s="19" t="s">
        <v>7426</v>
      </c>
      <c r="BE465" s="19" t="s">
        <v>130</v>
      </c>
      <c r="BF465" s="19" t="s">
        <v>7427</v>
      </c>
      <c r="BG465" s="19"/>
      <c r="BH465" s="19" t="s">
        <v>7428</v>
      </c>
      <c r="BI465" s="19" t="s">
        <v>7428</v>
      </c>
      <c r="BJ465" s="19" t="s">
        <v>166</v>
      </c>
      <c r="BK465" s="19" t="s">
        <v>167</v>
      </c>
      <c r="BL465" s="19" t="s">
        <v>168</v>
      </c>
      <c r="BM465" s="19" t="s">
        <v>169</v>
      </c>
      <c r="BN465" s="21">
        <v>537.82100000000003</v>
      </c>
      <c r="BO465" s="21">
        <v>19051.878668199999</v>
      </c>
      <c r="BQ465" s="2"/>
      <c r="BR465" s="2"/>
      <c r="BS465" s="2"/>
      <c r="BT465" s="2"/>
      <c r="BU465" s="22"/>
      <c r="BV465" s="2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</row>
    <row r="466" spans="1:95" x14ac:dyDescent="0.25">
      <c r="A466" s="18">
        <v>463</v>
      </c>
      <c r="B466" s="19" t="s">
        <v>7429</v>
      </c>
      <c r="C466" s="19" t="s">
        <v>7430</v>
      </c>
      <c r="D466" s="20">
        <v>45992</v>
      </c>
      <c r="E466" s="20">
        <v>38392</v>
      </c>
      <c r="F466" s="19" t="s">
        <v>7431</v>
      </c>
      <c r="G466" s="19" t="s">
        <v>139</v>
      </c>
      <c r="H466" s="19" t="s">
        <v>94</v>
      </c>
      <c r="I466" s="19"/>
      <c r="J466" s="19"/>
      <c r="K466" s="19"/>
      <c r="L466" s="19" t="s">
        <v>1262</v>
      </c>
      <c r="M466" s="19" t="s">
        <v>1263</v>
      </c>
      <c r="N466" s="19" t="s">
        <v>7432</v>
      </c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 t="s">
        <v>101</v>
      </c>
      <c r="Z466" s="19" t="s">
        <v>102</v>
      </c>
      <c r="AA466" s="19" t="s">
        <v>103</v>
      </c>
      <c r="AB466" s="19" t="s">
        <v>3861</v>
      </c>
      <c r="AC466" s="19" t="s">
        <v>3862</v>
      </c>
      <c r="AD466" s="19" t="s">
        <v>7433</v>
      </c>
      <c r="AE466" s="19" t="s">
        <v>7434</v>
      </c>
      <c r="AF466" s="19"/>
      <c r="AG466" s="19" t="s">
        <v>7435</v>
      </c>
      <c r="AH466" s="19" t="s">
        <v>3516</v>
      </c>
      <c r="AI466" s="19"/>
      <c r="AJ466" s="19" t="s">
        <v>7436</v>
      </c>
      <c r="AK466" s="19"/>
      <c r="AL466" s="19"/>
      <c r="AM466" s="19" t="s">
        <v>7437</v>
      </c>
      <c r="AN466" s="19" t="s">
        <v>7438</v>
      </c>
      <c r="AO466" s="19" t="s">
        <v>476</v>
      </c>
      <c r="AP466" s="19" t="s">
        <v>477</v>
      </c>
      <c r="AQ466" s="19" t="s">
        <v>117</v>
      </c>
      <c r="AR466" s="19" t="s">
        <v>478</v>
      </c>
      <c r="AS466" s="19"/>
      <c r="AT466" s="19"/>
      <c r="AU466" s="19"/>
      <c r="AV466" s="19"/>
      <c r="AW466" s="19"/>
      <c r="AX466" s="19"/>
      <c r="AY466" s="19"/>
      <c r="AZ466" s="19"/>
      <c r="BA466" s="20">
        <v>44452</v>
      </c>
      <c r="BB466" s="19" t="s">
        <v>331</v>
      </c>
      <c r="BC466" s="19" t="s">
        <v>7439</v>
      </c>
      <c r="BD466" s="19" t="s">
        <v>7439</v>
      </c>
      <c r="BE466" s="19" t="s">
        <v>130</v>
      </c>
      <c r="BF466" s="19" t="s">
        <v>7440</v>
      </c>
      <c r="BG466" s="19"/>
      <c r="BH466" s="19" t="s">
        <v>7441</v>
      </c>
      <c r="BI466" s="19" t="s">
        <v>7441</v>
      </c>
      <c r="BJ466" s="19" t="s">
        <v>166</v>
      </c>
      <c r="BK466" s="19" t="s">
        <v>167</v>
      </c>
      <c r="BL466" s="19" t="s">
        <v>168</v>
      </c>
      <c r="BM466" s="19" t="s">
        <v>169</v>
      </c>
      <c r="BN466" s="21">
        <v>6.9480000000000004</v>
      </c>
      <c r="BO466" s="21">
        <v>4009.7248451999999</v>
      </c>
      <c r="BQ466" s="2"/>
      <c r="BR466" s="2"/>
      <c r="BS466" s="2"/>
      <c r="BT466" s="2"/>
      <c r="BU466" s="22"/>
      <c r="BV466" s="2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</row>
    <row r="467" spans="1:95" x14ac:dyDescent="0.25">
      <c r="A467" s="18">
        <v>464</v>
      </c>
      <c r="B467" s="19" t="s">
        <v>7442</v>
      </c>
      <c r="C467" s="19" t="s">
        <v>7443</v>
      </c>
      <c r="D467" s="20">
        <v>45992</v>
      </c>
      <c r="E467" s="20">
        <v>26407</v>
      </c>
      <c r="F467" s="19"/>
      <c r="G467" s="19"/>
      <c r="H467" s="19" t="s">
        <v>94</v>
      </c>
      <c r="I467" s="19"/>
      <c r="J467" s="19"/>
      <c r="K467" s="19"/>
      <c r="L467" s="19" t="s">
        <v>140</v>
      </c>
      <c r="M467" s="19" t="s">
        <v>141</v>
      </c>
      <c r="N467" s="19" t="s">
        <v>7444</v>
      </c>
      <c r="O467" s="19" t="s">
        <v>100</v>
      </c>
      <c r="P467" s="19"/>
      <c r="Q467" s="19"/>
      <c r="R467" s="19"/>
      <c r="S467" s="19"/>
      <c r="T467" s="19"/>
      <c r="U467" s="19"/>
      <c r="V467" s="19"/>
      <c r="W467" s="19"/>
      <c r="X467" s="19"/>
      <c r="Y467" s="19" t="s">
        <v>7445</v>
      </c>
      <c r="Z467" s="19" t="s">
        <v>7446</v>
      </c>
      <c r="AA467" s="19" t="s">
        <v>103</v>
      </c>
      <c r="AB467" s="19" t="s">
        <v>3488</v>
      </c>
      <c r="AC467" s="19" t="s">
        <v>3489</v>
      </c>
      <c r="AD467" s="19" t="s">
        <v>7447</v>
      </c>
      <c r="AE467" s="19"/>
      <c r="AF467" s="19"/>
      <c r="AG467" s="19" t="s">
        <v>3166</v>
      </c>
      <c r="AH467" s="19"/>
      <c r="AI467" s="19" t="s">
        <v>3167</v>
      </c>
      <c r="AJ467" s="19" t="s">
        <v>7448</v>
      </c>
      <c r="AK467" s="19"/>
      <c r="AL467" s="19"/>
      <c r="AM467" s="19" t="s">
        <v>7449</v>
      </c>
      <c r="AN467" s="19" t="s">
        <v>7450</v>
      </c>
      <c r="AO467" s="19" t="s">
        <v>5187</v>
      </c>
      <c r="AP467" s="19" t="s">
        <v>5188</v>
      </c>
      <c r="AQ467" s="19" t="s">
        <v>94</v>
      </c>
      <c r="AR467" s="19" t="s">
        <v>5189</v>
      </c>
      <c r="AS467" s="19" t="s">
        <v>5190</v>
      </c>
      <c r="AT467" s="19" t="s">
        <v>5191</v>
      </c>
      <c r="AU467" s="19" t="s">
        <v>5192</v>
      </c>
      <c r="AV467" s="19" t="s">
        <v>5193</v>
      </c>
      <c r="AW467" s="19" t="s">
        <v>5194</v>
      </c>
      <c r="AX467" s="19" t="s">
        <v>124</v>
      </c>
      <c r="AY467" s="19" t="s">
        <v>5195</v>
      </c>
      <c r="AZ467" s="19" t="s">
        <v>5196</v>
      </c>
      <c r="BA467" s="20">
        <v>36115</v>
      </c>
      <c r="BB467" s="19" t="s">
        <v>479</v>
      </c>
      <c r="BC467" s="19" t="s">
        <v>4719</v>
      </c>
      <c r="BD467" s="19" t="s">
        <v>4719</v>
      </c>
      <c r="BE467" s="19" t="s">
        <v>1287</v>
      </c>
      <c r="BF467" s="19" t="s">
        <v>7451</v>
      </c>
      <c r="BG467" s="19"/>
      <c r="BH467" s="19" t="s">
        <v>7452</v>
      </c>
      <c r="BI467" s="19" t="s">
        <v>7452</v>
      </c>
      <c r="BJ467" s="19" t="s">
        <v>194</v>
      </c>
      <c r="BK467" s="19" t="s">
        <v>3715</v>
      </c>
      <c r="BL467" s="19" t="s">
        <v>122</v>
      </c>
      <c r="BM467" s="19" t="s">
        <v>196</v>
      </c>
      <c r="BN467" s="21">
        <v>791.89300000000003</v>
      </c>
      <c r="BO467" s="21">
        <v>8683.9778272999993</v>
      </c>
      <c r="BQ467" s="2"/>
      <c r="BR467" s="2"/>
      <c r="BS467" s="2"/>
      <c r="BT467" s="2"/>
      <c r="BU467" s="22"/>
      <c r="BV467" s="2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</row>
    <row r="468" spans="1:95" x14ac:dyDescent="0.25">
      <c r="A468" s="18">
        <v>465</v>
      </c>
      <c r="B468" s="19" t="s">
        <v>7453</v>
      </c>
      <c r="C468" s="19" t="s">
        <v>7454</v>
      </c>
      <c r="D468" s="20">
        <v>45992</v>
      </c>
      <c r="E468" s="20">
        <v>30330</v>
      </c>
      <c r="F468" s="19"/>
      <c r="G468" s="19"/>
      <c r="H468" s="19" t="s">
        <v>94</v>
      </c>
      <c r="I468" s="19"/>
      <c r="J468" s="19"/>
      <c r="K468" s="19"/>
      <c r="L468" s="19" t="s">
        <v>244</v>
      </c>
      <c r="M468" s="19" t="s">
        <v>245</v>
      </c>
      <c r="N468" s="19" t="s">
        <v>7455</v>
      </c>
      <c r="O468" s="19" t="s">
        <v>100</v>
      </c>
      <c r="P468" s="19"/>
      <c r="Q468" s="19"/>
      <c r="R468" s="19"/>
      <c r="S468" s="19"/>
      <c r="T468" s="19"/>
      <c r="U468" s="19"/>
      <c r="V468" s="19"/>
      <c r="W468" s="19"/>
      <c r="X468" s="19"/>
      <c r="Y468" s="19" t="s">
        <v>101</v>
      </c>
      <c r="Z468" s="19" t="s">
        <v>102</v>
      </c>
      <c r="AA468" s="19" t="s">
        <v>103</v>
      </c>
      <c r="AB468" s="19" t="s">
        <v>7456</v>
      </c>
      <c r="AC468" s="19" t="s">
        <v>7457</v>
      </c>
      <c r="AD468" s="19" t="s">
        <v>7458</v>
      </c>
      <c r="AE468" s="19" t="s">
        <v>7459</v>
      </c>
      <c r="AF468" s="19" t="s">
        <v>7460</v>
      </c>
      <c r="AG468" s="19" t="s">
        <v>7461</v>
      </c>
      <c r="AH468" s="19" t="s">
        <v>110</v>
      </c>
      <c r="AI468" s="19" t="s">
        <v>111</v>
      </c>
      <c r="AJ468" s="19" t="s">
        <v>112</v>
      </c>
      <c r="AK468" s="19"/>
      <c r="AL468" s="19"/>
      <c r="AM468" s="19" t="s">
        <v>7462</v>
      </c>
      <c r="AN468" s="19" t="s">
        <v>7463</v>
      </c>
      <c r="AO468" s="19" t="s">
        <v>1545</v>
      </c>
      <c r="AP468" s="19" t="s">
        <v>116</v>
      </c>
      <c r="AQ468" s="19" t="s">
        <v>94</v>
      </c>
      <c r="AR468" s="19" t="s">
        <v>118</v>
      </c>
      <c r="AS468" s="19" t="s">
        <v>119</v>
      </c>
      <c r="AT468" s="19" t="s">
        <v>120</v>
      </c>
      <c r="AU468" s="19" t="s">
        <v>121</v>
      </c>
      <c r="AV468" s="19" t="s">
        <v>122</v>
      </c>
      <c r="AW468" s="19" t="s">
        <v>123</v>
      </c>
      <c r="AX468" s="19" t="s">
        <v>124</v>
      </c>
      <c r="AY468" s="19" t="s">
        <v>125</v>
      </c>
      <c r="AZ468" s="19" t="s">
        <v>1546</v>
      </c>
      <c r="BA468" s="20">
        <v>45181</v>
      </c>
      <c r="BB468" s="19" t="s">
        <v>1547</v>
      </c>
      <c r="BC468" s="19" t="s">
        <v>7464</v>
      </c>
      <c r="BD468" s="19" t="s">
        <v>129</v>
      </c>
      <c r="BE468" s="19" t="s">
        <v>130</v>
      </c>
      <c r="BF468" s="19" t="s">
        <v>7465</v>
      </c>
      <c r="BG468" s="19"/>
      <c r="BH468" s="19" t="s">
        <v>132</v>
      </c>
      <c r="BI468" s="19" t="s">
        <v>132</v>
      </c>
      <c r="BJ468" s="19" t="s">
        <v>133</v>
      </c>
      <c r="BK468" s="19" t="s">
        <v>195</v>
      </c>
      <c r="BL468" s="19" t="s">
        <v>122</v>
      </c>
      <c r="BM468" s="19" t="s">
        <v>196</v>
      </c>
      <c r="BN468" s="21">
        <v>8.8780000000000001</v>
      </c>
      <c r="BO468" s="21">
        <v>1000.5479366</v>
      </c>
      <c r="BQ468" s="2"/>
      <c r="BR468" s="2"/>
      <c r="BS468" s="2"/>
      <c r="BT468" s="2"/>
      <c r="BU468" s="22"/>
      <c r="BV468" s="2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</row>
    <row r="469" spans="1:95" x14ac:dyDescent="0.25">
      <c r="A469" s="18">
        <v>466</v>
      </c>
      <c r="B469" s="19" t="s">
        <v>7466</v>
      </c>
      <c r="C469" s="19" t="s">
        <v>7467</v>
      </c>
      <c r="D469" s="20">
        <v>45999</v>
      </c>
      <c r="E469" s="20">
        <v>30544</v>
      </c>
      <c r="F469" s="19"/>
      <c r="G469" s="19"/>
      <c r="H469" s="19" t="s">
        <v>94</v>
      </c>
      <c r="I469" s="19"/>
      <c r="J469" s="19"/>
      <c r="K469" s="19"/>
      <c r="L469" s="19" t="s">
        <v>467</v>
      </c>
      <c r="M469" s="19" t="s">
        <v>468</v>
      </c>
      <c r="N469" s="19" t="s">
        <v>7468</v>
      </c>
      <c r="O469" s="19" t="s">
        <v>100</v>
      </c>
      <c r="P469" s="19"/>
      <c r="Q469" s="19"/>
      <c r="R469" s="19"/>
      <c r="S469" s="19"/>
      <c r="T469" s="19"/>
      <c r="U469" s="19"/>
      <c r="V469" s="19"/>
      <c r="W469" s="19"/>
      <c r="X469" s="19"/>
      <c r="Y469" s="19" t="s">
        <v>101</v>
      </c>
      <c r="Z469" s="19" t="s">
        <v>102</v>
      </c>
      <c r="AA469" s="19" t="s">
        <v>103</v>
      </c>
      <c r="AB469" s="19" t="s">
        <v>1025</v>
      </c>
      <c r="AC469" s="19" t="s">
        <v>1026</v>
      </c>
      <c r="AD469" s="19" t="s">
        <v>7469</v>
      </c>
      <c r="AE469" s="19" t="s">
        <v>7470</v>
      </c>
      <c r="AF469" s="19"/>
      <c r="AG469" s="19" t="s">
        <v>2800</v>
      </c>
      <c r="AH469" s="19" t="s">
        <v>188</v>
      </c>
      <c r="AI469" s="19" t="s">
        <v>111</v>
      </c>
      <c r="AJ469" s="19" t="s">
        <v>7471</v>
      </c>
      <c r="AK469" s="19"/>
      <c r="AL469" s="19"/>
      <c r="AM469" s="19" t="s">
        <v>7472</v>
      </c>
      <c r="AN469" s="19" t="s">
        <v>7473</v>
      </c>
      <c r="AO469" s="19" t="s">
        <v>7474</v>
      </c>
      <c r="AP469" s="19" t="s">
        <v>7475</v>
      </c>
      <c r="AQ469" s="19" t="s">
        <v>94</v>
      </c>
      <c r="AR469" s="19" t="s">
        <v>7476</v>
      </c>
      <c r="AS469" s="19" t="s">
        <v>7477</v>
      </c>
      <c r="AT469" s="19" t="s">
        <v>7478</v>
      </c>
      <c r="AU469" s="19" t="s">
        <v>7479</v>
      </c>
      <c r="AV469" s="19" t="s">
        <v>122</v>
      </c>
      <c r="AW469" s="19" t="s">
        <v>7480</v>
      </c>
      <c r="AX469" s="19" t="s">
        <v>124</v>
      </c>
      <c r="AY469" s="19" t="s">
        <v>7481</v>
      </c>
      <c r="AZ469" s="19" t="s">
        <v>7482</v>
      </c>
      <c r="BA469" s="20">
        <v>37428</v>
      </c>
      <c r="BB469" s="19" t="s">
        <v>7483</v>
      </c>
      <c r="BC469" s="19" t="s">
        <v>7484</v>
      </c>
      <c r="BD469" s="19" t="s">
        <v>2800</v>
      </c>
      <c r="BE469" s="19" t="s">
        <v>130</v>
      </c>
      <c r="BF469" s="19" t="s">
        <v>7485</v>
      </c>
      <c r="BG469" s="19"/>
      <c r="BH469" s="19" t="s">
        <v>7486</v>
      </c>
      <c r="BI469" s="19" t="s">
        <v>7486</v>
      </c>
      <c r="BJ469" s="19" t="s">
        <v>7487</v>
      </c>
      <c r="BK469" s="19" t="s">
        <v>7488</v>
      </c>
      <c r="BL469" s="19" t="s">
        <v>2800</v>
      </c>
      <c r="BM469" s="19" t="s">
        <v>1045</v>
      </c>
      <c r="BN469" s="21">
        <v>15202.258</v>
      </c>
      <c r="BO469" s="21">
        <v>528807.50407839997</v>
      </c>
      <c r="BQ469" s="2"/>
      <c r="BR469" s="2"/>
      <c r="BS469" s="2"/>
      <c r="BT469" s="2"/>
      <c r="BU469" s="22"/>
      <c r="BV469" s="2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</row>
    <row r="470" spans="1:95" x14ac:dyDescent="0.25">
      <c r="A470" s="18">
        <v>467</v>
      </c>
      <c r="B470" s="19" t="s">
        <v>7489</v>
      </c>
      <c r="C470" s="19" t="s">
        <v>7490</v>
      </c>
      <c r="D470" s="20">
        <v>46000</v>
      </c>
      <c r="E470" s="20">
        <v>27176</v>
      </c>
      <c r="F470" s="19"/>
      <c r="G470" s="19"/>
      <c r="H470" s="19" t="s">
        <v>94</v>
      </c>
      <c r="I470" s="19"/>
      <c r="J470" s="19" t="s">
        <v>1276</v>
      </c>
      <c r="K470" s="19" t="s">
        <v>1277</v>
      </c>
      <c r="L470" s="19" t="s">
        <v>1825</v>
      </c>
      <c r="M470" s="19" t="s">
        <v>610</v>
      </c>
      <c r="N470" s="19" t="s">
        <v>7491</v>
      </c>
      <c r="O470" s="19" t="s">
        <v>100</v>
      </c>
      <c r="P470" s="19"/>
      <c r="Q470" s="19"/>
      <c r="R470" s="19"/>
      <c r="S470" s="19"/>
      <c r="T470" s="19"/>
      <c r="U470" s="19"/>
      <c r="V470" s="19"/>
      <c r="W470" s="19"/>
      <c r="X470" s="19"/>
      <c r="Y470" s="19" t="s">
        <v>101</v>
      </c>
      <c r="Z470" s="19" t="s">
        <v>102</v>
      </c>
      <c r="AA470" s="19" t="s">
        <v>103</v>
      </c>
      <c r="AB470" s="19" t="s">
        <v>247</v>
      </c>
      <c r="AC470" s="19" t="s">
        <v>248</v>
      </c>
      <c r="AD470" s="19" t="s">
        <v>7492</v>
      </c>
      <c r="AE470" s="19" t="s">
        <v>7493</v>
      </c>
      <c r="AF470" s="19" t="s">
        <v>7494</v>
      </c>
      <c r="AG470" s="19" t="s">
        <v>7495</v>
      </c>
      <c r="AH470" s="19" t="s">
        <v>677</v>
      </c>
      <c r="AI470" s="19" t="s">
        <v>111</v>
      </c>
      <c r="AJ470" s="19" t="s">
        <v>7496</v>
      </c>
      <c r="AK470" s="19"/>
      <c r="AL470" s="19"/>
      <c r="AM470" s="19" t="s">
        <v>7497</v>
      </c>
      <c r="AN470" s="19" t="s">
        <v>7498</v>
      </c>
      <c r="AO470" s="19" t="s">
        <v>1077</v>
      </c>
      <c r="AP470" s="19" t="s">
        <v>1077</v>
      </c>
      <c r="AQ470" s="19" t="s">
        <v>117</v>
      </c>
      <c r="AR470" s="19"/>
      <c r="AS470" s="19" t="s">
        <v>1078</v>
      </c>
      <c r="AT470" s="19"/>
      <c r="AU470" s="19"/>
      <c r="AV470" s="19"/>
      <c r="AW470" s="19" t="s">
        <v>1079</v>
      </c>
      <c r="AX470" s="19"/>
      <c r="AY470" s="19"/>
      <c r="AZ470" s="19"/>
      <c r="BA470" s="20">
        <v>38627</v>
      </c>
      <c r="BB470" s="19" t="s">
        <v>127</v>
      </c>
      <c r="BC470" s="19" t="s">
        <v>1286</v>
      </c>
      <c r="BD470" s="19" t="s">
        <v>219</v>
      </c>
      <c r="BE470" s="19" t="s">
        <v>7499</v>
      </c>
      <c r="BF470" s="19" t="s">
        <v>7500</v>
      </c>
      <c r="BG470" s="19"/>
      <c r="BH470" s="19" t="s">
        <v>1289</v>
      </c>
      <c r="BI470" s="19" t="s">
        <v>1289</v>
      </c>
      <c r="BJ470" s="19" t="s">
        <v>133</v>
      </c>
      <c r="BK470" s="19" t="s">
        <v>785</v>
      </c>
      <c r="BL470" s="19" t="s">
        <v>122</v>
      </c>
      <c r="BM470" s="19" t="s">
        <v>196</v>
      </c>
      <c r="BN470" s="21">
        <v>9155.6910000000007</v>
      </c>
      <c r="BO470" s="21">
        <v>4014884.0340684</v>
      </c>
      <c r="BQ470" s="2"/>
      <c r="BR470" s="2"/>
      <c r="BS470" s="2"/>
      <c r="BT470" s="2"/>
      <c r="BU470" s="22"/>
      <c r="BV470" s="2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</row>
    <row r="471" spans="1:95" x14ac:dyDescent="0.25">
      <c r="A471" s="18">
        <v>468</v>
      </c>
      <c r="B471" s="19" t="s">
        <v>7501</v>
      </c>
      <c r="C471" s="19" t="s">
        <v>7502</v>
      </c>
      <c r="D471" s="20">
        <v>45993</v>
      </c>
      <c r="E471" s="20">
        <v>25663</v>
      </c>
      <c r="F471" s="19"/>
      <c r="G471" s="19"/>
      <c r="H471" s="19" t="s">
        <v>94</v>
      </c>
      <c r="I471" s="19"/>
      <c r="J471" s="19"/>
      <c r="K471" s="19"/>
      <c r="L471" s="19" t="s">
        <v>289</v>
      </c>
      <c r="M471" s="19" t="s">
        <v>290</v>
      </c>
      <c r="N471" s="19" t="s">
        <v>7503</v>
      </c>
      <c r="O471" s="19" t="s">
        <v>100</v>
      </c>
      <c r="P471" s="19"/>
      <c r="Q471" s="19"/>
      <c r="R471" s="19"/>
      <c r="S471" s="19"/>
      <c r="T471" s="19"/>
      <c r="U471" s="19"/>
      <c r="V471" s="19"/>
      <c r="W471" s="19"/>
      <c r="X471" s="19"/>
      <c r="Y471" s="19" t="s">
        <v>101</v>
      </c>
      <c r="Z471" s="19" t="s">
        <v>102</v>
      </c>
      <c r="AA471" s="19" t="s">
        <v>103</v>
      </c>
      <c r="AB471" s="19" t="s">
        <v>487</v>
      </c>
      <c r="AC471" s="19" t="s">
        <v>488</v>
      </c>
      <c r="AD471" s="19" t="s">
        <v>7504</v>
      </c>
      <c r="AE471" s="19" t="s">
        <v>7505</v>
      </c>
      <c r="AF471" s="19" t="s">
        <v>7506</v>
      </c>
      <c r="AG471" s="19" t="s">
        <v>4869</v>
      </c>
      <c r="AH471" s="19" t="s">
        <v>1560</v>
      </c>
      <c r="AI471" s="19" t="s">
        <v>111</v>
      </c>
      <c r="AJ471" s="19" t="s">
        <v>7507</v>
      </c>
      <c r="AK471" s="19"/>
      <c r="AL471" s="19"/>
      <c r="AM471" s="19" t="s">
        <v>7508</v>
      </c>
      <c r="AN471" s="19" t="s">
        <v>7509</v>
      </c>
      <c r="AO471" s="19" t="s">
        <v>494</v>
      </c>
      <c r="AP471" s="19" t="s">
        <v>495</v>
      </c>
      <c r="AQ471" s="19" t="s">
        <v>117</v>
      </c>
      <c r="AR471" s="19" t="s">
        <v>496</v>
      </c>
      <c r="AS471" s="19" t="s">
        <v>497</v>
      </c>
      <c r="AT471" s="19" t="s">
        <v>498</v>
      </c>
      <c r="AU471" s="19" t="s">
        <v>499</v>
      </c>
      <c r="AV471" s="19" t="s">
        <v>168</v>
      </c>
      <c r="AW471" s="19" t="s">
        <v>500</v>
      </c>
      <c r="AX471" s="19" t="s">
        <v>262</v>
      </c>
      <c r="AY471" s="19" t="s">
        <v>501</v>
      </c>
      <c r="AZ471" s="19" t="s">
        <v>502</v>
      </c>
      <c r="BA471" s="20">
        <v>45832</v>
      </c>
      <c r="BB471" s="19" t="s">
        <v>7510</v>
      </c>
      <c r="BC471" s="19" t="s">
        <v>7511</v>
      </c>
      <c r="BD471" s="19" t="s">
        <v>7512</v>
      </c>
      <c r="BE471" s="19" t="s">
        <v>130</v>
      </c>
      <c r="BF471" s="19" t="s">
        <v>7513</v>
      </c>
      <c r="BG471" s="19"/>
      <c r="BH471" s="19" t="s">
        <v>7514</v>
      </c>
      <c r="BI471" s="19" t="s">
        <v>7514</v>
      </c>
      <c r="BJ471" s="19" t="s">
        <v>166</v>
      </c>
      <c r="BK471" s="19" t="s">
        <v>167</v>
      </c>
      <c r="BL471" s="19" t="s">
        <v>168</v>
      </c>
      <c r="BM471" s="19" t="s">
        <v>169</v>
      </c>
      <c r="BN471" s="21">
        <v>0.92800000000000005</v>
      </c>
      <c r="BO471" s="21">
        <v>401.83031039999997</v>
      </c>
      <c r="BQ471" s="2"/>
      <c r="BR471" s="2"/>
      <c r="BS471" s="2"/>
      <c r="BT471" s="2"/>
      <c r="BU471" s="22"/>
      <c r="BV471" s="2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</row>
    <row r="472" spans="1:95" x14ac:dyDescent="0.25">
      <c r="A472" s="18">
        <v>469</v>
      </c>
      <c r="B472" s="19" t="s">
        <v>7515</v>
      </c>
      <c r="C472" s="19" t="s">
        <v>7516</v>
      </c>
      <c r="D472" s="20">
        <v>45994</v>
      </c>
      <c r="E472" s="20">
        <v>27608</v>
      </c>
      <c r="F472" s="19" t="s">
        <v>7517</v>
      </c>
      <c r="G472" s="19" t="s">
        <v>139</v>
      </c>
      <c r="H472" s="19" t="s">
        <v>94</v>
      </c>
      <c r="I472" s="19"/>
      <c r="J472" s="19"/>
      <c r="K472" s="19"/>
      <c r="L472" s="19" t="s">
        <v>687</v>
      </c>
      <c r="M472" s="19" t="s">
        <v>688</v>
      </c>
      <c r="N472" s="19" t="s">
        <v>7518</v>
      </c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 t="s">
        <v>101</v>
      </c>
      <c r="Z472" s="19" t="s">
        <v>102</v>
      </c>
      <c r="AA472" s="19" t="s">
        <v>103</v>
      </c>
      <c r="AB472" s="19" t="s">
        <v>247</v>
      </c>
      <c r="AC472" s="19" t="s">
        <v>248</v>
      </c>
      <c r="AD472" s="19" t="s">
        <v>7519</v>
      </c>
      <c r="AE472" s="19" t="s">
        <v>7520</v>
      </c>
      <c r="AF472" s="19" t="s">
        <v>7521</v>
      </c>
      <c r="AG472" s="19" t="s">
        <v>7522</v>
      </c>
      <c r="AH472" s="19" t="s">
        <v>188</v>
      </c>
      <c r="AI472" s="19" t="s">
        <v>111</v>
      </c>
      <c r="AJ472" s="19" t="s">
        <v>7523</v>
      </c>
      <c r="AK472" s="19"/>
      <c r="AL472" s="19" t="s">
        <v>7524</v>
      </c>
      <c r="AM472" s="19" t="s">
        <v>7525</v>
      </c>
      <c r="AN472" s="19" t="s">
        <v>7526</v>
      </c>
      <c r="AO472" s="19" t="s">
        <v>2705</v>
      </c>
      <c r="AP472" s="19" t="s">
        <v>2706</v>
      </c>
      <c r="AQ472" s="19" t="s">
        <v>117</v>
      </c>
      <c r="AR472" s="19"/>
      <c r="AS472" s="19"/>
      <c r="AT472" s="19"/>
      <c r="AU472" s="19"/>
      <c r="AV472" s="19"/>
      <c r="AW472" s="19"/>
      <c r="AX472" s="19"/>
      <c r="AY472" s="19"/>
      <c r="AZ472" s="19" t="s">
        <v>2707</v>
      </c>
      <c r="BA472" s="20">
        <v>45363</v>
      </c>
      <c r="BB472" s="19" t="s">
        <v>349</v>
      </c>
      <c r="BC472" s="19" t="s">
        <v>7527</v>
      </c>
      <c r="BD472" s="19" t="s">
        <v>365</v>
      </c>
      <c r="BE472" s="19" t="s">
        <v>130</v>
      </c>
      <c r="BF472" s="19" t="s">
        <v>7528</v>
      </c>
      <c r="BG472" s="19"/>
      <c r="BH472" s="19" t="s">
        <v>7529</v>
      </c>
      <c r="BI472" s="19" t="s">
        <v>7529</v>
      </c>
      <c r="BJ472" s="19" t="s">
        <v>166</v>
      </c>
      <c r="BK472" s="19" t="s">
        <v>167</v>
      </c>
      <c r="BL472" s="19" t="s">
        <v>168</v>
      </c>
      <c r="BM472" s="19" t="s">
        <v>169</v>
      </c>
      <c r="BN472" s="21">
        <v>37.965000000000003</v>
      </c>
      <c r="BO472" s="21">
        <v>16648.123265999999</v>
      </c>
      <c r="BQ472" s="2"/>
      <c r="BR472" s="2"/>
      <c r="BS472" s="2"/>
      <c r="BT472" s="2"/>
      <c r="BU472" s="22"/>
      <c r="BV472" s="2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</row>
    <row r="473" spans="1:95" x14ac:dyDescent="0.25">
      <c r="A473" s="18">
        <v>470</v>
      </c>
      <c r="B473" s="19" t="s">
        <v>7530</v>
      </c>
      <c r="C473" s="19" t="s">
        <v>7531</v>
      </c>
      <c r="D473" s="20">
        <v>45994</v>
      </c>
      <c r="E473" s="20">
        <v>36500</v>
      </c>
      <c r="F473" s="19" t="s">
        <v>7532</v>
      </c>
      <c r="G473" s="19" t="s">
        <v>139</v>
      </c>
      <c r="H473" s="19" t="s">
        <v>94</v>
      </c>
      <c r="I473" s="19"/>
      <c r="J473" s="19"/>
      <c r="K473" s="19"/>
      <c r="L473" s="19" t="s">
        <v>140</v>
      </c>
      <c r="M473" s="19" t="s">
        <v>141</v>
      </c>
      <c r="N473" s="19" t="s">
        <v>7533</v>
      </c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 t="s">
        <v>101</v>
      </c>
      <c r="Z473" s="19" t="s">
        <v>102</v>
      </c>
      <c r="AA473" s="19" t="s">
        <v>103</v>
      </c>
      <c r="AB473" s="19" t="s">
        <v>143</v>
      </c>
      <c r="AC473" s="19" t="s">
        <v>144</v>
      </c>
      <c r="AD473" s="19" t="s">
        <v>7534</v>
      </c>
      <c r="AE473" s="19" t="s">
        <v>7535</v>
      </c>
      <c r="AF473" s="19"/>
      <c r="AG473" s="19" t="s">
        <v>7536</v>
      </c>
      <c r="AH473" s="19" t="s">
        <v>1326</v>
      </c>
      <c r="AI473" s="19"/>
      <c r="AJ473" s="19" t="s">
        <v>7537</v>
      </c>
      <c r="AK473" s="19"/>
      <c r="AL473" s="19" t="s">
        <v>7538</v>
      </c>
      <c r="AM473" s="19" t="s">
        <v>7539</v>
      </c>
      <c r="AN473" s="19" t="s">
        <v>7540</v>
      </c>
      <c r="AO473" s="19" t="s">
        <v>154</v>
      </c>
      <c r="AP473" s="19" t="s">
        <v>155</v>
      </c>
      <c r="AQ473" s="19" t="s">
        <v>117</v>
      </c>
      <c r="AR473" s="19" t="s">
        <v>156</v>
      </c>
      <c r="AS473" s="19" t="s">
        <v>157</v>
      </c>
      <c r="AT473" s="19" t="s">
        <v>158</v>
      </c>
      <c r="AU473" s="19"/>
      <c r="AV473" s="19" t="s">
        <v>122</v>
      </c>
      <c r="AW473" s="19"/>
      <c r="AX473" s="19" t="s">
        <v>124</v>
      </c>
      <c r="AY473" s="19" t="s">
        <v>159</v>
      </c>
      <c r="AZ473" s="19" t="s">
        <v>160</v>
      </c>
      <c r="BA473" s="20">
        <v>44676</v>
      </c>
      <c r="BB473" s="19" t="s">
        <v>444</v>
      </c>
      <c r="BC473" s="19" t="s">
        <v>7541</v>
      </c>
      <c r="BD473" s="19" t="s">
        <v>7541</v>
      </c>
      <c r="BE473" s="19" t="s">
        <v>130</v>
      </c>
      <c r="BF473" s="19" t="s">
        <v>7542</v>
      </c>
      <c r="BG473" s="19"/>
      <c r="BH473" s="19" t="s">
        <v>7543</v>
      </c>
      <c r="BI473" s="19" t="s">
        <v>7543</v>
      </c>
      <c r="BJ473" s="19" t="s">
        <v>166</v>
      </c>
      <c r="BK473" s="19" t="s">
        <v>167</v>
      </c>
      <c r="BL473" s="19" t="s">
        <v>168</v>
      </c>
      <c r="BM473" s="19" t="s">
        <v>169</v>
      </c>
      <c r="BN473" s="21">
        <v>2.7029999999999998</v>
      </c>
      <c r="BO473" s="21">
        <v>102.95726999999999</v>
      </c>
      <c r="BQ473" s="2"/>
      <c r="BR473" s="2"/>
      <c r="BS473" s="2"/>
      <c r="BT473" s="2"/>
      <c r="BU473" s="22"/>
      <c r="BV473" s="2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</row>
    <row r="474" spans="1:95" x14ac:dyDescent="0.25">
      <c r="A474" s="18">
        <v>471</v>
      </c>
      <c r="B474" s="19" t="s">
        <v>7544</v>
      </c>
      <c r="C474" s="19" t="s">
        <v>7545</v>
      </c>
      <c r="D474" s="20">
        <v>46001</v>
      </c>
      <c r="E474" s="20">
        <v>36142</v>
      </c>
      <c r="F474" s="19" t="s">
        <v>7546</v>
      </c>
      <c r="G474" s="19" t="s">
        <v>139</v>
      </c>
      <c r="H474" s="19" t="s">
        <v>94</v>
      </c>
      <c r="I474" s="19"/>
      <c r="J474" s="19"/>
      <c r="K474" s="19"/>
      <c r="L474" s="19" t="s">
        <v>1262</v>
      </c>
      <c r="M474" s="19" t="s">
        <v>1263</v>
      </c>
      <c r="N474" s="19" t="s">
        <v>7547</v>
      </c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 t="s">
        <v>101</v>
      </c>
      <c r="Z474" s="19" t="s">
        <v>102</v>
      </c>
      <c r="AA474" s="19" t="s">
        <v>103</v>
      </c>
      <c r="AB474" s="19" t="s">
        <v>953</v>
      </c>
      <c r="AC474" s="19" t="s">
        <v>954</v>
      </c>
      <c r="AD474" s="19" t="s">
        <v>7548</v>
      </c>
      <c r="AE474" s="19" t="s">
        <v>7549</v>
      </c>
      <c r="AF474" s="19"/>
      <c r="AG474" s="19" t="s">
        <v>7550</v>
      </c>
      <c r="AH474" s="19" t="s">
        <v>124</v>
      </c>
      <c r="AI474" s="19" t="s">
        <v>111</v>
      </c>
      <c r="AJ474" s="19" t="s">
        <v>7551</v>
      </c>
      <c r="AK474" s="19"/>
      <c r="AL474" s="19" t="s">
        <v>7552</v>
      </c>
      <c r="AM474" s="19" t="s">
        <v>7553</v>
      </c>
      <c r="AN474" s="19"/>
      <c r="AO474" s="19" t="s">
        <v>154</v>
      </c>
      <c r="AP474" s="19" t="s">
        <v>155</v>
      </c>
      <c r="AQ474" s="19" t="s">
        <v>117</v>
      </c>
      <c r="AR474" s="19" t="s">
        <v>156</v>
      </c>
      <c r="AS474" s="19" t="s">
        <v>157</v>
      </c>
      <c r="AT474" s="19" t="s">
        <v>158</v>
      </c>
      <c r="AU474" s="19"/>
      <c r="AV474" s="19" t="s">
        <v>122</v>
      </c>
      <c r="AW474" s="19"/>
      <c r="AX474" s="19" t="s">
        <v>124</v>
      </c>
      <c r="AY474" s="19" t="s">
        <v>159</v>
      </c>
      <c r="AZ474" s="19" t="s">
        <v>160</v>
      </c>
      <c r="BA474" s="20">
        <v>44676</v>
      </c>
      <c r="BB474" s="19" t="s">
        <v>3481</v>
      </c>
      <c r="BC474" s="19" t="s">
        <v>3482</v>
      </c>
      <c r="BD474" s="19" t="s">
        <v>365</v>
      </c>
      <c r="BE474" s="19" t="s">
        <v>130</v>
      </c>
      <c r="BF474" s="19" t="s">
        <v>7554</v>
      </c>
      <c r="BG474" s="19"/>
      <c r="BH474" s="19" t="s">
        <v>3484</v>
      </c>
      <c r="BI474" s="19" t="s">
        <v>3484</v>
      </c>
      <c r="BJ474" s="19" t="s">
        <v>166</v>
      </c>
      <c r="BK474" s="19" t="s">
        <v>167</v>
      </c>
      <c r="BL474" s="19" t="s">
        <v>168</v>
      </c>
      <c r="BM474" s="19" t="s">
        <v>169</v>
      </c>
      <c r="BN474" s="21">
        <v>25.832000000000001</v>
      </c>
      <c r="BO474" s="21">
        <v>1040.5568744</v>
      </c>
      <c r="BQ474" s="2"/>
      <c r="BR474" s="2"/>
      <c r="BS474" s="2"/>
      <c r="BT474" s="2"/>
      <c r="BU474" s="22"/>
      <c r="BV474" s="2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</row>
    <row r="475" spans="1:95" x14ac:dyDescent="0.25">
      <c r="A475" s="18">
        <v>472</v>
      </c>
      <c r="B475" s="19" t="s">
        <v>7555</v>
      </c>
      <c r="C475" s="19" t="s">
        <v>7556</v>
      </c>
      <c r="D475" s="20">
        <v>46000</v>
      </c>
      <c r="E475" s="20">
        <v>38198</v>
      </c>
      <c r="F475" s="19" t="s">
        <v>7557</v>
      </c>
      <c r="G475" s="19" t="s">
        <v>139</v>
      </c>
      <c r="H475" s="19" t="s">
        <v>94</v>
      </c>
      <c r="I475" s="19"/>
      <c r="J475" s="19"/>
      <c r="K475" s="19"/>
      <c r="L475" s="19" t="s">
        <v>244</v>
      </c>
      <c r="M475" s="19" t="s">
        <v>245</v>
      </c>
      <c r="N475" s="19" t="s">
        <v>7558</v>
      </c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 t="s">
        <v>101</v>
      </c>
      <c r="Z475" s="19" t="s">
        <v>102</v>
      </c>
      <c r="AA475" s="19" t="s">
        <v>103</v>
      </c>
      <c r="AB475" s="19" t="s">
        <v>173</v>
      </c>
      <c r="AC475" s="19" t="s">
        <v>174</v>
      </c>
      <c r="AD475" s="19" t="s">
        <v>7559</v>
      </c>
      <c r="AE475" s="19" t="s">
        <v>7560</v>
      </c>
      <c r="AF475" s="19"/>
      <c r="AG475" s="19" t="s">
        <v>2016</v>
      </c>
      <c r="AH475" s="19" t="s">
        <v>149</v>
      </c>
      <c r="AI475" s="19" t="s">
        <v>111</v>
      </c>
      <c r="AJ475" s="19" t="s">
        <v>2042</v>
      </c>
      <c r="AK475" s="19"/>
      <c r="AL475" s="19" t="s">
        <v>7561</v>
      </c>
      <c r="AM475" s="19" t="s">
        <v>7562</v>
      </c>
      <c r="AN475" s="19" t="s">
        <v>7563</v>
      </c>
      <c r="AO475" s="19" t="s">
        <v>154</v>
      </c>
      <c r="AP475" s="19" t="s">
        <v>155</v>
      </c>
      <c r="AQ475" s="19" t="s">
        <v>117</v>
      </c>
      <c r="AR475" s="19" t="s">
        <v>156</v>
      </c>
      <c r="AS475" s="19" t="s">
        <v>157</v>
      </c>
      <c r="AT475" s="19" t="s">
        <v>158</v>
      </c>
      <c r="AU475" s="19"/>
      <c r="AV475" s="19" t="s">
        <v>122</v>
      </c>
      <c r="AW475" s="19"/>
      <c r="AX475" s="19" t="s">
        <v>124</v>
      </c>
      <c r="AY475" s="19" t="s">
        <v>159</v>
      </c>
      <c r="AZ475" s="19" t="s">
        <v>160</v>
      </c>
      <c r="BA475" s="20">
        <v>44676</v>
      </c>
      <c r="BB475" s="19" t="s">
        <v>363</v>
      </c>
      <c r="BC475" s="19" t="s">
        <v>7564</v>
      </c>
      <c r="BD475" s="19" t="s">
        <v>2016</v>
      </c>
      <c r="BE475" s="19" t="s">
        <v>130</v>
      </c>
      <c r="BF475" s="19" t="s">
        <v>7565</v>
      </c>
      <c r="BG475" s="19"/>
      <c r="BH475" s="19" t="s">
        <v>7566</v>
      </c>
      <c r="BI475" s="19" t="s">
        <v>7566</v>
      </c>
      <c r="BJ475" s="19" t="s">
        <v>166</v>
      </c>
      <c r="BK475" s="19" t="s">
        <v>167</v>
      </c>
      <c r="BL475" s="19" t="s">
        <v>168</v>
      </c>
      <c r="BM475" s="19" t="s">
        <v>169</v>
      </c>
      <c r="BN475" s="21">
        <v>13.991</v>
      </c>
      <c r="BO475" s="21">
        <v>495.61998219999998</v>
      </c>
      <c r="BQ475" s="2"/>
      <c r="BR475" s="2"/>
      <c r="BS475" s="2"/>
      <c r="BT475" s="2"/>
      <c r="BU475" s="22"/>
      <c r="BV475" s="2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</row>
    <row r="476" spans="1:95" x14ac:dyDescent="0.25">
      <c r="A476" s="18">
        <v>473</v>
      </c>
      <c r="B476" s="19" t="s">
        <v>7567</v>
      </c>
      <c r="C476" s="19" t="s">
        <v>7568</v>
      </c>
      <c r="D476" s="20">
        <v>46001</v>
      </c>
      <c r="E476" s="20">
        <v>36153</v>
      </c>
      <c r="F476" s="19" t="s">
        <v>7569</v>
      </c>
      <c r="G476" s="19" t="s">
        <v>139</v>
      </c>
      <c r="H476" s="19" t="s">
        <v>94</v>
      </c>
      <c r="I476" s="19"/>
      <c r="J476" s="19"/>
      <c r="K476" s="19"/>
      <c r="L476" s="19" t="s">
        <v>1262</v>
      </c>
      <c r="M476" s="19" t="s">
        <v>1263</v>
      </c>
      <c r="N476" s="19" t="s">
        <v>7570</v>
      </c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 t="s">
        <v>101</v>
      </c>
      <c r="Z476" s="19" t="s">
        <v>102</v>
      </c>
      <c r="AA476" s="19" t="s">
        <v>103</v>
      </c>
      <c r="AB476" s="19" t="s">
        <v>1306</v>
      </c>
      <c r="AC476" s="19" t="s">
        <v>1307</v>
      </c>
      <c r="AD476" s="19" t="s">
        <v>7571</v>
      </c>
      <c r="AE476" s="19"/>
      <c r="AF476" s="19"/>
      <c r="AG476" s="19" t="s">
        <v>6379</v>
      </c>
      <c r="AH476" s="19" t="s">
        <v>1237</v>
      </c>
      <c r="AI476" s="19" t="s">
        <v>111</v>
      </c>
      <c r="AJ476" s="19" t="s">
        <v>7572</v>
      </c>
      <c r="AK476" s="19"/>
      <c r="AL476" s="19"/>
      <c r="AM476" s="19" t="s">
        <v>7573</v>
      </c>
      <c r="AN476" s="19" t="s">
        <v>7574</v>
      </c>
      <c r="AO476" s="19" t="s">
        <v>476</v>
      </c>
      <c r="AP476" s="19" t="s">
        <v>477</v>
      </c>
      <c r="AQ476" s="19" t="s">
        <v>117</v>
      </c>
      <c r="AR476" s="19" t="s">
        <v>478</v>
      </c>
      <c r="AS476" s="19"/>
      <c r="AT476" s="19"/>
      <c r="AU476" s="19"/>
      <c r="AV476" s="19"/>
      <c r="AW476" s="19"/>
      <c r="AX476" s="19"/>
      <c r="AY476" s="19"/>
      <c r="AZ476" s="19"/>
      <c r="BA476" s="20">
        <v>44452</v>
      </c>
      <c r="BB476" s="19" t="s">
        <v>444</v>
      </c>
      <c r="BC476" s="19" t="s">
        <v>7575</v>
      </c>
      <c r="BD476" s="19" t="s">
        <v>1930</v>
      </c>
      <c r="BE476" s="19" t="s">
        <v>130</v>
      </c>
      <c r="BF476" s="19" t="s">
        <v>7576</v>
      </c>
      <c r="BG476" s="19"/>
      <c r="BH476" s="19" t="s">
        <v>7577</v>
      </c>
      <c r="BI476" s="19" t="s">
        <v>7577</v>
      </c>
      <c r="BJ476" s="19" t="s">
        <v>166</v>
      </c>
      <c r="BK476" s="19" t="s">
        <v>167</v>
      </c>
      <c r="BL476" s="19" t="s">
        <v>168</v>
      </c>
      <c r="BM476" s="19" t="s">
        <v>169</v>
      </c>
      <c r="BN476" s="21">
        <v>2598.3409999999999</v>
      </c>
      <c r="BO476" s="21">
        <v>138350.2255496</v>
      </c>
      <c r="BQ476" s="2"/>
      <c r="BR476" s="2"/>
      <c r="BS476" s="2"/>
      <c r="BT476" s="2"/>
      <c r="BU476" s="22"/>
      <c r="BV476" s="2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</row>
    <row r="477" spans="1:95" x14ac:dyDescent="0.25">
      <c r="A477" s="18">
        <v>474</v>
      </c>
      <c r="B477" s="19" t="s">
        <v>7578</v>
      </c>
      <c r="C477" s="19" t="s">
        <v>7579</v>
      </c>
      <c r="D477" s="20">
        <v>45994</v>
      </c>
      <c r="E477" s="20">
        <v>21618</v>
      </c>
      <c r="F477" s="19"/>
      <c r="G477" s="19"/>
      <c r="H477" s="19" t="s">
        <v>94</v>
      </c>
      <c r="I477" s="19"/>
      <c r="J477" s="19" t="s">
        <v>287</v>
      </c>
      <c r="K477" s="19" t="s">
        <v>288</v>
      </c>
      <c r="L477" s="19" t="s">
        <v>101</v>
      </c>
      <c r="M477" s="19" t="s">
        <v>290</v>
      </c>
      <c r="N477" s="19" t="s">
        <v>7580</v>
      </c>
      <c r="O477" s="19" t="s">
        <v>100</v>
      </c>
      <c r="P477" s="19"/>
      <c r="Q477" s="19"/>
      <c r="R477" s="19"/>
      <c r="S477" s="19" t="s">
        <v>7581</v>
      </c>
      <c r="T477" s="19" t="s">
        <v>7582</v>
      </c>
      <c r="U477" s="19" t="s">
        <v>100</v>
      </c>
      <c r="V477" s="19"/>
      <c r="W477" s="19"/>
      <c r="X477" s="19"/>
      <c r="Y477" s="19" t="s">
        <v>101</v>
      </c>
      <c r="Z477" s="19" t="s">
        <v>102</v>
      </c>
      <c r="AA477" s="19" t="s">
        <v>103</v>
      </c>
      <c r="AB477" s="19" t="s">
        <v>720</v>
      </c>
      <c r="AC477" s="19" t="s">
        <v>721</v>
      </c>
      <c r="AD477" s="19" t="s">
        <v>7583</v>
      </c>
      <c r="AE477" s="19" t="s">
        <v>7584</v>
      </c>
      <c r="AF477" s="19" t="s">
        <v>7585</v>
      </c>
      <c r="AG477" s="19" t="s">
        <v>109</v>
      </c>
      <c r="AH477" s="19" t="s">
        <v>110</v>
      </c>
      <c r="AI477" s="19" t="s">
        <v>111</v>
      </c>
      <c r="AJ477" s="19" t="s">
        <v>7586</v>
      </c>
      <c r="AK477" s="19"/>
      <c r="AL477" s="19"/>
      <c r="AM477" s="19" t="s">
        <v>7587</v>
      </c>
      <c r="AN477" s="19" t="s">
        <v>7588</v>
      </c>
      <c r="AO477" s="19" t="s">
        <v>7589</v>
      </c>
      <c r="AP477" s="19" t="s">
        <v>7590</v>
      </c>
      <c r="AQ477" s="19" t="s">
        <v>117</v>
      </c>
      <c r="AR477" s="19" t="s">
        <v>7591</v>
      </c>
      <c r="AS477" s="19" t="s">
        <v>7592</v>
      </c>
      <c r="AT477" s="19" t="s">
        <v>7593</v>
      </c>
      <c r="AU477" s="19" t="s">
        <v>7594</v>
      </c>
      <c r="AV477" s="19" t="s">
        <v>109</v>
      </c>
      <c r="AW477" s="19" t="s">
        <v>7586</v>
      </c>
      <c r="AX477" s="19" t="s">
        <v>110</v>
      </c>
      <c r="AY477" s="19" t="s">
        <v>7595</v>
      </c>
      <c r="AZ477" s="19" t="s">
        <v>7596</v>
      </c>
      <c r="BA477" s="20">
        <v>39834</v>
      </c>
      <c r="BB477" s="19" t="s">
        <v>661</v>
      </c>
      <c r="BC477" s="19" t="s">
        <v>7597</v>
      </c>
      <c r="BD477" s="19" t="s">
        <v>7598</v>
      </c>
      <c r="BE477" s="19" t="s">
        <v>130</v>
      </c>
      <c r="BF477" s="19" t="s">
        <v>7599</v>
      </c>
      <c r="BG477" s="19" t="s">
        <v>7600</v>
      </c>
      <c r="BH477" s="19" t="s">
        <v>7601</v>
      </c>
      <c r="BI477" s="19" t="s">
        <v>7601</v>
      </c>
      <c r="BJ477" s="19" t="s">
        <v>166</v>
      </c>
      <c r="BK477" s="19" t="s">
        <v>3183</v>
      </c>
      <c r="BL477" s="19" t="s">
        <v>109</v>
      </c>
      <c r="BM477" s="19" t="s">
        <v>135</v>
      </c>
      <c r="BN477" s="21">
        <v>177.26900000000001</v>
      </c>
      <c r="BO477" s="21">
        <v>100382.11663</v>
      </c>
      <c r="BQ477" s="2"/>
      <c r="BR477" s="2"/>
      <c r="BS477" s="2"/>
      <c r="BT477" s="2"/>
      <c r="BU477" s="22"/>
      <c r="BV477" s="2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</row>
    <row r="478" spans="1:95" x14ac:dyDescent="0.25">
      <c r="A478" s="18">
        <v>475</v>
      </c>
      <c r="B478" s="19" t="s">
        <v>7602</v>
      </c>
      <c r="C478" s="19" t="s">
        <v>7603</v>
      </c>
      <c r="D478" s="20">
        <v>46001</v>
      </c>
      <c r="E478" s="20">
        <v>32660</v>
      </c>
      <c r="F478" s="19"/>
      <c r="G478" s="19"/>
      <c r="H478" s="19" t="s">
        <v>94</v>
      </c>
      <c r="I478" s="19"/>
      <c r="J478" s="19"/>
      <c r="K478" s="19"/>
      <c r="L478" s="19" t="s">
        <v>97</v>
      </c>
      <c r="M478" s="19" t="s">
        <v>98</v>
      </c>
      <c r="N478" s="19" t="s">
        <v>7604</v>
      </c>
      <c r="O478" s="19" t="s">
        <v>100</v>
      </c>
      <c r="P478" s="19"/>
      <c r="Q478" s="19"/>
      <c r="R478" s="19"/>
      <c r="S478" s="19"/>
      <c r="T478" s="19"/>
      <c r="U478" s="19"/>
      <c r="V478" s="19"/>
      <c r="W478" s="19"/>
      <c r="X478" s="19"/>
      <c r="Y478" s="19" t="s">
        <v>101</v>
      </c>
      <c r="Z478" s="19" t="s">
        <v>102</v>
      </c>
      <c r="AA478" s="19" t="s">
        <v>103</v>
      </c>
      <c r="AB478" s="19" t="s">
        <v>143</v>
      </c>
      <c r="AC478" s="19" t="s">
        <v>144</v>
      </c>
      <c r="AD478" s="19" t="s">
        <v>7605</v>
      </c>
      <c r="AE478" s="19" t="s">
        <v>7606</v>
      </c>
      <c r="AF478" s="19"/>
      <c r="AG478" s="19" t="s">
        <v>219</v>
      </c>
      <c r="AH478" s="19" t="s">
        <v>124</v>
      </c>
      <c r="AI478" s="19" t="s">
        <v>111</v>
      </c>
      <c r="AJ478" s="19" t="s">
        <v>7607</v>
      </c>
      <c r="AK478" s="19"/>
      <c r="AL478" s="19"/>
      <c r="AM478" s="19" t="s">
        <v>7608</v>
      </c>
      <c r="AN478" s="19" t="s">
        <v>7609</v>
      </c>
      <c r="AO478" s="19" t="s">
        <v>2797</v>
      </c>
      <c r="AP478" s="19" t="s">
        <v>1034</v>
      </c>
      <c r="AQ478" s="19" t="s">
        <v>94</v>
      </c>
      <c r="AR478" s="19" t="s">
        <v>1035</v>
      </c>
      <c r="AS478" s="19" t="s">
        <v>2798</v>
      </c>
      <c r="AT478" s="19" t="s">
        <v>2799</v>
      </c>
      <c r="AU478" s="19" t="s">
        <v>2800</v>
      </c>
      <c r="AV478" s="19" t="s">
        <v>2800</v>
      </c>
      <c r="AW478" s="19" t="s">
        <v>1755</v>
      </c>
      <c r="AX478" s="19" t="s">
        <v>188</v>
      </c>
      <c r="AY478" s="19" t="s">
        <v>2801</v>
      </c>
      <c r="AZ478" s="19" t="s">
        <v>2802</v>
      </c>
      <c r="BA478" s="20">
        <v>45467</v>
      </c>
      <c r="BB478" s="19" t="s">
        <v>312</v>
      </c>
      <c r="BC478" s="19" t="s">
        <v>7610</v>
      </c>
      <c r="BD478" s="19" t="s">
        <v>219</v>
      </c>
      <c r="BE478" s="19" t="s">
        <v>130</v>
      </c>
      <c r="BF478" s="19" t="s">
        <v>7611</v>
      </c>
      <c r="BG478" s="19"/>
      <c r="BH478" s="19" t="s">
        <v>7612</v>
      </c>
      <c r="BI478" s="19" t="s">
        <v>7612</v>
      </c>
      <c r="BJ478" s="19" t="s">
        <v>194</v>
      </c>
      <c r="BK478" s="19" t="s">
        <v>1043</v>
      </c>
      <c r="BL478" s="19" t="s">
        <v>1044</v>
      </c>
      <c r="BM478" s="19" t="s">
        <v>1045</v>
      </c>
      <c r="BN478" s="21">
        <v>136.30699999999999</v>
      </c>
      <c r="BO478" s="21">
        <v>5191.9336300000004</v>
      </c>
      <c r="BQ478" s="2"/>
      <c r="BR478" s="2"/>
      <c r="BS478" s="2"/>
      <c r="BT478" s="2"/>
      <c r="BU478" s="22"/>
      <c r="BV478" s="2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</row>
    <row r="479" spans="1:95" x14ac:dyDescent="0.25">
      <c r="A479" s="18">
        <v>476</v>
      </c>
      <c r="B479" s="19" t="s">
        <v>7613</v>
      </c>
      <c r="C479" s="19" t="s">
        <v>7614</v>
      </c>
      <c r="D479" s="20">
        <v>46002</v>
      </c>
      <c r="E479" s="20">
        <v>20067</v>
      </c>
      <c r="F479" s="19"/>
      <c r="G479" s="19"/>
      <c r="H479" s="19" t="s">
        <v>94</v>
      </c>
      <c r="I479" s="19"/>
      <c r="J479" s="19"/>
      <c r="K479" s="19"/>
      <c r="L479" s="19" t="s">
        <v>467</v>
      </c>
      <c r="M479" s="19" t="s">
        <v>468</v>
      </c>
      <c r="N479" s="19" t="s">
        <v>7615</v>
      </c>
      <c r="O479" s="19" t="s">
        <v>100</v>
      </c>
      <c r="P479" s="19"/>
      <c r="Q479" s="19"/>
      <c r="R479" s="19"/>
      <c r="S479" s="19"/>
      <c r="T479" s="19"/>
      <c r="U479" s="19"/>
      <c r="V479" s="19"/>
      <c r="W479" s="19"/>
      <c r="X479" s="19"/>
      <c r="Y479" s="19" t="s">
        <v>101</v>
      </c>
      <c r="Z479" s="19" t="s">
        <v>102</v>
      </c>
      <c r="AA479" s="19" t="s">
        <v>103</v>
      </c>
      <c r="AB479" s="19" t="s">
        <v>402</v>
      </c>
      <c r="AC479" s="19" t="s">
        <v>403</v>
      </c>
      <c r="AD479" s="19" t="s">
        <v>7616</v>
      </c>
      <c r="AE479" s="19" t="s">
        <v>7617</v>
      </c>
      <c r="AF479" s="19" t="s">
        <v>7618</v>
      </c>
      <c r="AG479" s="19" t="s">
        <v>7619</v>
      </c>
      <c r="AH479" s="19" t="s">
        <v>124</v>
      </c>
      <c r="AI479" s="19" t="s">
        <v>111</v>
      </c>
      <c r="AJ479" s="19" t="s">
        <v>1440</v>
      </c>
      <c r="AK479" s="19" t="s">
        <v>7620</v>
      </c>
      <c r="AL479" s="19" t="s">
        <v>7621</v>
      </c>
      <c r="AM479" s="19" t="s">
        <v>7622</v>
      </c>
      <c r="AN479" s="19" t="s">
        <v>7623</v>
      </c>
      <c r="AO479" s="19" t="s">
        <v>208</v>
      </c>
      <c r="AP479" s="19" t="s">
        <v>209</v>
      </c>
      <c r="AQ479" s="19" t="s">
        <v>117</v>
      </c>
      <c r="AR479" s="19" t="s">
        <v>210</v>
      </c>
      <c r="AS479" s="19" t="s">
        <v>211</v>
      </c>
      <c r="AT479" s="19" t="s">
        <v>212</v>
      </c>
      <c r="AU479" s="19" t="s">
        <v>213</v>
      </c>
      <c r="AV479" s="19" t="s">
        <v>214</v>
      </c>
      <c r="AW479" s="19" t="s">
        <v>215</v>
      </c>
      <c r="AX479" s="19" t="s">
        <v>149</v>
      </c>
      <c r="AY479" s="19" t="s">
        <v>216</v>
      </c>
      <c r="AZ479" s="19" t="s">
        <v>217</v>
      </c>
      <c r="BA479" s="20">
        <v>35521</v>
      </c>
      <c r="BB479" s="19" t="s">
        <v>363</v>
      </c>
      <c r="BC479" s="19" t="s">
        <v>7624</v>
      </c>
      <c r="BD479" s="19" t="s">
        <v>7625</v>
      </c>
      <c r="BE479" s="19" t="s">
        <v>130</v>
      </c>
      <c r="BF479" s="19" t="s">
        <v>7626</v>
      </c>
      <c r="BG479" s="19" t="s">
        <v>7627</v>
      </c>
      <c r="BH479" s="19" t="s">
        <v>7628</v>
      </c>
      <c r="BI479" s="19" t="s">
        <v>7628</v>
      </c>
      <c r="BJ479" s="19" t="s">
        <v>166</v>
      </c>
      <c r="BK479" s="19" t="s">
        <v>1846</v>
      </c>
      <c r="BL479" s="19" t="s">
        <v>1847</v>
      </c>
      <c r="BM479" s="19" t="s">
        <v>196</v>
      </c>
      <c r="BN479" s="21">
        <v>118.523</v>
      </c>
      <c r="BO479" s="21">
        <v>224403.15158999999</v>
      </c>
      <c r="BQ479" s="2"/>
      <c r="BR479" s="2"/>
      <c r="BS479" s="2"/>
      <c r="BT479" s="2"/>
      <c r="BU479" s="22"/>
      <c r="BV479" s="2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</row>
    <row r="480" spans="1:95" x14ac:dyDescent="0.25">
      <c r="A480" s="18">
        <v>477</v>
      </c>
      <c r="B480" s="19" t="s">
        <v>7629</v>
      </c>
      <c r="C480" s="19" t="s">
        <v>7630</v>
      </c>
      <c r="D480" s="20">
        <v>46010</v>
      </c>
      <c r="E480" s="20">
        <v>31130</v>
      </c>
      <c r="F480" s="19"/>
      <c r="G480" s="19"/>
      <c r="H480" s="19" t="s">
        <v>94</v>
      </c>
      <c r="I480" s="19"/>
      <c r="J480" s="19" t="s">
        <v>287</v>
      </c>
      <c r="K480" s="19" t="s">
        <v>288</v>
      </c>
      <c r="L480" s="19" t="s">
        <v>97</v>
      </c>
      <c r="M480" s="19" t="s">
        <v>98</v>
      </c>
      <c r="N480" s="19" t="s">
        <v>7631</v>
      </c>
      <c r="O480" s="19" t="s">
        <v>100</v>
      </c>
      <c r="P480" s="19"/>
      <c r="Q480" s="19"/>
      <c r="R480" s="19"/>
      <c r="S480" s="19"/>
      <c r="T480" s="19"/>
      <c r="U480" s="19"/>
      <c r="V480" s="19"/>
      <c r="W480" s="19"/>
      <c r="X480" s="19"/>
      <c r="Y480" s="19" t="s">
        <v>101</v>
      </c>
      <c r="Z480" s="19" t="s">
        <v>102</v>
      </c>
      <c r="AA480" s="19" t="s">
        <v>103</v>
      </c>
      <c r="AB480" s="19" t="s">
        <v>402</v>
      </c>
      <c r="AC480" s="19" t="s">
        <v>403</v>
      </c>
      <c r="AD480" s="19" t="s">
        <v>7632</v>
      </c>
      <c r="AE480" s="19" t="s">
        <v>7633</v>
      </c>
      <c r="AF480" s="19"/>
      <c r="AG480" s="19" t="s">
        <v>168</v>
      </c>
      <c r="AH480" s="19" t="s">
        <v>262</v>
      </c>
      <c r="AI480" s="19" t="s">
        <v>111</v>
      </c>
      <c r="AJ480" s="19" t="s">
        <v>7634</v>
      </c>
      <c r="AK480" s="19"/>
      <c r="AL480" s="19"/>
      <c r="AM480" s="19" t="s">
        <v>7635</v>
      </c>
      <c r="AN480" s="19" t="s">
        <v>7636</v>
      </c>
      <c r="AO480" s="19" t="s">
        <v>7637</v>
      </c>
      <c r="AP480" s="19" t="s">
        <v>7638</v>
      </c>
      <c r="AQ480" s="19" t="s">
        <v>117</v>
      </c>
      <c r="AR480" s="19" t="s">
        <v>7639</v>
      </c>
      <c r="AS480" s="19" t="s">
        <v>7640</v>
      </c>
      <c r="AT480" s="19" t="s">
        <v>7641</v>
      </c>
      <c r="AU480" s="19" t="s">
        <v>7642</v>
      </c>
      <c r="AV480" s="19" t="s">
        <v>490</v>
      </c>
      <c r="AW480" s="19" t="s">
        <v>7634</v>
      </c>
      <c r="AX480" s="19" t="s">
        <v>262</v>
      </c>
      <c r="AY480" s="19" t="s">
        <v>7643</v>
      </c>
      <c r="AZ480" s="19" t="s">
        <v>7644</v>
      </c>
      <c r="BA480" s="20">
        <v>43899</v>
      </c>
      <c r="BB480" s="19" t="s">
        <v>961</v>
      </c>
      <c r="BC480" s="19" t="s">
        <v>7645</v>
      </c>
      <c r="BD480" s="19" t="s">
        <v>260</v>
      </c>
      <c r="BE480" s="19" t="s">
        <v>130</v>
      </c>
      <c r="BF480" s="19" t="s">
        <v>7646</v>
      </c>
      <c r="BG480" s="19"/>
      <c r="BH480" s="19" t="s">
        <v>7647</v>
      </c>
      <c r="BI480" s="19" t="s">
        <v>7647</v>
      </c>
      <c r="BJ480" s="19" t="s">
        <v>166</v>
      </c>
      <c r="BK480" s="19" t="s">
        <v>221</v>
      </c>
      <c r="BL480" s="19" t="s">
        <v>222</v>
      </c>
      <c r="BM480" s="19" t="s">
        <v>169</v>
      </c>
      <c r="BN480" s="21">
        <v>3.177</v>
      </c>
      <c r="BO480" s="21">
        <v>6015.10941</v>
      </c>
      <c r="BQ480" s="2"/>
      <c r="BR480" s="2"/>
      <c r="BS480" s="2"/>
      <c r="BT480" s="2"/>
      <c r="BU480" s="22"/>
      <c r="BV480" s="2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</row>
    <row r="481" spans="1:95" x14ac:dyDescent="0.25">
      <c r="A481" s="18">
        <v>478</v>
      </c>
      <c r="B481" s="19" t="s">
        <v>7648</v>
      </c>
      <c r="C481" s="19" t="s">
        <v>7649</v>
      </c>
      <c r="D481" s="20">
        <v>46006</v>
      </c>
      <c r="E481" s="20">
        <v>36723</v>
      </c>
      <c r="F481" s="19" t="s">
        <v>7650</v>
      </c>
      <c r="G481" s="19" t="s">
        <v>139</v>
      </c>
      <c r="H481" s="19" t="s">
        <v>94</v>
      </c>
      <c r="I481" s="19"/>
      <c r="J481" s="19"/>
      <c r="K481" s="19"/>
      <c r="L481" s="19" t="s">
        <v>1825</v>
      </c>
      <c r="M481" s="19" t="s">
        <v>610</v>
      </c>
      <c r="N481" s="19" t="s">
        <v>7651</v>
      </c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 t="s">
        <v>101</v>
      </c>
      <c r="Z481" s="19" t="s">
        <v>102</v>
      </c>
      <c r="AA481" s="19" t="s">
        <v>103</v>
      </c>
      <c r="AB481" s="19" t="s">
        <v>143</v>
      </c>
      <c r="AC481" s="19" t="s">
        <v>144</v>
      </c>
      <c r="AD481" s="19" t="s">
        <v>7652</v>
      </c>
      <c r="AE481" s="19" t="s">
        <v>7653</v>
      </c>
      <c r="AF481" s="19"/>
      <c r="AG481" s="19" t="s">
        <v>7654</v>
      </c>
      <c r="AH481" s="19" t="s">
        <v>149</v>
      </c>
      <c r="AI481" s="19"/>
      <c r="AJ481" s="19" t="s">
        <v>7655</v>
      </c>
      <c r="AK481" s="19"/>
      <c r="AL481" s="19" t="s">
        <v>7656</v>
      </c>
      <c r="AM481" s="19" t="s">
        <v>7657</v>
      </c>
      <c r="AN481" s="19"/>
      <c r="AO481" s="19" t="s">
        <v>154</v>
      </c>
      <c r="AP481" s="19" t="s">
        <v>155</v>
      </c>
      <c r="AQ481" s="19" t="s">
        <v>117</v>
      </c>
      <c r="AR481" s="19" t="s">
        <v>156</v>
      </c>
      <c r="AS481" s="19" t="s">
        <v>157</v>
      </c>
      <c r="AT481" s="19" t="s">
        <v>158</v>
      </c>
      <c r="AU481" s="19"/>
      <c r="AV481" s="19" t="s">
        <v>122</v>
      </c>
      <c r="AW481" s="19"/>
      <c r="AX481" s="19" t="s">
        <v>124</v>
      </c>
      <c r="AY481" s="19" t="s">
        <v>159</v>
      </c>
      <c r="AZ481" s="19" t="s">
        <v>160</v>
      </c>
      <c r="BA481" s="20">
        <v>44676</v>
      </c>
      <c r="BB481" s="19" t="s">
        <v>331</v>
      </c>
      <c r="BC481" s="19" t="s">
        <v>7654</v>
      </c>
      <c r="BD481" s="19" t="s">
        <v>7654</v>
      </c>
      <c r="BE481" s="19" t="s">
        <v>130</v>
      </c>
      <c r="BF481" s="19" t="s">
        <v>7658</v>
      </c>
      <c r="BG481" s="19"/>
      <c r="BH481" s="19" t="s">
        <v>7659</v>
      </c>
      <c r="BI481" s="19" t="s">
        <v>7659</v>
      </c>
      <c r="BJ481" s="19" t="s">
        <v>166</v>
      </c>
      <c r="BK481" s="19" t="s">
        <v>167</v>
      </c>
      <c r="BL481" s="19" t="s">
        <v>168</v>
      </c>
      <c r="BM481" s="19" t="s">
        <v>169</v>
      </c>
      <c r="BN481" s="21">
        <v>21.556000000000001</v>
      </c>
      <c r="BO481" s="21">
        <v>821.06804</v>
      </c>
      <c r="BQ481" s="2"/>
      <c r="BR481" s="2"/>
      <c r="BS481" s="2"/>
      <c r="BT481" s="2"/>
      <c r="BU481" s="22"/>
      <c r="BV481" s="2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</row>
    <row r="482" spans="1:95" x14ac:dyDescent="0.25">
      <c r="A482" s="18">
        <v>479</v>
      </c>
      <c r="B482" s="19" t="s">
        <v>7660</v>
      </c>
      <c r="C482" s="19" t="s">
        <v>7661</v>
      </c>
      <c r="D482" s="20">
        <v>46006</v>
      </c>
      <c r="E482" s="20">
        <v>24720</v>
      </c>
      <c r="F482" s="19" t="s">
        <v>7662</v>
      </c>
      <c r="G482" s="19" t="s">
        <v>1248</v>
      </c>
      <c r="H482" s="19" t="s">
        <v>94</v>
      </c>
      <c r="I482" s="19"/>
      <c r="J482" s="19"/>
      <c r="K482" s="19"/>
      <c r="L482" s="19" t="s">
        <v>1825</v>
      </c>
      <c r="M482" s="19" t="s">
        <v>610</v>
      </c>
      <c r="N482" s="19" t="s">
        <v>7663</v>
      </c>
      <c r="O482" s="19"/>
      <c r="P482" s="19"/>
      <c r="Q482" s="19"/>
      <c r="R482" s="19"/>
      <c r="S482" s="19" t="s">
        <v>7664</v>
      </c>
      <c r="T482" s="19" t="s">
        <v>7665</v>
      </c>
      <c r="U482" s="19"/>
      <c r="V482" s="19"/>
      <c r="W482" s="19"/>
      <c r="X482" s="19"/>
      <c r="Y482" s="19" t="s">
        <v>101</v>
      </c>
      <c r="Z482" s="19" t="s">
        <v>102</v>
      </c>
      <c r="AA482" s="19" t="s">
        <v>103</v>
      </c>
      <c r="AB482" s="19" t="s">
        <v>1222</v>
      </c>
      <c r="AC482" s="19" t="s">
        <v>1223</v>
      </c>
      <c r="AD482" s="19" t="s">
        <v>7666</v>
      </c>
      <c r="AE482" s="19" t="s">
        <v>7667</v>
      </c>
      <c r="AF482" s="19" t="s">
        <v>623</v>
      </c>
      <c r="AG482" s="19" t="s">
        <v>623</v>
      </c>
      <c r="AH482" s="19" t="s">
        <v>124</v>
      </c>
      <c r="AI482" s="19" t="s">
        <v>111</v>
      </c>
      <c r="AJ482" s="19" t="s">
        <v>1905</v>
      </c>
      <c r="AK482" s="19"/>
      <c r="AL482" s="19"/>
      <c r="AM482" s="19" t="s">
        <v>7668</v>
      </c>
      <c r="AN482" s="19" t="s">
        <v>7669</v>
      </c>
      <c r="AO482" s="19" t="s">
        <v>208</v>
      </c>
      <c r="AP482" s="19" t="s">
        <v>209</v>
      </c>
      <c r="AQ482" s="19" t="s">
        <v>117</v>
      </c>
      <c r="AR482" s="19" t="s">
        <v>210</v>
      </c>
      <c r="AS482" s="19" t="s">
        <v>211</v>
      </c>
      <c r="AT482" s="19" t="s">
        <v>212</v>
      </c>
      <c r="AU482" s="19" t="s">
        <v>213</v>
      </c>
      <c r="AV482" s="19" t="s">
        <v>214</v>
      </c>
      <c r="AW482" s="19" t="s">
        <v>215</v>
      </c>
      <c r="AX482" s="19" t="s">
        <v>149</v>
      </c>
      <c r="AY482" s="19" t="s">
        <v>216</v>
      </c>
      <c r="AZ482" s="19" t="s">
        <v>217</v>
      </c>
      <c r="BA482" s="20">
        <v>35521</v>
      </c>
      <c r="BB482" s="19" t="s">
        <v>479</v>
      </c>
      <c r="BC482" s="19" t="s">
        <v>7670</v>
      </c>
      <c r="BD482" s="19" t="s">
        <v>623</v>
      </c>
      <c r="BE482" s="19" t="s">
        <v>130</v>
      </c>
      <c r="BF482" s="19" t="s">
        <v>7671</v>
      </c>
      <c r="BG482" s="19"/>
      <c r="BH482" s="19" t="s">
        <v>7672</v>
      </c>
      <c r="BI482" s="19" t="s">
        <v>7672</v>
      </c>
      <c r="BJ482" s="19" t="s">
        <v>1259</v>
      </c>
      <c r="BK482" s="19" t="s">
        <v>591</v>
      </c>
      <c r="BL482" s="19" t="s">
        <v>122</v>
      </c>
      <c r="BM482" s="19" t="s">
        <v>592</v>
      </c>
      <c r="BN482" s="21">
        <v>22.841000000000001</v>
      </c>
      <c r="BO482" s="21">
        <v>5010.6301700000004</v>
      </c>
      <c r="BQ482" s="2"/>
      <c r="BR482" s="2"/>
      <c r="BS482" s="2"/>
      <c r="BT482" s="2"/>
      <c r="BU482" s="22"/>
      <c r="BV482" s="2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</row>
    <row r="483" spans="1:95" x14ac:dyDescent="0.25">
      <c r="A483" s="18">
        <v>480</v>
      </c>
      <c r="B483" s="19" t="s">
        <v>7673</v>
      </c>
      <c r="C483" s="19" t="s">
        <v>7674</v>
      </c>
      <c r="D483" s="20">
        <v>46007</v>
      </c>
      <c r="E483" s="20">
        <v>39175</v>
      </c>
      <c r="F483" s="19"/>
      <c r="G483" s="19"/>
      <c r="H483" s="19" t="s">
        <v>94</v>
      </c>
      <c r="I483" s="19"/>
      <c r="J483" s="19"/>
      <c r="K483" s="19"/>
      <c r="L483" s="19" t="s">
        <v>1262</v>
      </c>
      <c r="M483" s="19" t="s">
        <v>1263</v>
      </c>
      <c r="N483" s="19" t="s">
        <v>7675</v>
      </c>
      <c r="O483" s="19" t="s">
        <v>100</v>
      </c>
      <c r="P483" s="19"/>
      <c r="Q483" s="19"/>
      <c r="R483" s="19"/>
      <c r="S483" s="19"/>
      <c r="T483" s="19"/>
      <c r="U483" s="19"/>
      <c r="V483" s="19"/>
      <c r="W483" s="19"/>
      <c r="X483" s="19"/>
      <c r="Y483" s="19" t="s">
        <v>101</v>
      </c>
      <c r="Z483" s="19" t="s">
        <v>102</v>
      </c>
      <c r="AA483" s="19" t="s">
        <v>103</v>
      </c>
      <c r="AB483" s="19" t="s">
        <v>292</v>
      </c>
      <c r="AC483" s="19" t="s">
        <v>293</v>
      </c>
      <c r="AD483" s="19" t="s">
        <v>7676</v>
      </c>
      <c r="AE483" s="19" t="s">
        <v>7677</v>
      </c>
      <c r="AF483" s="19"/>
      <c r="AG483" s="19" t="s">
        <v>7678</v>
      </c>
      <c r="AH483" s="19" t="s">
        <v>124</v>
      </c>
      <c r="AI483" s="19" t="s">
        <v>111</v>
      </c>
      <c r="AJ483" s="19" t="s">
        <v>5068</v>
      </c>
      <c r="AK483" s="19"/>
      <c r="AL483" s="19"/>
      <c r="AM483" s="19"/>
      <c r="AN483" s="19" t="s">
        <v>7679</v>
      </c>
      <c r="AO483" s="19" t="s">
        <v>7680</v>
      </c>
      <c r="AP483" s="19" t="s">
        <v>7681</v>
      </c>
      <c r="AQ483" s="19" t="s">
        <v>117</v>
      </c>
      <c r="AR483" s="19" t="s">
        <v>7682</v>
      </c>
      <c r="AS483" s="19" t="s">
        <v>7683</v>
      </c>
      <c r="AT483" s="19" t="s">
        <v>7684</v>
      </c>
      <c r="AU483" s="19" t="s">
        <v>7685</v>
      </c>
      <c r="AV483" s="19" t="s">
        <v>7678</v>
      </c>
      <c r="AW483" s="19" t="s">
        <v>5068</v>
      </c>
      <c r="AX483" s="19" t="s">
        <v>124</v>
      </c>
      <c r="AY483" s="19" t="s">
        <v>7686</v>
      </c>
      <c r="AZ483" s="19" t="s">
        <v>7687</v>
      </c>
      <c r="BA483" s="20">
        <v>43677</v>
      </c>
      <c r="BB483" s="19" t="s">
        <v>331</v>
      </c>
      <c r="BC483" s="19" t="s">
        <v>7688</v>
      </c>
      <c r="BD483" s="19" t="s">
        <v>7678</v>
      </c>
      <c r="BE483" s="19" t="s">
        <v>130</v>
      </c>
      <c r="BF483" s="19" t="s">
        <v>7689</v>
      </c>
      <c r="BG483" s="19"/>
      <c r="BH483" s="19" t="s">
        <v>7690</v>
      </c>
      <c r="BI483" s="19" t="s">
        <v>7690</v>
      </c>
      <c r="BJ483" s="19" t="s">
        <v>194</v>
      </c>
      <c r="BK483" s="19" t="s">
        <v>591</v>
      </c>
      <c r="BL483" s="19" t="s">
        <v>122</v>
      </c>
      <c r="BM483" s="19" t="s">
        <v>592</v>
      </c>
      <c r="BN483" s="21">
        <v>465.03300000000002</v>
      </c>
      <c r="BO483" s="21">
        <v>7656.0707954999998</v>
      </c>
      <c r="BQ483" s="2"/>
      <c r="BR483" s="2"/>
      <c r="BS483" s="2"/>
      <c r="BT483" s="2"/>
      <c r="BU483" s="22"/>
      <c r="BV483" s="2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</row>
    <row r="484" spans="1:95" x14ac:dyDescent="0.25">
      <c r="A484" s="18">
        <v>481</v>
      </c>
      <c r="B484" s="19" t="s">
        <v>7691</v>
      </c>
      <c r="C484" s="19" t="s">
        <v>7692</v>
      </c>
      <c r="D484" s="20">
        <v>46013</v>
      </c>
      <c r="E484" s="20">
        <v>35270</v>
      </c>
      <c r="F484" s="19" t="s">
        <v>7693</v>
      </c>
      <c r="G484" s="19" t="s">
        <v>139</v>
      </c>
      <c r="H484" s="19" t="s">
        <v>94</v>
      </c>
      <c r="I484" s="19"/>
      <c r="J484" s="19"/>
      <c r="K484" s="19"/>
      <c r="L484" s="19" t="s">
        <v>244</v>
      </c>
      <c r="M484" s="19" t="s">
        <v>245</v>
      </c>
      <c r="N484" s="19" t="s">
        <v>7694</v>
      </c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 t="s">
        <v>101</v>
      </c>
      <c r="Z484" s="19" t="s">
        <v>102</v>
      </c>
      <c r="AA484" s="19" t="s">
        <v>103</v>
      </c>
      <c r="AB484" s="19" t="s">
        <v>173</v>
      </c>
      <c r="AC484" s="19" t="s">
        <v>174</v>
      </c>
      <c r="AD484" s="19" t="s">
        <v>7695</v>
      </c>
      <c r="AE484" s="19" t="s">
        <v>1716</v>
      </c>
      <c r="AF484" s="19"/>
      <c r="AG484" s="19" t="s">
        <v>7696</v>
      </c>
      <c r="AH484" s="19" t="s">
        <v>757</v>
      </c>
      <c r="AI484" s="19"/>
      <c r="AJ484" s="19" t="s">
        <v>7697</v>
      </c>
      <c r="AK484" s="19"/>
      <c r="AL484" s="19" t="s">
        <v>7698</v>
      </c>
      <c r="AM484" s="19" t="s">
        <v>7699</v>
      </c>
      <c r="AN484" s="19" t="s">
        <v>7700</v>
      </c>
      <c r="AO484" s="19" t="s">
        <v>154</v>
      </c>
      <c r="AP484" s="19" t="s">
        <v>155</v>
      </c>
      <c r="AQ484" s="19" t="s">
        <v>117</v>
      </c>
      <c r="AR484" s="19" t="s">
        <v>156</v>
      </c>
      <c r="AS484" s="19" t="s">
        <v>157</v>
      </c>
      <c r="AT484" s="19" t="s">
        <v>158</v>
      </c>
      <c r="AU484" s="19"/>
      <c r="AV484" s="19" t="s">
        <v>122</v>
      </c>
      <c r="AW484" s="19"/>
      <c r="AX484" s="19" t="s">
        <v>124</v>
      </c>
      <c r="AY484" s="19" t="s">
        <v>159</v>
      </c>
      <c r="AZ484" s="19" t="s">
        <v>160</v>
      </c>
      <c r="BA484" s="20">
        <v>44676</v>
      </c>
      <c r="BB484" s="19" t="s">
        <v>3301</v>
      </c>
      <c r="BC484" s="19" t="s">
        <v>7696</v>
      </c>
      <c r="BD484" s="19" t="s">
        <v>7696</v>
      </c>
      <c r="BE484" s="19" t="s">
        <v>130</v>
      </c>
      <c r="BF484" s="19" t="s">
        <v>7701</v>
      </c>
      <c r="BG484" s="19"/>
      <c r="BH484" s="19" t="s">
        <v>7702</v>
      </c>
      <c r="BI484" s="19" t="s">
        <v>7702</v>
      </c>
      <c r="BJ484" s="19" t="s">
        <v>166</v>
      </c>
      <c r="BK484" s="19" t="s">
        <v>167</v>
      </c>
      <c r="BL484" s="19" t="s">
        <v>168</v>
      </c>
      <c r="BM484" s="19" t="s">
        <v>169</v>
      </c>
      <c r="BN484" s="21">
        <v>15.265000000000001</v>
      </c>
      <c r="BO484" s="21">
        <v>540.75041299999998</v>
      </c>
      <c r="BQ484" s="2"/>
      <c r="BR484" s="2"/>
      <c r="BS484" s="2"/>
      <c r="BT484" s="2"/>
      <c r="BU484" s="22"/>
      <c r="BV484" s="2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</row>
    <row r="485" spans="1:95" x14ac:dyDescent="0.25">
      <c r="A485" s="18">
        <v>482</v>
      </c>
      <c r="B485" s="19" t="s">
        <v>7703</v>
      </c>
      <c r="C485" s="19" t="s">
        <v>7704</v>
      </c>
      <c r="D485" s="20">
        <v>46013</v>
      </c>
      <c r="E485" s="20">
        <v>33399</v>
      </c>
      <c r="F485" s="19" t="s">
        <v>7705</v>
      </c>
      <c r="G485" s="19" t="s">
        <v>139</v>
      </c>
      <c r="H485" s="19" t="s">
        <v>94</v>
      </c>
      <c r="I485" s="19"/>
      <c r="J485" s="19"/>
      <c r="K485" s="19"/>
      <c r="L485" s="19" t="s">
        <v>244</v>
      </c>
      <c r="M485" s="19" t="s">
        <v>245</v>
      </c>
      <c r="N485" s="19" t="s">
        <v>7706</v>
      </c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 t="s">
        <v>101</v>
      </c>
      <c r="Z485" s="19" t="s">
        <v>102</v>
      </c>
      <c r="AA485" s="19" t="s">
        <v>103</v>
      </c>
      <c r="AB485" s="19" t="s">
        <v>509</v>
      </c>
      <c r="AC485" s="19" t="s">
        <v>510</v>
      </c>
      <c r="AD485" s="19" t="s">
        <v>7707</v>
      </c>
      <c r="AE485" s="19" t="s">
        <v>7708</v>
      </c>
      <c r="AF485" s="19" t="s">
        <v>7709</v>
      </c>
      <c r="AG485" s="19" t="s">
        <v>6379</v>
      </c>
      <c r="AH485" s="19" t="s">
        <v>1237</v>
      </c>
      <c r="AI485" s="19" t="s">
        <v>111</v>
      </c>
      <c r="AJ485" s="19" t="s">
        <v>7710</v>
      </c>
      <c r="AK485" s="19"/>
      <c r="AL485" s="19"/>
      <c r="AM485" s="19" t="s">
        <v>7711</v>
      </c>
      <c r="AN485" s="19" t="s">
        <v>7712</v>
      </c>
      <c r="AO485" s="19" t="s">
        <v>476</v>
      </c>
      <c r="AP485" s="19" t="s">
        <v>477</v>
      </c>
      <c r="AQ485" s="19" t="s">
        <v>117</v>
      </c>
      <c r="AR485" s="19" t="s">
        <v>478</v>
      </c>
      <c r="AS485" s="19"/>
      <c r="AT485" s="19"/>
      <c r="AU485" s="19"/>
      <c r="AV485" s="19"/>
      <c r="AW485" s="19"/>
      <c r="AX485" s="19"/>
      <c r="AY485" s="19"/>
      <c r="AZ485" s="19"/>
      <c r="BA485" s="20">
        <v>44452</v>
      </c>
      <c r="BB485" s="19" t="s">
        <v>331</v>
      </c>
      <c r="BC485" s="19" t="s">
        <v>7713</v>
      </c>
      <c r="BD485" s="19" t="s">
        <v>7714</v>
      </c>
      <c r="BE485" s="19" t="s">
        <v>130</v>
      </c>
      <c r="BF485" s="19" t="s">
        <v>7715</v>
      </c>
      <c r="BG485" s="19"/>
      <c r="BH485" s="19" t="s">
        <v>7716</v>
      </c>
      <c r="BI485" s="19" t="s">
        <v>7716</v>
      </c>
      <c r="BJ485" s="19" t="s">
        <v>166</v>
      </c>
      <c r="BK485" s="19" t="s">
        <v>167</v>
      </c>
      <c r="BL485" s="19" t="s">
        <v>168</v>
      </c>
      <c r="BM485" s="19" t="s">
        <v>169</v>
      </c>
      <c r="BN485" s="21">
        <v>0.79600000000000004</v>
      </c>
      <c r="BO485" s="21">
        <v>99.882080000000002</v>
      </c>
      <c r="BQ485" s="2"/>
      <c r="BR485" s="2"/>
      <c r="BS485" s="2"/>
      <c r="BT485" s="2"/>
      <c r="BU485" s="22"/>
      <c r="BV485" s="2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</row>
    <row r="486" spans="1:95" x14ac:dyDescent="0.25">
      <c r="A486" s="18">
        <v>483</v>
      </c>
      <c r="B486" s="19" t="s">
        <v>7717</v>
      </c>
      <c r="C486" s="19" t="s">
        <v>7718</v>
      </c>
      <c r="D486" s="20">
        <v>46020</v>
      </c>
      <c r="E486" s="20">
        <v>34114</v>
      </c>
      <c r="F486" s="19" t="s">
        <v>7719</v>
      </c>
      <c r="G486" s="19" t="s">
        <v>139</v>
      </c>
      <c r="H486" s="19" t="s">
        <v>117</v>
      </c>
      <c r="I486" s="19" t="s">
        <v>7720</v>
      </c>
      <c r="J486" s="19"/>
      <c r="K486" s="19"/>
      <c r="L486" s="19" t="s">
        <v>140</v>
      </c>
      <c r="M486" s="19" t="s">
        <v>141</v>
      </c>
      <c r="N486" s="19" t="s">
        <v>7721</v>
      </c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 t="s">
        <v>101</v>
      </c>
      <c r="Z486" s="19" t="s">
        <v>102</v>
      </c>
      <c r="AA486" s="19" t="s">
        <v>103</v>
      </c>
      <c r="AB486" s="19" t="s">
        <v>247</v>
      </c>
      <c r="AC486" s="19" t="s">
        <v>248</v>
      </c>
      <c r="AD486" s="19" t="s">
        <v>7722</v>
      </c>
      <c r="AE486" s="19" t="s">
        <v>7723</v>
      </c>
      <c r="AF486" s="19"/>
      <c r="AG486" s="19" t="s">
        <v>5654</v>
      </c>
      <c r="AH486" s="19" t="s">
        <v>1015</v>
      </c>
      <c r="AI486" s="19"/>
      <c r="AJ486" s="19" t="s">
        <v>7724</v>
      </c>
      <c r="AK486" s="19"/>
      <c r="AL486" s="19" t="s">
        <v>7725</v>
      </c>
      <c r="AM486" s="19" t="s">
        <v>7726</v>
      </c>
      <c r="AN486" s="19" t="s">
        <v>7727</v>
      </c>
      <c r="AO486" s="19" t="s">
        <v>2705</v>
      </c>
      <c r="AP486" s="19" t="s">
        <v>2706</v>
      </c>
      <c r="AQ486" s="19" t="s">
        <v>117</v>
      </c>
      <c r="AR486" s="19"/>
      <c r="AS486" s="19"/>
      <c r="AT486" s="19"/>
      <c r="AU486" s="19"/>
      <c r="AV486" s="19"/>
      <c r="AW486" s="19"/>
      <c r="AX486" s="19"/>
      <c r="AY486" s="19"/>
      <c r="AZ486" s="19" t="s">
        <v>2707</v>
      </c>
      <c r="BA486" s="20">
        <v>45363</v>
      </c>
      <c r="BB486" s="19" t="s">
        <v>479</v>
      </c>
      <c r="BC486" s="19" t="s">
        <v>7728</v>
      </c>
      <c r="BD486" s="19" t="s">
        <v>1300</v>
      </c>
      <c r="BE486" s="19" t="s">
        <v>130</v>
      </c>
      <c r="BF486" s="19" t="s">
        <v>7729</v>
      </c>
      <c r="BG486" s="19"/>
      <c r="BH486" s="19" t="s">
        <v>7730</v>
      </c>
      <c r="BI486" s="19" t="s">
        <v>7730</v>
      </c>
      <c r="BJ486" s="19" t="s">
        <v>166</v>
      </c>
      <c r="BK486" s="19" t="s">
        <v>167</v>
      </c>
      <c r="BL486" s="19" t="s">
        <v>168</v>
      </c>
      <c r="BM486" s="19" t="s">
        <v>169</v>
      </c>
      <c r="BN486" s="21">
        <v>5.7039999999999997</v>
      </c>
      <c r="BO486" s="21">
        <v>2501.2747295999998</v>
      </c>
      <c r="BQ486" s="2"/>
      <c r="BR486" s="2"/>
      <c r="BS486" s="2"/>
      <c r="BT486" s="2"/>
      <c r="BU486" s="22"/>
      <c r="BV486" s="2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</row>
    <row r="487" spans="1:95" x14ac:dyDescent="0.25">
      <c r="A487" s="18">
        <v>484</v>
      </c>
      <c r="B487" s="19" t="s">
        <v>7731</v>
      </c>
      <c r="C487" s="19" t="s">
        <v>7732</v>
      </c>
      <c r="D487" s="20">
        <v>46013</v>
      </c>
      <c r="E487" s="20">
        <v>35933</v>
      </c>
      <c r="F487" s="19"/>
      <c r="G487" s="19"/>
      <c r="H487" s="19" t="s">
        <v>94</v>
      </c>
      <c r="I487" s="19"/>
      <c r="J487" s="19"/>
      <c r="K487" s="19"/>
      <c r="L487" s="19" t="s">
        <v>244</v>
      </c>
      <c r="M487" s="19" t="s">
        <v>245</v>
      </c>
      <c r="N487" s="19" t="s">
        <v>7733</v>
      </c>
      <c r="O487" s="19" t="s">
        <v>100</v>
      </c>
      <c r="P487" s="19"/>
      <c r="Q487" s="19"/>
      <c r="R487" s="19"/>
      <c r="S487" s="19"/>
      <c r="T487" s="19"/>
      <c r="U487" s="19"/>
      <c r="V487" s="19"/>
      <c r="W487" s="19"/>
      <c r="X487" s="19"/>
      <c r="Y487" s="19" t="s">
        <v>101</v>
      </c>
      <c r="Z487" s="19" t="s">
        <v>102</v>
      </c>
      <c r="AA487" s="19" t="s">
        <v>103</v>
      </c>
      <c r="AB487" s="19" t="s">
        <v>487</v>
      </c>
      <c r="AC487" s="19" t="s">
        <v>488</v>
      </c>
      <c r="AD487" s="19" t="s">
        <v>7734</v>
      </c>
      <c r="AE487" s="19" t="s">
        <v>7735</v>
      </c>
      <c r="AF487" s="19" t="s">
        <v>7736</v>
      </c>
      <c r="AG487" s="19" t="s">
        <v>7737</v>
      </c>
      <c r="AH487" s="19" t="s">
        <v>262</v>
      </c>
      <c r="AI487" s="19" t="s">
        <v>111</v>
      </c>
      <c r="AJ487" s="19" t="s">
        <v>7738</v>
      </c>
      <c r="AK487" s="19"/>
      <c r="AL487" s="19"/>
      <c r="AM487" s="19" t="s">
        <v>7739</v>
      </c>
      <c r="AN487" s="19" t="s">
        <v>7740</v>
      </c>
      <c r="AO487" s="19" t="s">
        <v>1206</v>
      </c>
      <c r="AP487" s="19" t="s">
        <v>1207</v>
      </c>
      <c r="AQ487" s="19" t="s">
        <v>117</v>
      </c>
      <c r="AR487" s="19" t="s">
        <v>1208</v>
      </c>
      <c r="AS487" s="19" t="s">
        <v>1209</v>
      </c>
      <c r="AT487" s="19" t="s">
        <v>1210</v>
      </c>
      <c r="AU487" s="19" t="s">
        <v>1211</v>
      </c>
      <c r="AV487" s="19" t="s">
        <v>219</v>
      </c>
      <c r="AW487" s="19" t="s">
        <v>1212</v>
      </c>
      <c r="AX487" s="19" t="s">
        <v>124</v>
      </c>
      <c r="AY487" s="19" t="s">
        <v>1213</v>
      </c>
      <c r="AZ487" s="19" t="s">
        <v>1214</v>
      </c>
      <c r="BA487" s="20">
        <v>37560</v>
      </c>
      <c r="BB487" s="19" t="s">
        <v>161</v>
      </c>
      <c r="BC487" s="19" t="s">
        <v>7741</v>
      </c>
      <c r="BD487" s="19" t="s">
        <v>260</v>
      </c>
      <c r="BE487" s="19" t="s">
        <v>130</v>
      </c>
      <c r="BF487" s="19" t="s">
        <v>7742</v>
      </c>
      <c r="BG487" s="19"/>
      <c r="BH487" s="19" t="s">
        <v>7743</v>
      </c>
      <c r="BI487" s="19" t="s">
        <v>7743</v>
      </c>
      <c r="BJ487" s="19" t="s">
        <v>194</v>
      </c>
      <c r="BK487" s="19" t="s">
        <v>591</v>
      </c>
      <c r="BL487" s="19" t="s">
        <v>122</v>
      </c>
      <c r="BM487" s="19" t="s">
        <v>592</v>
      </c>
      <c r="BN487" s="21">
        <v>0</v>
      </c>
      <c r="BO487" s="21">
        <v>0</v>
      </c>
      <c r="BQ487" s="2"/>
      <c r="BR487" s="2"/>
      <c r="BS487" s="2"/>
      <c r="BT487" s="2"/>
      <c r="BU487" s="22"/>
      <c r="BV487" s="2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</row>
    <row r="488" spans="1:95" x14ac:dyDescent="0.25">
      <c r="A488" s="18">
        <v>485</v>
      </c>
      <c r="B488" s="19" t="s">
        <v>7744</v>
      </c>
      <c r="C488" s="19" t="s">
        <v>7745</v>
      </c>
      <c r="D488" s="20">
        <v>46009</v>
      </c>
      <c r="E488" s="20">
        <v>32371</v>
      </c>
      <c r="F488" s="19"/>
      <c r="G488" s="19"/>
      <c r="H488" s="19" t="s">
        <v>94</v>
      </c>
      <c r="I488" s="19"/>
      <c r="J488" s="19"/>
      <c r="K488" s="19"/>
      <c r="L488" s="19" t="s">
        <v>97</v>
      </c>
      <c r="M488" s="19" t="s">
        <v>98</v>
      </c>
      <c r="N488" s="19" t="s">
        <v>7746</v>
      </c>
      <c r="O488" s="19" t="s">
        <v>100</v>
      </c>
      <c r="P488" s="19"/>
      <c r="Q488" s="19"/>
      <c r="R488" s="19"/>
      <c r="S488" s="19"/>
      <c r="T488" s="19"/>
      <c r="U488" s="19"/>
      <c r="V488" s="19"/>
      <c r="W488" s="19"/>
      <c r="X488" s="19"/>
      <c r="Y488" s="19" t="s">
        <v>101</v>
      </c>
      <c r="Z488" s="19" t="s">
        <v>102</v>
      </c>
      <c r="AA488" s="19" t="s">
        <v>103</v>
      </c>
      <c r="AB488" s="19" t="s">
        <v>1690</v>
      </c>
      <c r="AC488" s="19" t="s">
        <v>1691</v>
      </c>
      <c r="AD488" s="19" t="s">
        <v>7747</v>
      </c>
      <c r="AE488" s="19" t="s">
        <v>7748</v>
      </c>
      <c r="AF488" s="19" t="s">
        <v>7749</v>
      </c>
      <c r="AG488" s="19" t="s">
        <v>7750</v>
      </c>
      <c r="AH488" s="19" t="s">
        <v>262</v>
      </c>
      <c r="AI488" s="19" t="s">
        <v>111</v>
      </c>
      <c r="AJ488" s="19" t="s">
        <v>7751</v>
      </c>
      <c r="AK488" s="19"/>
      <c r="AL488" s="19"/>
      <c r="AM488" s="19" t="s">
        <v>7752</v>
      </c>
      <c r="AN488" s="19" t="s">
        <v>7753</v>
      </c>
      <c r="AO488" s="19" t="s">
        <v>1699</v>
      </c>
      <c r="AP488" s="19" t="s">
        <v>1700</v>
      </c>
      <c r="AQ488" s="19" t="s">
        <v>94</v>
      </c>
      <c r="AR488" s="19" t="s">
        <v>1701</v>
      </c>
      <c r="AS488" s="19" t="s">
        <v>1702</v>
      </c>
      <c r="AT488" s="19" t="s">
        <v>1703</v>
      </c>
      <c r="AU488" s="19"/>
      <c r="AV488" s="19" t="s">
        <v>168</v>
      </c>
      <c r="AW488" s="19" t="s">
        <v>1704</v>
      </c>
      <c r="AX488" s="19" t="s">
        <v>262</v>
      </c>
      <c r="AY488" s="19" t="s">
        <v>1705</v>
      </c>
      <c r="AZ488" s="19" t="s">
        <v>1706</v>
      </c>
      <c r="BA488" s="20">
        <v>45993</v>
      </c>
      <c r="BB488" s="19" t="s">
        <v>349</v>
      </c>
      <c r="BC488" s="19" t="s">
        <v>7754</v>
      </c>
      <c r="BD488" s="19" t="s">
        <v>260</v>
      </c>
      <c r="BE488" s="19" t="s">
        <v>130</v>
      </c>
      <c r="BF488" s="19" t="s">
        <v>7755</v>
      </c>
      <c r="BG488" s="19"/>
      <c r="BH488" s="19" t="s">
        <v>7756</v>
      </c>
      <c r="BI488" s="19" t="s">
        <v>7756</v>
      </c>
      <c r="BJ488" s="19" t="s">
        <v>166</v>
      </c>
      <c r="BK488" s="19" t="s">
        <v>3715</v>
      </c>
      <c r="BL488" s="19" t="s">
        <v>122</v>
      </c>
      <c r="BM488" s="19" t="s">
        <v>196</v>
      </c>
      <c r="BN488" s="21">
        <v>0</v>
      </c>
      <c r="BO488" s="21">
        <v>0</v>
      </c>
      <c r="BQ488" s="2"/>
      <c r="BR488" s="2"/>
      <c r="BS488" s="2"/>
      <c r="BT488" s="2"/>
      <c r="BU488" s="22"/>
      <c r="BV488" s="2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</row>
    <row r="489" spans="1:95" x14ac:dyDescent="0.25">
      <c r="A489" s="18">
        <v>486</v>
      </c>
      <c r="B489" s="19" t="s">
        <v>7757</v>
      </c>
      <c r="C489" s="19" t="s">
        <v>7758</v>
      </c>
      <c r="D489" s="20">
        <v>46014</v>
      </c>
      <c r="E489" s="20">
        <v>38353</v>
      </c>
      <c r="F489" s="19" t="s">
        <v>7759</v>
      </c>
      <c r="G489" s="19" t="s">
        <v>139</v>
      </c>
      <c r="H489" s="19" t="s">
        <v>94</v>
      </c>
      <c r="I489" s="19"/>
      <c r="J489" s="19"/>
      <c r="K489" s="19"/>
      <c r="L489" s="19" t="s">
        <v>244</v>
      </c>
      <c r="M489" s="19" t="s">
        <v>245</v>
      </c>
      <c r="N489" s="19" t="s">
        <v>7760</v>
      </c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 t="s">
        <v>101</v>
      </c>
      <c r="Z489" s="19" t="s">
        <v>102</v>
      </c>
      <c r="AA489" s="19" t="s">
        <v>103</v>
      </c>
      <c r="AB489" s="19" t="s">
        <v>143</v>
      </c>
      <c r="AC489" s="19" t="s">
        <v>144</v>
      </c>
      <c r="AD489" s="19" t="s">
        <v>7761</v>
      </c>
      <c r="AE489" s="19" t="s">
        <v>7762</v>
      </c>
      <c r="AF489" s="19" t="s">
        <v>7763</v>
      </c>
      <c r="AG489" s="19" t="s">
        <v>3399</v>
      </c>
      <c r="AH489" s="19" t="s">
        <v>1015</v>
      </c>
      <c r="AI489" s="19" t="s">
        <v>111</v>
      </c>
      <c r="AJ489" s="19" t="s">
        <v>7764</v>
      </c>
      <c r="AK489" s="19"/>
      <c r="AL489" s="19"/>
      <c r="AM489" s="19" t="s">
        <v>7765</v>
      </c>
      <c r="AN489" s="19" t="s">
        <v>7766</v>
      </c>
      <c r="AO489" s="19" t="s">
        <v>255</v>
      </c>
      <c r="AP489" s="19" t="s">
        <v>256</v>
      </c>
      <c r="AQ489" s="19" t="s">
        <v>117</v>
      </c>
      <c r="AR489" s="19" t="s">
        <v>257</v>
      </c>
      <c r="AS489" s="19" t="s">
        <v>258</v>
      </c>
      <c r="AT489" s="19" t="s">
        <v>259</v>
      </c>
      <c r="AU489" s="19" t="s">
        <v>260</v>
      </c>
      <c r="AV489" s="19" t="s">
        <v>260</v>
      </c>
      <c r="AW489" s="19" t="s">
        <v>261</v>
      </c>
      <c r="AX489" s="19" t="s">
        <v>262</v>
      </c>
      <c r="AY489" s="19" t="s">
        <v>263</v>
      </c>
      <c r="AZ489" s="19" t="s">
        <v>264</v>
      </c>
      <c r="BA489" s="20">
        <v>43627</v>
      </c>
      <c r="BB489" s="19" t="s">
        <v>661</v>
      </c>
      <c r="BC489" s="19" t="s">
        <v>7767</v>
      </c>
      <c r="BD489" s="19" t="s">
        <v>7768</v>
      </c>
      <c r="BE489" s="19" t="s">
        <v>130</v>
      </c>
      <c r="BF489" s="19" t="s">
        <v>7769</v>
      </c>
      <c r="BG489" s="19"/>
      <c r="BH489" s="19" t="s">
        <v>7770</v>
      </c>
      <c r="BI489" s="19" t="s">
        <v>7770</v>
      </c>
      <c r="BJ489" s="19" t="s">
        <v>166</v>
      </c>
      <c r="BK489" s="19" t="s">
        <v>167</v>
      </c>
      <c r="BL489" s="19" t="s">
        <v>168</v>
      </c>
      <c r="BM489" s="19" t="s">
        <v>169</v>
      </c>
      <c r="BN489" s="21">
        <v>3.9980000000000002</v>
      </c>
      <c r="BO489" s="21">
        <v>152.28381999999999</v>
      </c>
      <c r="BQ489" s="2"/>
      <c r="BR489" s="2"/>
      <c r="BS489" s="2"/>
      <c r="BT489" s="2"/>
      <c r="BU489" s="22"/>
      <c r="BV489" s="2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</row>
    <row r="490" spans="1:95" x14ac:dyDescent="0.25">
      <c r="A490" s="18">
        <v>487</v>
      </c>
      <c r="B490" s="19" t="s">
        <v>7771</v>
      </c>
      <c r="C490" s="19" t="s">
        <v>7772</v>
      </c>
      <c r="D490" s="20">
        <v>46020</v>
      </c>
      <c r="E490" s="20">
        <v>38579</v>
      </c>
      <c r="F490" s="19"/>
      <c r="G490" s="19"/>
      <c r="H490" s="19" t="s">
        <v>94</v>
      </c>
      <c r="I490" s="19"/>
      <c r="J490" s="19"/>
      <c r="K490" s="19"/>
      <c r="L490" s="19" t="s">
        <v>140</v>
      </c>
      <c r="M490" s="19" t="s">
        <v>141</v>
      </c>
      <c r="N490" s="19" t="s">
        <v>7773</v>
      </c>
      <c r="O490" s="19" t="s">
        <v>100</v>
      </c>
      <c r="P490" s="19"/>
      <c r="Q490" s="19"/>
      <c r="R490" s="19"/>
      <c r="S490" s="19"/>
      <c r="T490" s="19"/>
      <c r="U490" s="19"/>
      <c r="V490" s="19"/>
      <c r="W490" s="19"/>
      <c r="X490" s="19"/>
      <c r="Y490" s="19" t="s">
        <v>101</v>
      </c>
      <c r="Z490" s="19" t="s">
        <v>102</v>
      </c>
      <c r="AA490" s="19" t="s">
        <v>103</v>
      </c>
      <c r="AB490" s="19" t="s">
        <v>173</v>
      </c>
      <c r="AC490" s="19" t="s">
        <v>174</v>
      </c>
      <c r="AD490" s="19" t="s">
        <v>7774</v>
      </c>
      <c r="AE490" s="19" t="s">
        <v>7775</v>
      </c>
      <c r="AF490" s="19" t="s">
        <v>7776</v>
      </c>
      <c r="AG490" s="19" t="s">
        <v>7777</v>
      </c>
      <c r="AH490" s="19" t="s">
        <v>942</v>
      </c>
      <c r="AI490" s="19" t="s">
        <v>111</v>
      </c>
      <c r="AJ490" s="19" t="s">
        <v>7778</v>
      </c>
      <c r="AK490" s="19"/>
      <c r="AL490" s="19"/>
      <c r="AM490" s="19" t="s">
        <v>7779</v>
      </c>
      <c r="AN490" s="19" t="s">
        <v>7780</v>
      </c>
      <c r="AO490" s="19" t="s">
        <v>181</v>
      </c>
      <c r="AP490" s="19" t="s">
        <v>182</v>
      </c>
      <c r="AQ490" s="19" t="s">
        <v>117</v>
      </c>
      <c r="AR490" s="19" t="s">
        <v>183</v>
      </c>
      <c r="AS490" s="19" t="s">
        <v>184</v>
      </c>
      <c r="AT490" s="19" t="s">
        <v>185</v>
      </c>
      <c r="AU490" s="19"/>
      <c r="AV490" s="19" t="s">
        <v>186</v>
      </c>
      <c r="AW490" s="19" t="s">
        <v>187</v>
      </c>
      <c r="AX490" s="19" t="s">
        <v>188</v>
      </c>
      <c r="AY490" s="19"/>
      <c r="AZ490" s="19" t="s">
        <v>189</v>
      </c>
      <c r="BA490" s="20">
        <v>44673</v>
      </c>
      <c r="BB490" s="19" t="s">
        <v>1487</v>
      </c>
      <c r="BC490" s="19" t="s">
        <v>7781</v>
      </c>
      <c r="BD490" s="19" t="s">
        <v>7781</v>
      </c>
      <c r="BE490" s="19" t="s">
        <v>130</v>
      </c>
      <c r="BF490" s="19" t="s">
        <v>7782</v>
      </c>
      <c r="BG490" s="19"/>
      <c r="BH490" s="19" t="s">
        <v>7783</v>
      </c>
      <c r="BI490" s="19" t="s">
        <v>7783</v>
      </c>
      <c r="BJ490" s="19" t="s">
        <v>194</v>
      </c>
      <c r="BK490" s="19" t="s">
        <v>195</v>
      </c>
      <c r="BL490" s="19" t="s">
        <v>122</v>
      </c>
      <c r="BM490" s="19" t="s">
        <v>196</v>
      </c>
      <c r="BN490" s="21">
        <v>2.827</v>
      </c>
      <c r="BO490" s="21">
        <v>100.1442134</v>
      </c>
      <c r="BQ490" s="2"/>
      <c r="BR490" s="2"/>
      <c r="BS490" s="2"/>
      <c r="BT490" s="2"/>
      <c r="BU490" s="22"/>
      <c r="BV490" s="2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</row>
    <row r="491" spans="1:95" x14ac:dyDescent="0.25">
      <c r="A491" s="18">
        <v>488</v>
      </c>
      <c r="B491" s="19" t="s">
        <v>7784</v>
      </c>
      <c r="C491" s="19" t="s">
        <v>7785</v>
      </c>
      <c r="D491" s="20">
        <v>46017</v>
      </c>
      <c r="E491" s="20">
        <v>24952</v>
      </c>
      <c r="F491" s="19" t="s">
        <v>7786</v>
      </c>
      <c r="G491" s="19" t="s">
        <v>139</v>
      </c>
      <c r="H491" s="19" t="s">
        <v>94</v>
      </c>
      <c r="I491" s="19"/>
      <c r="J491" s="19"/>
      <c r="K491" s="19"/>
      <c r="L491" s="19" t="s">
        <v>140</v>
      </c>
      <c r="M491" s="19" t="s">
        <v>141</v>
      </c>
      <c r="N491" s="19" t="s">
        <v>7787</v>
      </c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 t="s">
        <v>101</v>
      </c>
      <c r="Z491" s="19" t="s">
        <v>102</v>
      </c>
      <c r="AA491" s="19" t="s">
        <v>103</v>
      </c>
      <c r="AB491" s="19" t="s">
        <v>850</v>
      </c>
      <c r="AC491" s="19" t="s">
        <v>851</v>
      </c>
      <c r="AD491" s="19" t="s">
        <v>7788</v>
      </c>
      <c r="AE491" s="19" t="s">
        <v>7789</v>
      </c>
      <c r="AF491" s="19" t="s">
        <v>7790</v>
      </c>
      <c r="AG491" s="19" t="s">
        <v>219</v>
      </c>
      <c r="AH491" s="19" t="s">
        <v>124</v>
      </c>
      <c r="AI491" s="19" t="s">
        <v>111</v>
      </c>
      <c r="AJ491" s="19" t="s">
        <v>7791</v>
      </c>
      <c r="AK491" s="19"/>
      <c r="AL491" s="19"/>
      <c r="AM491" s="19" t="s">
        <v>7792</v>
      </c>
      <c r="AN491" s="19" t="s">
        <v>7793</v>
      </c>
      <c r="AO491" s="19" t="s">
        <v>7794</v>
      </c>
      <c r="AP491" s="19" t="s">
        <v>7795</v>
      </c>
      <c r="AQ491" s="19" t="s">
        <v>117</v>
      </c>
      <c r="AR491" s="19" t="s">
        <v>7796</v>
      </c>
      <c r="AS491" s="19" t="s">
        <v>7797</v>
      </c>
      <c r="AT491" s="19" t="s">
        <v>7798</v>
      </c>
      <c r="AU491" s="19" t="s">
        <v>7799</v>
      </c>
      <c r="AV491" s="19" t="s">
        <v>623</v>
      </c>
      <c r="AW491" s="19" t="s">
        <v>7800</v>
      </c>
      <c r="AX491" s="19" t="s">
        <v>124</v>
      </c>
      <c r="AY491" s="19" t="s">
        <v>7801</v>
      </c>
      <c r="AZ491" s="19" t="s">
        <v>7802</v>
      </c>
      <c r="BA491" s="20">
        <v>39189</v>
      </c>
      <c r="BB491" s="19" t="s">
        <v>444</v>
      </c>
      <c r="BC491" s="19" t="s">
        <v>7803</v>
      </c>
      <c r="BD491" s="19" t="s">
        <v>219</v>
      </c>
      <c r="BE491" s="19" t="s">
        <v>130</v>
      </c>
      <c r="BF491" s="19" t="s">
        <v>7804</v>
      </c>
      <c r="BG491" s="19"/>
      <c r="BH491" s="19" t="s">
        <v>7805</v>
      </c>
      <c r="BI491" s="19" t="s">
        <v>7805</v>
      </c>
      <c r="BJ491" s="19" t="s">
        <v>166</v>
      </c>
      <c r="BK491" s="19" t="s">
        <v>907</v>
      </c>
      <c r="BL491" s="19" t="s">
        <v>122</v>
      </c>
      <c r="BM491" s="19" t="s">
        <v>592</v>
      </c>
      <c r="BN491" s="21">
        <v>227.51</v>
      </c>
      <c r="BO491" s="21">
        <v>25023.8249</v>
      </c>
      <c r="BQ491" s="2"/>
      <c r="BR491" s="2"/>
      <c r="BS491" s="2"/>
      <c r="BT491" s="2"/>
      <c r="BU491" s="22"/>
      <c r="BV491" s="2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</row>
    <row r="492" spans="1:95" x14ac:dyDescent="0.25">
      <c r="A492" s="18">
        <v>489</v>
      </c>
      <c r="B492" s="19" t="s">
        <v>7806</v>
      </c>
      <c r="C492" s="19" t="s">
        <v>7807</v>
      </c>
      <c r="D492" s="20">
        <v>46017</v>
      </c>
      <c r="E492" s="20">
        <v>38420</v>
      </c>
      <c r="F492" s="19"/>
      <c r="G492" s="19"/>
      <c r="H492" s="19" t="s">
        <v>94</v>
      </c>
      <c r="I492" s="19"/>
      <c r="J492" s="19" t="s">
        <v>287</v>
      </c>
      <c r="K492" s="19" t="s">
        <v>288</v>
      </c>
      <c r="L492" s="19" t="s">
        <v>1262</v>
      </c>
      <c r="M492" s="19" t="s">
        <v>1263</v>
      </c>
      <c r="N492" s="19" t="s">
        <v>7808</v>
      </c>
      <c r="O492" s="19" t="s">
        <v>100</v>
      </c>
      <c r="P492" s="19"/>
      <c r="Q492" s="19"/>
      <c r="R492" s="19"/>
      <c r="S492" s="19"/>
      <c r="T492" s="19"/>
      <c r="U492" s="19"/>
      <c r="V492" s="19"/>
      <c r="W492" s="19"/>
      <c r="X492" s="19"/>
      <c r="Y492" s="19" t="s">
        <v>101</v>
      </c>
      <c r="Z492" s="19" t="s">
        <v>102</v>
      </c>
      <c r="AA492" s="19" t="s">
        <v>103</v>
      </c>
      <c r="AB492" s="19" t="s">
        <v>387</v>
      </c>
      <c r="AC492" s="19" t="s">
        <v>388</v>
      </c>
      <c r="AD492" s="19" t="s">
        <v>7809</v>
      </c>
      <c r="AE492" s="19" t="s">
        <v>7810</v>
      </c>
      <c r="AF492" s="19" t="s">
        <v>7811</v>
      </c>
      <c r="AG492" s="19" t="s">
        <v>7811</v>
      </c>
      <c r="AH492" s="19" t="s">
        <v>1015</v>
      </c>
      <c r="AI492" s="19" t="s">
        <v>111</v>
      </c>
      <c r="AJ492" s="19" t="s">
        <v>7812</v>
      </c>
      <c r="AK492" s="19"/>
      <c r="AL492" s="19"/>
      <c r="AM492" s="19" t="s">
        <v>7813</v>
      </c>
      <c r="AN492" s="19" t="s">
        <v>7814</v>
      </c>
      <c r="AO492" s="19" t="s">
        <v>1077</v>
      </c>
      <c r="AP492" s="19" t="s">
        <v>1077</v>
      </c>
      <c r="AQ492" s="19" t="s">
        <v>117</v>
      </c>
      <c r="AR492" s="19"/>
      <c r="AS492" s="19" t="s">
        <v>1078</v>
      </c>
      <c r="AT492" s="19"/>
      <c r="AU492" s="19"/>
      <c r="AV492" s="19"/>
      <c r="AW492" s="19" t="s">
        <v>1079</v>
      </c>
      <c r="AX492" s="19"/>
      <c r="AY492" s="19"/>
      <c r="AZ492" s="19"/>
      <c r="BA492" s="20">
        <v>38627</v>
      </c>
      <c r="BB492" s="19" t="s">
        <v>331</v>
      </c>
      <c r="BC492" s="19" t="s">
        <v>7815</v>
      </c>
      <c r="BD492" s="19" t="s">
        <v>7816</v>
      </c>
      <c r="BE492" s="19" t="s">
        <v>130</v>
      </c>
      <c r="BF492" s="19" t="s">
        <v>7817</v>
      </c>
      <c r="BG492" s="19"/>
      <c r="BH492" s="19" t="s">
        <v>7818</v>
      </c>
      <c r="BI492" s="19" t="s">
        <v>7818</v>
      </c>
      <c r="BJ492" s="19" t="s">
        <v>166</v>
      </c>
      <c r="BK492" s="19" t="s">
        <v>221</v>
      </c>
      <c r="BL492" s="19" t="s">
        <v>222</v>
      </c>
      <c r="BM492" s="19" t="s">
        <v>169</v>
      </c>
      <c r="BN492" s="21">
        <v>1.8979999999999999</v>
      </c>
      <c r="BO492" s="21">
        <v>4030.4978999999998</v>
      </c>
      <c r="BQ492" s="2"/>
      <c r="BR492" s="2"/>
      <c r="BS492" s="2"/>
      <c r="BT492" s="2"/>
      <c r="BU492" s="22"/>
      <c r="BV492" s="2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</row>
    <row r="493" spans="1:95" x14ac:dyDescent="0.25">
      <c r="A493" s="18">
        <v>490</v>
      </c>
      <c r="B493" s="19" t="s">
        <v>7819</v>
      </c>
      <c r="C493" s="19" t="s">
        <v>7820</v>
      </c>
      <c r="D493" s="20">
        <v>46022</v>
      </c>
      <c r="E493" s="20">
        <v>23871</v>
      </c>
      <c r="F493" s="19"/>
      <c r="G493" s="19"/>
      <c r="H493" s="19" t="s">
        <v>94</v>
      </c>
      <c r="I493" s="19"/>
      <c r="J493" s="19"/>
      <c r="K493" s="19"/>
      <c r="L493" s="19" t="s">
        <v>97</v>
      </c>
      <c r="M493" s="19" t="s">
        <v>98</v>
      </c>
      <c r="N493" s="19" t="s">
        <v>7821</v>
      </c>
      <c r="O493" s="19" t="s">
        <v>100</v>
      </c>
      <c r="P493" s="19"/>
      <c r="Q493" s="19"/>
      <c r="R493" s="19"/>
      <c r="S493" s="19"/>
      <c r="T493" s="19"/>
      <c r="U493" s="19"/>
      <c r="V493" s="19"/>
      <c r="W493" s="19"/>
      <c r="X493" s="19"/>
      <c r="Y493" s="19" t="s">
        <v>101</v>
      </c>
      <c r="Z493" s="19" t="s">
        <v>102</v>
      </c>
      <c r="AA493" s="19" t="s">
        <v>103</v>
      </c>
      <c r="AB493" s="19" t="s">
        <v>1622</v>
      </c>
      <c r="AC493" s="19" t="s">
        <v>1623</v>
      </c>
      <c r="AD493" s="19" t="s">
        <v>7822</v>
      </c>
      <c r="AE493" s="19" t="s">
        <v>7823</v>
      </c>
      <c r="AF493" s="19" t="s">
        <v>7824</v>
      </c>
      <c r="AG493" s="19" t="s">
        <v>2939</v>
      </c>
      <c r="AH493" s="19" t="s">
        <v>124</v>
      </c>
      <c r="AI493" s="19" t="s">
        <v>111</v>
      </c>
      <c r="AJ493" s="19" t="s">
        <v>7825</v>
      </c>
      <c r="AK493" s="19"/>
      <c r="AL493" s="19"/>
      <c r="AM493" s="19" t="s">
        <v>7826</v>
      </c>
      <c r="AN493" s="19" t="s">
        <v>7827</v>
      </c>
      <c r="AO493" s="19" t="s">
        <v>7828</v>
      </c>
      <c r="AP493" s="19" t="s">
        <v>7829</v>
      </c>
      <c r="AQ493" s="19" t="s">
        <v>117</v>
      </c>
      <c r="AR493" s="19" t="s">
        <v>7830</v>
      </c>
      <c r="AS493" s="19" t="s">
        <v>7831</v>
      </c>
      <c r="AT493" s="19" t="s">
        <v>7832</v>
      </c>
      <c r="AU493" s="19" t="s">
        <v>7833</v>
      </c>
      <c r="AV493" s="19" t="s">
        <v>2924</v>
      </c>
      <c r="AW493" s="19" t="s">
        <v>7825</v>
      </c>
      <c r="AX493" s="19" t="s">
        <v>901</v>
      </c>
      <c r="AY493" s="19" t="s">
        <v>7834</v>
      </c>
      <c r="AZ493" s="19" t="s">
        <v>7835</v>
      </c>
      <c r="BA493" s="20">
        <v>43130</v>
      </c>
      <c r="BB493" s="19" t="s">
        <v>363</v>
      </c>
      <c r="BC493" s="19" t="s">
        <v>7836</v>
      </c>
      <c r="BD493" s="19" t="s">
        <v>7837</v>
      </c>
      <c r="BE493" s="19" t="s">
        <v>130</v>
      </c>
      <c r="BF493" s="19" t="s">
        <v>7838</v>
      </c>
      <c r="BG493" s="19"/>
      <c r="BH493" s="19" t="s">
        <v>7839</v>
      </c>
      <c r="BI493" s="19" t="s">
        <v>7839</v>
      </c>
      <c r="BJ493" s="19" t="s">
        <v>166</v>
      </c>
      <c r="BK493" s="19" t="s">
        <v>7840</v>
      </c>
      <c r="BL493" s="19" t="s">
        <v>7837</v>
      </c>
      <c r="BM493" s="19" t="s">
        <v>196</v>
      </c>
      <c r="BN493" s="21">
        <v>0</v>
      </c>
      <c r="BO493" s="21">
        <v>0</v>
      </c>
      <c r="BQ493" s="2"/>
      <c r="BR493" s="2"/>
      <c r="BS493" s="2"/>
      <c r="BT493" s="2"/>
      <c r="BU493" s="22"/>
      <c r="BV493" s="2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</row>
    <row r="494" spans="1:95" x14ac:dyDescent="0.25">
      <c r="A494" s="18">
        <v>491</v>
      </c>
      <c r="B494" s="19" t="s">
        <v>7841</v>
      </c>
      <c r="C494" s="19" t="s">
        <v>7842</v>
      </c>
      <c r="D494" s="20">
        <v>46022</v>
      </c>
      <c r="E494" s="20">
        <v>28136</v>
      </c>
      <c r="F494" s="19" t="s">
        <v>7843</v>
      </c>
      <c r="G494" s="19" t="s">
        <v>139</v>
      </c>
      <c r="H494" s="19" t="s">
        <v>94</v>
      </c>
      <c r="I494" s="19"/>
      <c r="J494" s="19"/>
      <c r="K494" s="19"/>
      <c r="L494" s="19" t="s">
        <v>244</v>
      </c>
      <c r="M494" s="19" t="s">
        <v>245</v>
      </c>
      <c r="N494" s="19" t="s">
        <v>7844</v>
      </c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 t="s">
        <v>101</v>
      </c>
      <c r="Z494" s="19" t="s">
        <v>102</v>
      </c>
      <c r="AA494" s="19" t="s">
        <v>103</v>
      </c>
      <c r="AB494" s="19" t="s">
        <v>173</v>
      </c>
      <c r="AC494" s="19" t="s">
        <v>174</v>
      </c>
      <c r="AD494" s="19" t="s">
        <v>7845</v>
      </c>
      <c r="AE494" s="19" t="s">
        <v>7846</v>
      </c>
      <c r="AF494" s="19" t="s">
        <v>7847</v>
      </c>
      <c r="AG494" s="19" t="s">
        <v>2468</v>
      </c>
      <c r="AH494" s="19" t="s">
        <v>231</v>
      </c>
      <c r="AI494" s="19" t="s">
        <v>111</v>
      </c>
      <c r="AJ494" s="19" t="s">
        <v>7848</v>
      </c>
      <c r="AK494" s="19"/>
      <c r="AL494" s="19" t="s">
        <v>7849</v>
      </c>
      <c r="AM494" s="19" t="s">
        <v>7850</v>
      </c>
      <c r="AN494" s="19" t="s">
        <v>7851</v>
      </c>
      <c r="AO494" s="19" t="s">
        <v>154</v>
      </c>
      <c r="AP494" s="19" t="s">
        <v>155</v>
      </c>
      <c r="AQ494" s="19" t="s">
        <v>117</v>
      </c>
      <c r="AR494" s="19" t="s">
        <v>156</v>
      </c>
      <c r="AS494" s="19" t="s">
        <v>157</v>
      </c>
      <c r="AT494" s="19" t="s">
        <v>158</v>
      </c>
      <c r="AU494" s="19"/>
      <c r="AV494" s="19" t="s">
        <v>122</v>
      </c>
      <c r="AW494" s="19"/>
      <c r="AX494" s="19" t="s">
        <v>124</v>
      </c>
      <c r="AY494" s="19" t="s">
        <v>159</v>
      </c>
      <c r="AZ494" s="19" t="s">
        <v>160</v>
      </c>
      <c r="BA494" s="20">
        <v>44676</v>
      </c>
      <c r="BB494" s="19" t="s">
        <v>349</v>
      </c>
      <c r="BC494" s="19" t="s">
        <v>7852</v>
      </c>
      <c r="BD494" s="19" t="s">
        <v>7853</v>
      </c>
      <c r="BE494" s="19" t="s">
        <v>130</v>
      </c>
      <c r="BF494" s="19" t="s">
        <v>7854</v>
      </c>
      <c r="BG494" s="19"/>
      <c r="BH494" s="19" t="s">
        <v>7855</v>
      </c>
      <c r="BI494" s="19" t="s">
        <v>7855</v>
      </c>
      <c r="BJ494" s="19" t="s">
        <v>166</v>
      </c>
      <c r="BK494" s="19" t="s">
        <v>167</v>
      </c>
      <c r="BL494" s="19" t="s">
        <v>168</v>
      </c>
      <c r="BM494" s="19" t="s">
        <v>169</v>
      </c>
      <c r="BN494" s="21">
        <v>28.228000000000002</v>
      </c>
      <c r="BO494" s="21">
        <v>999.95431759999997</v>
      </c>
      <c r="BQ494" s="2"/>
      <c r="BR494" s="2"/>
      <c r="BS494" s="2"/>
      <c r="BT494" s="2"/>
      <c r="BU494" s="22"/>
      <c r="BV494" s="2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</row>
    <row r="495" spans="1:95" x14ac:dyDescent="0.25">
      <c r="A495" s="18">
        <v>492</v>
      </c>
      <c r="B495" s="19" t="s">
        <v>7856</v>
      </c>
      <c r="C495" s="19" t="s">
        <v>7857</v>
      </c>
      <c r="D495" s="20">
        <v>46022</v>
      </c>
      <c r="E495" s="20">
        <v>29593</v>
      </c>
      <c r="F495" s="19" t="s">
        <v>7858</v>
      </c>
      <c r="G495" s="19" t="s">
        <v>139</v>
      </c>
      <c r="H495" s="19" t="s">
        <v>94</v>
      </c>
      <c r="I495" s="19"/>
      <c r="J495" s="19"/>
      <c r="K495" s="19"/>
      <c r="L495" s="19" t="s">
        <v>140</v>
      </c>
      <c r="M495" s="19" t="s">
        <v>141</v>
      </c>
      <c r="N495" s="19" t="s">
        <v>7859</v>
      </c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 t="s">
        <v>101</v>
      </c>
      <c r="Z495" s="19" t="s">
        <v>102</v>
      </c>
      <c r="AA495" s="19" t="s">
        <v>103</v>
      </c>
      <c r="AB495" s="19" t="s">
        <v>1025</v>
      </c>
      <c r="AC495" s="19" t="s">
        <v>1026</v>
      </c>
      <c r="AD495" s="19" t="s">
        <v>7860</v>
      </c>
      <c r="AE495" s="19"/>
      <c r="AF495" s="19"/>
      <c r="AG495" s="19" t="s">
        <v>2016</v>
      </c>
      <c r="AH495" s="19" t="s">
        <v>149</v>
      </c>
      <c r="AI495" s="19" t="s">
        <v>111</v>
      </c>
      <c r="AJ495" s="19" t="s">
        <v>2042</v>
      </c>
      <c r="AK495" s="19"/>
      <c r="AL495" s="19"/>
      <c r="AM495" s="19" t="s">
        <v>7861</v>
      </c>
      <c r="AN495" s="19" t="s">
        <v>7862</v>
      </c>
      <c r="AO495" s="19" t="s">
        <v>7863</v>
      </c>
      <c r="AP495" s="19" t="s">
        <v>7864</v>
      </c>
      <c r="AQ495" s="19" t="s">
        <v>117</v>
      </c>
      <c r="AR495" s="19" t="s">
        <v>7865</v>
      </c>
      <c r="AS495" s="19" t="s">
        <v>7866</v>
      </c>
      <c r="AT495" s="19" t="s">
        <v>7867</v>
      </c>
      <c r="AU495" s="19" t="s">
        <v>7868</v>
      </c>
      <c r="AV495" s="19" t="s">
        <v>122</v>
      </c>
      <c r="AW495" s="19" t="s">
        <v>1212</v>
      </c>
      <c r="AX495" s="19" t="s">
        <v>901</v>
      </c>
      <c r="AY495" s="19" t="s">
        <v>7869</v>
      </c>
      <c r="AZ495" s="19" t="s">
        <v>7870</v>
      </c>
      <c r="BA495" s="20">
        <v>34754</v>
      </c>
      <c r="BB495" s="19" t="s">
        <v>161</v>
      </c>
      <c r="BC495" s="19" t="s">
        <v>2041</v>
      </c>
      <c r="BD495" s="19" t="s">
        <v>2041</v>
      </c>
      <c r="BE495" s="19" t="s">
        <v>130</v>
      </c>
      <c r="BF495" s="19" t="s">
        <v>7871</v>
      </c>
      <c r="BG495" s="19"/>
      <c r="BH495" s="19" t="s">
        <v>7872</v>
      </c>
      <c r="BI495" s="19" t="s">
        <v>7872</v>
      </c>
      <c r="BJ495" s="19" t="s">
        <v>166</v>
      </c>
      <c r="BK495" s="19" t="s">
        <v>907</v>
      </c>
      <c r="BL495" s="19" t="s">
        <v>122</v>
      </c>
      <c r="BM495" s="19" t="s">
        <v>592</v>
      </c>
      <c r="BN495" s="21">
        <v>5.75</v>
      </c>
      <c r="BO495" s="21">
        <v>200.01259999999999</v>
      </c>
      <c r="BQ495" s="2"/>
      <c r="BR495" s="2"/>
      <c r="BS495" s="2"/>
      <c r="BT495" s="2"/>
      <c r="BU495" s="22"/>
      <c r="BV495" s="2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</row>
    <row r="496" spans="1:95" x14ac:dyDescent="0.25">
      <c r="A496" s="18">
        <v>493</v>
      </c>
      <c r="B496" s="19" t="s">
        <v>7873</v>
      </c>
      <c r="C496" s="19" t="s">
        <v>7874</v>
      </c>
      <c r="D496" s="20">
        <v>46022</v>
      </c>
      <c r="E496" s="20">
        <v>34850</v>
      </c>
      <c r="F496" s="19" t="s">
        <v>7875</v>
      </c>
      <c r="G496" s="19" t="s">
        <v>139</v>
      </c>
      <c r="H496" s="19" t="s">
        <v>94</v>
      </c>
      <c r="I496" s="19"/>
      <c r="J496" s="19"/>
      <c r="K496" s="19"/>
      <c r="L496" s="19" t="s">
        <v>244</v>
      </c>
      <c r="M496" s="19" t="s">
        <v>245</v>
      </c>
      <c r="N496" s="19" t="s">
        <v>7876</v>
      </c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 t="s">
        <v>101</v>
      </c>
      <c r="Z496" s="19" t="s">
        <v>102</v>
      </c>
      <c r="AA496" s="19" t="s">
        <v>103</v>
      </c>
      <c r="AB496" s="19" t="s">
        <v>143</v>
      </c>
      <c r="AC496" s="19" t="s">
        <v>144</v>
      </c>
      <c r="AD496" s="19" t="s">
        <v>7877</v>
      </c>
      <c r="AE496" s="19" t="s">
        <v>7878</v>
      </c>
      <c r="AF496" s="19" t="s">
        <v>7879</v>
      </c>
      <c r="AG496" s="19" t="s">
        <v>7880</v>
      </c>
      <c r="AH496" s="19" t="s">
        <v>1029</v>
      </c>
      <c r="AI496" s="19" t="s">
        <v>111</v>
      </c>
      <c r="AJ496" s="19" t="s">
        <v>7881</v>
      </c>
      <c r="AK496" s="19"/>
      <c r="AL496" s="19"/>
      <c r="AM496" s="19" t="s">
        <v>7882</v>
      </c>
      <c r="AN496" s="19" t="s">
        <v>7883</v>
      </c>
      <c r="AO496" s="19" t="s">
        <v>255</v>
      </c>
      <c r="AP496" s="19" t="s">
        <v>256</v>
      </c>
      <c r="AQ496" s="19" t="s">
        <v>117</v>
      </c>
      <c r="AR496" s="19" t="s">
        <v>257</v>
      </c>
      <c r="AS496" s="19" t="s">
        <v>258</v>
      </c>
      <c r="AT496" s="19" t="s">
        <v>259</v>
      </c>
      <c r="AU496" s="19" t="s">
        <v>260</v>
      </c>
      <c r="AV496" s="19" t="s">
        <v>260</v>
      </c>
      <c r="AW496" s="19" t="s">
        <v>261</v>
      </c>
      <c r="AX496" s="19" t="s">
        <v>262</v>
      </c>
      <c r="AY496" s="19" t="s">
        <v>263</v>
      </c>
      <c r="AZ496" s="19" t="s">
        <v>264</v>
      </c>
      <c r="BA496" s="20">
        <v>43627</v>
      </c>
      <c r="BB496" s="19" t="s">
        <v>2575</v>
      </c>
      <c r="BC496" s="19" t="s">
        <v>7884</v>
      </c>
      <c r="BD496" s="19" t="s">
        <v>7884</v>
      </c>
      <c r="BE496" s="19" t="s">
        <v>130</v>
      </c>
      <c r="BF496" s="19" t="s">
        <v>7885</v>
      </c>
      <c r="BG496" s="19"/>
      <c r="BH496" s="19" t="s">
        <v>7886</v>
      </c>
      <c r="BI496" s="19" t="s">
        <v>7886</v>
      </c>
      <c r="BJ496" s="19" t="s">
        <v>166</v>
      </c>
      <c r="BK496" s="19" t="s">
        <v>167</v>
      </c>
      <c r="BL496" s="19" t="s">
        <v>168</v>
      </c>
      <c r="BM496" s="19" t="s">
        <v>169</v>
      </c>
      <c r="BN496" s="21">
        <v>15.750999999999999</v>
      </c>
      <c r="BO496" s="21">
        <v>599.95559000000003</v>
      </c>
      <c r="BQ496" s="2"/>
      <c r="BR496" s="2"/>
      <c r="BS496" s="2"/>
      <c r="BT496" s="2"/>
      <c r="BU496" s="22"/>
      <c r="BV496" s="2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</row>
    <row r="497" spans="1:95" x14ac:dyDescent="0.25">
      <c r="A497" s="18">
        <v>494</v>
      </c>
      <c r="B497" s="19" t="s">
        <v>7887</v>
      </c>
      <c r="C497" s="19" t="s">
        <v>7888</v>
      </c>
      <c r="D497" s="20">
        <v>46022</v>
      </c>
      <c r="E497" s="20">
        <v>35686</v>
      </c>
      <c r="F497" s="19"/>
      <c r="G497" s="19"/>
      <c r="H497" s="19" t="s">
        <v>94</v>
      </c>
      <c r="I497" s="19"/>
      <c r="J497" s="19"/>
      <c r="K497" s="19"/>
      <c r="L497" s="19" t="s">
        <v>140</v>
      </c>
      <c r="M497" s="19" t="s">
        <v>141</v>
      </c>
      <c r="N497" s="19" t="s">
        <v>7889</v>
      </c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 t="s">
        <v>101</v>
      </c>
      <c r="Z497" s="19" t="s">
        <v>102</v>
      </c>
      <c r="AA497" s="19" t="s">
        <v>103</v>
      </c>
      <c r="AB497" s="19" t="s">
        <v>812</v>
      </c>
      <c r="AC497" s="19" t="s">
        <v>813</v>
      </c>
      <c r="AD497" s="19" t="s">
        <v>7890</v>
      </c>
      <c r="AE497" s="19" t="s">
        <v>7891</v>
      </c>
      <c r="AF497" s="19"/>
      <c r="AG497" s="19" t="s">
        <v>7678</v>
      </c>
      <c r="AH497" s="19" t="s">
        <v>124</v>
      </c>
      <c r="AI497" s="19" t="s">
        <v>111</v>
      </c>
      <c r="AJ497" s="19" t="s">
        <v>7892</v>
      </c>
      <c r="AK497" s="19"/>
      <c r="AL497" s="19"/>
      <c r="AM497" s="19" t="s">
        <v>7893</v>
      </c>
      <c r="AN497" s="19" t="s">
        <v>7894</v>
      </c>
      <c r="AO497" s="19" t="s">
        <v>1206</v>
      </c>
      <c r="AP497" s="19" t="s">
        <v>1207</v>
      </c>
      <c r="AQ497" s="19" t="s">
        <v>117</v>
      </c>
      <c r="AR497" s="19" t="s">
        <v>1208</v>
      </c>
      <c r="AS497" s="19" t="s">
        <v>1209</v>
      </c>
      <c r="AT497" s="19" t="s">
        <v>1210</v>
      </c>
      <c r="AU497" s="19" t="s">
        <v>1211</v>
      </c>
      <c r="AV497" s="19" t="s">
        <v>219</v>
      </c>
      <c r="AW497" s="19" t="s">
        <v>1212</v>
      </c>
      <c r="AX497" s="19" t="s">
        <v>124</v>
      </c>
      <c r="AY497" s="19" t="s">
        <v>1213</v>
      </c>
      <c r="AZ497" s="19" t="s">
        <v>1214</v>
      </c>
      <c r="BA497" s="20">
        <v>37560</v>
      </c>
      <c r="BB497" s="19" t="s">
        <v>161</v>
      </c>
      <c r="BC497" s="19" t="s">
        <v>7895</v>
      </c>
      <c r="BD497" s="19" t="s">
        <v>7678</v>
      </c>
      <c r="BE497" s="19" t="s">
        <v>130</v>
      </c>
      <c r="BF497" s="19" t="s">
        <v>7896</v>
      </c>
      <c r="BG497" s="19"/>
      <c r="BH497" s="19" t="s">
        <v>7897</v>
      </c>
      <c r="BI497" s="19" t="s">
        <v>7897</v>
      </c>
      <c r="BJ497" s="19" t="s">
        <v>194</v>
      </c>
      <c r="BK497" s="19" t="s">
        <v>591</v>
      </c>
      <c r="BL497" s="19" t="s">
        <v>122</v>
      </c>
      <c r="BM497" s="19" t="s">
        <v>592</v>
      </c>
      <c r="BN497" s="21">
        <v>28.841999999999999</v>
      </c>
      <c r="BO497" s="21">
        <v>999.95213999999999</v>
      </c>
      <c r="BQ497" s="2"/>
      <c r="BR497" s="2"/>
      <c r="BS497" s="2"/>
      <c r="BT497" s="2"/>
      <c r="BU497" s="22"/>
      <c r="BV497" s="2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</row>
    <row r="498" spans="1:95" x14ac:dyDescent="0.25">
      <c r="A498" s="18">
        <v>495</v>
      </c>
      <c r="B498" s="19" t="s">
        <v>7898</v>
      </c>
      <c r="C498" s="19" t="s">
        <v>7899</v>
      </c>
      <c r="D498" s="20">
        <v>45998</v>
      </c>
      <c r="E498" s="20">
        <v>31192</v>
      </c>
      <c r="F498" s="19" t="s">
        <v>7900</v>
      </c>
      <c r="G498" s="19" t="s">
        <v>139</v>
      </c>
      <c r="H498" s="19" t="s">
        <v>94</v>
      </c>
      <c r="I498" s="19"/>
      <c r="J498" s="19"/>
      <c r="K498" s="19"/>
      <c r="L498" s="19" t="s">
        <v>244</v>
      </c>
      <c r="M498" s="19" t="s">
        <v>245</v>
      </c>
      <c r="N498" s="19" t="s">
        <v>7901</v>
      </c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 t="s">
        <v>101</v>
      </c>
      <c r="Z498" s="19" t="s">
        <v>102</v>
      </c>
      <c r="AA498" s="19" t="s">
        <v>103</v>
      </c>
      <c r="AB498" s="19" t="s">
        <v>247</v>
      </c>
      <c r="AC498" s="19" t="s">
        <v>248</v>
      </c>
      <c r="AD498" s="19" t="s">
        <v>7902</v>
      </c>
      <c r="AE498" s="19" t="s">
        <v>7903</v>
      </c>
      <c r="AF498" s="19" t="s">
        <v>7904</v>
      </c>
      <c r="AG498" s="19" t="s">
        <v>7018</v>
      </c>
      <c r="AH498" s="19" t="s">
        <v>1029</v>
      </c>
      <c r="AI498" s="19"/>
      <c r="AJ498" s="19" t="s">
        <v>7905</v>
      </c>
      <c r="AK498" s="19"/>
      <c r="AL498" s="19"/>
      <c r="AM498" s="19" t="s">
        <v>7906</v>
      </c>
      <c r="AN498" s="19" t="s">
        <v>7907</v>
      </c>
      <c r="AO498" s="19" t="s">
        <v>255</v>
      </c>
      <c r="AP498" s="19" t="s">
        <v>256</v>
      </c>
      <c r="AQ498" s="19" t="s">
        <v>117</v>
      </c>
      <c r="AR498" s="19" t="s">
        <v>257</v>
      </c>
      <c r="AS498" s="19" t="s">
        <v>258</v>
      </c>
      <c r="AT498" s="19" t="s">
        <v>259</v>
      </c>
      <c r="AU498" s="19" t="s">
        <v>260</v>
      </c>
      <c r="AV498" s="19" t="s">
        <v>260</v>
      </c>
      <c r="AW498" s="19" t="s">
        <v>261</v>
      </c>
      <c r="AX498" s="19" t="s">
        <v>262</v>
      </c>
      <c r="AY498" s="19" t="s">
        <v>263</v>
      </c>
      <c r="AZ498" s="19" t="s">
        <v>264</v>
      </c>
      <c r="BA498" s="20">
        <v>43627</v>
      </c>
      <c r="BB498" s="19" t="s">
        <v>1487</v>
      </c>
      <c r="BC498" s="19" t="s">
        <v>7908</v>
      </c>
      <c r="BD498" s="19" t="s">
        <v>514</v>
      </c>
      <c r="BE498" s="19" t="s">
        <v>130</v>
      </c>
      <c r="BF498" s="19" t="s">
        <v>7909</v>
      </c>
      <c r="BG498" s="19"/>
      <c r="BH498" s="19" t="s">
        <v>7910</v>
      </c>
      <c r="BI498" s="19" t="s">
        <v>7910</v>
      </c>
      <c r="BJ498" s="19" t="s">
        <v>166</v>
      </c>
      <c r="BK498" s="19" t="s">
        <v>167</v>
      </c>
      <c r="BL498" s="19" t="s">
        <v>168</v>
      </c>
      <c r="BM498" s="19" t="s">
        <v>169</v>
      </c>
      <c r="BN498" s="21">
        <v>228.92500000000001</v>
      </c>
      <c r="BO498" s="21">
        <v>100386.45117</v>
      </c>
      <c r="BQ498" s="2"/>
      <c r="BR498" s="2"/>
      <c r="BS498" s="2"/>
      <c r="BT498" s="2"/>
      <c r="BU498" s="22"/>
      <c r="BV498" s="2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</row>
    <row r="499" spans="1:95" x14ac:dyDescent="0.25">
      <c r="A499" s="18">
        <v>496</v>
      </c>
      <c r="B499" s="19" t="s">
        <v>7911</v>
      </c>
      <c r="C499" s="19" t="s">
        <v>7912</v>
      </c>
      <c r="D499" s="20">
        <v>45992</v>
      </c>
      <c r="E499" s="20">
        <v>34063</v>
      </c>
      <c r="F499" s="19" t="s">
        <v>7913</v>
      </c>
      <c r="G499" s="19" t="s">
        <v>139</v>
      </c>
      <c r="H499" s="19" t="s">
        <v>94</v>
      </c>
      <c r="I499" s="19"/>
      <c r="J499" s="19"/>
      <c r="K499" s="19"/>
      <c r="L499" s="19" t="s">
        <v>140</v>
      </c>
      <c r="M499" s="19" t="s">
        <v>141</v>
      </c>
      <c r="N499" s="19" t="s">
        <v>7914</v>
      </c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 t="s">
        <v>101</v>
      </c>
      <c r="Z499" s="19" t="s">
        <v>102</v>
      </c>
      <c r="AA499" s="19" t="s">
        <v>103</v>
      </c>
      <c r="AB499" s="19" t="s">
        <v>143</v>
      </c>
      <c r="AC499" s="19" t="s">
        <v>144</v>
      </c>
      <c r="AD499" s="19" t="s">
        <v>7915</v>
      </c>
      <c r="AE499" s="19" t="s">
        <v>7916</v>
      </c>
      <c r="AF499" s="19" t="s">
        <v>1187</v>
      </c>
      <c r="AG499" s="19" t="s">
        <v>7917</v>
      </c>
      <c r="AH499" s="19" t="s">
        <v>1015</v>
      </c>
      <c r="AI499" s="19" t="s">
        <v>111</v>
      </c>
      <c r="AJ499" s="19" t="s">
        <v>7918</v>
      </c>
      <c r="AK499" s="19"/>
      <c r="AL499" s="19" t="s">
        <v>7919</v>
      </c>
      <c r="AM499" s="19" t="s">
        <v>7920</v>
      </c>
      <c r="AN499" s="19" t="s">
        <v>7921</v>
      </c>
      <c r="AO499" s="19" t="s">
        <v>154</v>
      </c>
      <c r="AP499" s="19" t="s">
        <v>155</v>
      </c>
      <c r="AQ499" s="19" t="s">
        <v>117</v>
      </c>
      <c r="AR499" s="19" t="s">
        <v>156</v>
      </c>
      <c r="AS499" s="19" t="s">
        <v>157</v>
      </c>
      <c r="AT499" s="19" t="s">
        <v>158</v>
      </c>
      <c r="AU499" s="19"/>
      <c r="AV499" s="19" t="s">
        <v>122</v>
      </c>
      <c r="AW499" s="19"/>
      <c r="AX499" s="19" t="s">
        <v>124</v>
      </c>
      <c r="AY499" s="19" t="s">
        <v>159</v>
      </c>
      <c r="AZ499" s="19" t="s">
        <v>160</v>
      </c>
      <c r="BA499" s="20">
        <v>44676</v>
      </c>
      <c r="BB499" s="19" t="s">
        <v>312</v>
      </c>
      <c r="BC499" s="19" t="s">
        <v>7922</v>
      </c>
      <c r="BD499" s="19" t="s">
        <v>7923</v>
      </c>
      <c r="BE499" s="19" t="s">
        <v>130</v>
      </c>
      <c r="BF499" s="19" t="s">
        <v>7924</v>
      </c>
      <c r="BG499" s="19"/>
      <c r="BH499" s="19" t="s">
        <v>7925</v>
      </c>
      <c r="BI499" s="19" t="s">
        <v>7925</v>
      </c>
      <c r="BJ499" s="19" t="s">
        <v>166</v>
      </c>
      <c r="BK499" s="19" t="s">
        <v>167</v>
      </c>
      <c r="BL499" s="19" t="s">
        <v>168</v>
      </c>
      <c r="BM499" s="19" t="s">
        <v>169</v>
      </c>
      <c r="BN499" s="21">
        <v>13.266</v>
      </c>
      <c r="BO499" s="21">
        <v>505.30194</v>
      </c>
      <c r="BQ499" s="2"/>
      <c r="BR499" s="2"/>
      <c r="BS499" s="2"/>
      <c r="BT499" s="2"/>
      <c r="BU499" s="22"/>
      <c r="BV499" s="2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</row>
    <row r="500" spans="1:95" x14ac:dyDescent="0.25">
      <c r="A500" s="18">
        <v>497</v>
      </c>
      <c r="B500" s="19" t="s">
        <v>7926</v>
      </c>
      <c r="C500" s="19" t="s">
        <v>7927</v>
      </c>
      <c r="D500" s="20">
        <v>45992</v>
      </c>
      <c r="E500" s="20">
        <v>34012</v>
      </c>
      <c r="F500" s="19"/>
      <c r="G500" s="19"/>
      <c r="H500" s="19" t="s">
        <v>94</v>
      </c>
      <c r="I500" s="19"/>
      <c r="J500" s="19"/>
      <c r="K500" s="19"/>
      <c r="L500" s="19" t="s">
        <v>140</v>
      </c>
      <c r="M500" s="19" t="s">
        <v>141</v>
      </c>
      <c r="N500" s="19" t="s">
        <v>7928</v>
      </c>
      <c r="O500" s="19" t="s">
        <v>100</v>
      </c>
      <c r="P500" s="19"/>
      <c r="Q500" s="19"/>
      <c r="R500" s="19"/>
      <c r="S500" s="19"/>
      <c r="T500" s="19"/>
      <c r="U500" s="19"/>
      <c r="V500" s="19"/>
      <c r="W500" s="19"/>
      <c r="X500" s="19"/>
      <c r="Y500" s="19" t="s">
        <v>101</v>
      </c>
      <c r="Z500" s="19" t="s">
        <v>102</v>
      </c>
      <c r="AA500" s="19" t="s">
        <v>103</v>
      </c>
      <c r="AB500" s="19" t="s">
        <v>7929</v>
      </c>
      <c r="AC500" s="19" t="s">
        <v>7930</v>
      </c>
      <c r="AD500" s="19" t="s">
        <v>7931</v>
      </c>
      <c r="AE500" s="19"/>
      <c r="AF500" s="19"/>
      <c r="AG500" s="19" t="s">
        <v>7932</v>
      </c>
      <c r="AH500" s="19" t="s">
        <v>327</v>
      </c>
      <c r="AI500" s="19" t="s">
        <v>111</v>
      </c>
      <c r="AJ500" s="19" t="s">
        <v>7933</v>
      </c>
      <c r="AK500" s="19"/>
      <c r="AL500" s="19"/>
      <c r="AM500" s="19" t="s">
        <v>7934</v>
      </c>
      <c r="AN500" s="19" t="s">
        <v>7935</v>
      </c>
      <c r="AO500" s="19" t="s">
        <v>1545</v>
      </c>
      <c r="AP500" s="19" t="s">
        <v>116</v>
      </c>
      <c r="AQ500" s="19" t="s">
        <v>94</v>
      </c>
      <c r="AR500" s="19" t="s">
        <v>118</v>
      </c>
      <c r="AS500" s="19" t="s">
        <v>119</v>
      </c>
      <c r="AT500" s="19" t="s">
        <v>120</v>
      </c>
      <c r="AU500" s="19" t="s">
        <v>121</v>
      </c>
      <c r="AV500" s="19" t="s">
        <v>122</v>
      </c>
      <c r="AW500" s="19" t="s">
        <v>123</v>
      </c>
      <c r="AX500" s="19" t="s">
        <v>124</v>
      </c>
      <c r="AY500" s="19" t="s">
        <v>125</v>
      </c>
      <c r="AZ500" s="19" t="s">
        <v>1546</v>
      </c>
      <c r="BA500" s="20">
        <v>45181</v>
      </c>
      <c r="BB500" s="19" t="s">
        <v>1547</v>
      </c>
      <c r="BC500" s="19" t="s">
        <v>7932</v>
      </c>
      <c r="BD500" s="19" t="s">
        <v>7932</v>
      </c>
      <c r="BE500" s="19" t="s">
        <v>130</v>
      </c>
      <c r="BF500" s="19" t="s">
        <v>7936</v>
      </c>
      <c r="BG500" s="19"/>
      <c r="BH500" s="19" t="s">
        <v>7937</v>
      </c>
      <c r="BI500" s="19" t="s">
        <v>7937</v>
      </c>
      <c r="BJ500" s="19" t="s">
        <v>133</v>
      </c>
      <c r="BK500" s="19" t="s">
        <v>195</v>
      </c>
      <c r="BL500" s="19" t="s">
        <v>122</v>
      </c>
      <c r="BM500" s="19" t="s">
        <v>196</v>
      </c>
      <c r="BN500" s="21">
        <v>0</v>
      </c>
      <c r="BO500" s="21">
        <v>0</v>
      </c>
      <c r="BQ500" s="2"/>
      <c r="BR500" s="2"/>
      <c r="BS500" s="2"/>
      <c r="BT500" s="2"/>
      <c r="BU500" s="22"/>
      <c r="BV500" s="2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</row>
    <row r="501" spans="1:95" x14ac:dyDescent="0.25">
      <c r="A501" s="18">
        <v>498</v>
      </c>
      <c r="B501" s="19" t="s">
        <v>7938</v>
      </c>
      <c r="C501" s="19" t="s">
        <v>7939</v>
      </c>
      <c r="D501" s="20">
        <v>45993</v>
      </c>
      <c r="E501" s="20">
        <v>32212</v>
      </c>
      <c r="F501" s="19"/>
      <c r="G501" s="19"/>
      <c r="H501" s="19" t="s">
        <v>94</v>
      </c>
      <c r="I501" s="19"/>
      <c r="J501" s="19" t="s">
        <v>287</v>
      </c>
      <c r="K501" s="19" t="s">
        <v>288</v>
      </c>
      <c r="L501" s="19" t="s">
        <v>140</v>
      </c>
      <c r="M501" s="19" t="s">
        <v>141</v>
      </c>
      <c r="N501" s="19" t="s">
        <v>7940</v>
      </c>
      <c r="O501" s="19" t="s">
        <v>100</v>
      </c>
      <c r="P501" s="19"/>
      <c r="Q501" s="19"/>
      <c r="R501" s="19"/>
      <c r="S501" s="19"/>
      <c r="T501" s="19"/>
      <c r="U501" s="19"/>
      <c r="V501" s="19"/>
      <c r="W501" s="19"/>
      <c r="X501" s="19"/>
      <c r="Y501" s="19" t="s">
        <v>101</v>
      </c>
      <c r="Z501" s="19" t="s">
        <v>102</v>
      </c>
      <c r="AA501" s="19" t="s">
        <v>103</v>
      </c>
      <c r="AB501" s="19" t="s">
        <v>612</v>
      </c>
      <c r="AC501" s="19" t="s">
        <v>613</v>
      </c>
      <c r="AD501" s="19" t="s">
        <v>7941</v>
      </c>
      <c r="AE501" s="19" t="s">
        <v>7942</v>
      </c>
      <c r="AF501" s="19" t="s">
        <v>7943</v>
      </c>
      <c r="AG501" s="19" t="s">
        <v>7944</v>
      </c>
      <c r="AH501" s="19" t="s">
        <v>110</v>
      </c>
      <c r="AI501" s="19" t="s">
        <v>111</v>
      </c>
      <c r="AJ501" s="19" t="s">
        <v>7945</v>
      </c>
      <c r="AK501" s="19"/>
      <c r="AL501" s="19"/>
      <c r="AM501" s="19" t="s">
        <v>7946</v>
      </c>
      <c r="AN501" s="19" t="s">
        <v>7947</v>
      </c>
      <c r="AO501" s="19" t="s">
        <v>4616</v>
      </c>
      <c r="AP501" s="19" t="s">
        <v>2089</v>
      </c>
      <c r="AQ501" s="19" t="s">
        <v>117</v>
      </c>
      <c r="AR501" s="19" t="s">
        <v>2090</v>
      </c>
      <c r="AS501" s="19" t="s">
        <v>2091</v>
      </c>
      <c r="AT501" s="19" t="s">
        <v>2092</v>
      </c>
      <c r="AU501" s="19" t="s">
        <v>2093</v>
      </c>
      <c r="AV501" s="19" t="s">
        <v>122</v>
      </c>
      <c r="AW501" s="19" t="s">
        <v>2094</v>
      </c>
      <c r="AX501" s="19" t="s">
        <v>901</v>
      </c>
      <c r="AY501" s="19" t="s">
        <v>2095</v>
      </c>
      <c r="AZ501" s="19" t="s">
        <v>2096</v>
      </c>
      <c r="BA501" s="20">
        <v>37075</v>
      </c>
      <c r="BB501" s="19" t="s">
        <v>4617</v>
      </c>
      <c r="BC501" s="19" t="s">
        <v>7948</v>
      </c>
      <c r="BD501" s="19" t="s">
        <v>7948</v>
      </c>
      <c r="BE501" s="19" t="s">
        <v>130</v>
      </c>
      <c r="BF501" s="19" t="s">
        <v>7949</v>
      </c>
      <c r="BG501" s="19" t="s">
        <v>7950</v>
      </c>
      <c r="BH501" s="19" t="s">
        <v>7951</v>
      </c>
      <c r="BI501" s="19" t="s">
        <v>7951</v>
      </c>
      <c r="BJ501" s="19" t="s">
        <v>166</v>
      </c>
      <c r="BK501" s="19" t="s">
        <v>134</v>
      </c>
      <c r="BL501" s="19" t="s">
        <v>109</v>
      </c>
      <c r="BM501" s="19" t="s">
        <v>135</v>
      </c>
      <c r="BN501" s="21">
        <v>0.91800000000000004</v>
      </c>
      <c r="BO501" s="21">
        <v>503.03645999999998</v>
      </c>
      <c r="BQ501" s="2"/>
      <c r="BR501" s="2"/>
      <c r="BS501" s="2"/>
      <c r="BT501" s="2"/>
      <c r="BU501" s="22"/>
      <c r="BV501" s="2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</row>
    <row r="502" spans="1:95" x14ac:dyDescent="0.25">
      <c r="A502" s="18">
        <v>499</v>
      </c>
      <c r="B502" s="19" t="s">
        <v>7952</v>
      </c>
      <c r="C502" s="19" t="s">
        <v>7953</v>
      </c>
      <c r="D502" s="20">
        <v>45994</v>
      </c>
      <c r="E502" s="20">
        <v>34200</v>
      </c>
      <c r="F502" s="19" t="s">
        <v>7954</v>
      </c>
      <c r="G502" s="19" t="s">
        <v>139</v>
      </c>
      <c r="H502" s="19" t="s">
        <v>94</v>
      </c>
      <c r="I502" s="19"/>
      <c r="J502" s="19"/>
      <c r="K502" s="19"/>
      <c r="L502" s="19" t="s">
        <v>101</v>
      </c>
      <c r="M502" s="19" t="s">
        <v>290</v>
      </c>
      <c r="N502" s="19" t="s">
        <v>7955</v>
      </c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 t="s">
        <v>101</v>
      </c>
      <c r="Z502" s="19" t="s">
        <v>102</v>
      </c>
      <c r="AA502" s="19" t="s">
        <v>103</v>
      </c>
      <c r="AB502" s="19" t="s">
        <v>173</v>
      </c>
      <c r="AC502" s="19" t="s">
        <v>174</v>
      </c>
      <c r="AD502" s="19" t="s">
        <v>7956</v>
      </c>
      <c r="AE502" s="19" t="s">
        <v>7957</v>
      </c>
      <c r="AF502" s="19"/>
      <c r="AG502" s="19" t="s">
        <v>7958</v>
      </c>
      <c r="AH502" s="19" t="s">
        <v>149</v>
      </c>
      <c r="AI502" s="19"/>
      <c r="AJ502" s="19" t="s">
        <v>7959</v>
      </c>
      <c r="AK502" s="19"/>
      <c r="AL502" s="19" t="s">
        <v>7960</v>
      </c>
      <c r="AM502" s="19" t="s">
        <v>7961</v>
      </c>
      <c r="AN502" s="19" t="s">
        <v>7962</v>
      </c>
      <c r="AO502" s="19" t="s">
        <v>154</v>
      </c>
      <c r="AP502" s="19" t="s">
        <v>155</v>
      </c>
      <c r="AQ502" s="19" t="s">
        <v>117</v>
      </c>
      <c r="AR502" s="19" t="s">
        <v>156</v>
      </c>
      <c r="AS502" s="19" t="s">
        <v>157</v>
      </c>
      <c r="AT502" s="19" t="s">
        <v>158</v>
      </c>
      <c r="AU502" s="19"/>
      <c r="AV502" s="19" t="s">
        <v>122</v>
      </c>
      <c r="AW502" s="19"/>
      <c r="AX502" s="19" t="s">
        <v>124</v>
      </c>
      <c r="AY502" s="19" t="s">
        <v>159</v>
      </c>
      <c r="AZ502" s="19" t="s">
        <v>160</v>
      </c>
      <c r="BA502" s="20">
        <v>44676</v>
      </c>
      <c r="BB502" s="19" t="s">
        <v>479</v>
      </c>
      <c r="BC502" s="19" t="s">
        <v>7963</v>
      </c>
      <c r="BD502" s="19" t="s">
        <v>7958</v>
      </c>
      <c r="BE502" s="19" t="s">
        <v>130</v>
      </c>
      <c r="BF502" s="19" t="s">
        <v>7964</v>
      </c>
      <c r="BG502" s="19"/>
      <c r="BH502" s="19" t="s">
        <v>7965</v>
      </c>
      <c r="BI502" s="19" t="s">
        <v>7965</v>
      </c>
      <c r="BJ502" s="19" t="s">
        <v>166</v>
      </c>
      <c r="BK502" s="19" t="s">
        <v>167</v>
      </c>
      <c r="BL502" s="19" t="s">
        <v>168</v>
      </c>
      <c r="BM502" s="19" t="s">
        <v>169</v>
      </c>
      <c r="BN502" s="21">
        <v>18.048999999999999</v>
      </c>
      <c r="BO502" s="21">
        <v>639.37138579999998</v>
      </c>
      <c r="BQ502" s="2"/>
      <c r="BR502" s="2"/>
      <c r="BS502" s="2"/>
      <c r="BT502" s="2"/>
      <c r="BU502" s="22"/>
      <c r="BV502" s="2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</row>
    <row r="503" spans="1:95" x14ac:dyDescent="0.25">
      <c r="A503" s="18">
        <v>500</v>
      </c>
      <c r="B503" s="19" t="s">
        <v>7966</v>
      </c>
      <c r="C503" s="19" t="s">
        <v>7967</v>
      </c>
      <c r="D503" s="20">
        <v>46000</v>
      </c>
      <c r="E503" s="20">
        <v>34249</v>
      </c>
      <c r="F503" s="19" t="s">
        <v>7968</v>
      </c>
      <c r="G503" s="19" t="s">
        <v>139</v>
      </c>
      <c r="H503" s="19" t="s">
        <v>94</v>
      </c>
      <c r="I503" s="19"/>
      <c r="J503" s="19"/>
      <c r="K503" s="19"/>
      <c r="L503" s="19" t="s">
        <v>244</v>
      </c>
      <c r="M503" s="19" t="s">
        <v>245</v>
      </c>
      <c r="N503" s="19" t="s">
        <v>7969</v>
      </c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 t="s">
        <v>101</v>
      </c>
      <c r="Z503" s="19" t="s">
        <v>102</v>
      </c>
      <c r="AA503" s="19" t="s">
        <v>103</v>
      </c>
      <c r="AB503" s="19" t="s">
        <v>7970</v>
      </c>
      <c r="AC503" s="19" t="s">
        <v>7971</v>
      </c>
      <c r="AD503" s="19" t="s">
        <v>7972</v>
      </c>
      <c r="AE503" s="19" t="s">
        <v>7973</v>
      </c>
      <c r="AF503" s="19" t="s">
        <v>7974</v>
      </c>
      <c r="AG503" s="19" t="s">
        <v>7975</v>
      </c>
      <c r="AH503" s="19" t="s">
        <v>149</v>
      </c>
      <c r="AI503" s="19" t="s">
        <v>111</v>
      </c>
      <c r="AJ503" s="19" t="s">
        <v>7976</v>
      </c>
      <c r="AK503" s="19"/>
      <c r="AL503" s="19"/>
      <c r="AM503" s="19" t="s">
        <v>7977</v>
      </c>
      <c r="AN503" s="19" t="s">
        <v>7978</v>
      </c>
      <c r="AO503" s="19" t="s">
        <v>255</v>
      </c>
      <c r="AP503" s="19" t="s">
        <v>256</v>
      </c>
      <c r="AQ503" s="19" t="s">
        <v>117</v>
      </c>
      <c r="AR503" s="19" t="s">
        <v>257</v>
      </c>
      <c r="AS503" s="19" t="s">
        <v>258</v>
      </c>
      <c r="AT503" s="19" t="s">
        <v>259</v>
      </c>
      <c r="AU503" s="19" t="s">
        <v>260</v>
      </c>
      <c r="AV503" s="19" t="s">
        <v>260</v>
      </c>
      <c r="AW503" s="19" t="s">
        <v>261</v>
      </c>
      <c r="AX503" s="19" t="s">
        <v>262</v>
      </c>
      <c r="AY503" s="19" t="s">
        <v>263</v>
      </c>
      <c r="AZ503" s="19" t="s">
        <v>264</v>
      </c>
      <c r="BA503" s="20">
        <v>43627</v>
      </c>
      <c r="BB503" s="19" t="s">
        <v>751</v>
      </c>
      <c r="BC503" s="19" t="s">
        <v>7979</v>
      </c>
      <c r="BD503" s="19" t="s">
        <v>251</v>
      </c>
      <c r="BE503" s="19" t="s">
        <v>130</v>
      </c>
      <c r="BF503" s="19" t="s">
        <v>7980</v>
      </c>
      <c r="BG503" s="19"/>
      <c r="BH503" s="19" t="s">
        <v>7981</v>
      </c>
      <c r="BI503" s="19" t="s">
        <v>7981</v>
      </c>
      <c r="BJ503" s="19" t="s">
        <v>166</v>
      </c>
      <c r="BK503" s="19" t="s">
        <v>167</v>
      </c>
      <c r="BL503" s="19" t="s">
        <v>168</v>
      </c>
      <c r="BM503" s="19" t="s">
        <v>169</v>
      </c>
      <c r="BN503" s="21">
        <v>5.181</v>
      </c>
      <c r="BO503" s="21">
        <v>2006.9997189000001</v>
      </c>
      <c r="BQ503" s="2"/>
      <c r="BR503" s="2"/>
      <c r="BS503" s="2"/>
      <c r="BT503" s="2"/>
      <c r="BU503" s="22"/>
      <c r="BV503" s="2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</row>
    <row r="504" spans="1:95" x14ac:dyDescent="0.25">
      <c r="A504" s="18">
        <v>501</v>
      </c>
      <c r="B504" s="19" t="s">
        <v>7982</v>
      </c>
      <c r="C504" s="19" t="s">
        <v>7983</v>
      </c>
      <c r="D504" s="20">
        <v>45993</v>
      </c>
      <c r="E504" s="20">
        <v>21440</v>
      </c>
      <c r="F504" s="19"/>
      <c r="G504" s="19"/>
      <c r="H504" s="19" t="s">
        <v>94</v>
      </c>
      <c r="I504" s="19"/>
      <c r="J504" s="19"/>
      <c r="K504" s="19"/>
      <c r="L504" s="19" t="s">
        <v>101</v>
      </c>
      <c r="M504" s="19" t="s">
        <v>290</v>
      </c>
      <c r="N504" s="19" t="s">
        <v>7984</v>
      </c>
      <c r="O504" s="19" t="s">
        <v>100</v>
      </c>
      <c r="P504" s="19"/>
      <c r="Q504" s="19"/>
      <c r="R504" s="19"/>
      <c r="S504" s="19"/>
      <c r="T504" s="19"/>
      <c r="U504" s="19"/>
      <c r="V504" s="19"/>
      <c r="W504" s="19"/>
      <c r="X504" s="19"/>
      <c r="Y504" s="19" t="s">
        <v>101</v>
      </c>
      <c r="Z504" s="19" t="s">
        <v>102</v>
      </c>
      <c r="AA504" s="19" t="s">
        <v>103</v>
      </c>
      <c r="AB504" s="19" t="s">
        <v>402</v>
      </c>
      <c r="AC504" s="19" t="s">
        <v>403</v>
      </c>
      <c r="AD504" s="19" t="s">
        <v>7985</v>
      </c>
      <c r="AE504" s="19" t="s">
        <v>7986</v>
      </c>
      <c r="AF504" s="19" t="s">
        <v>7987</v>
      </c>
      <c r="AG504" s="19" t="s">
        <v>122</v>
      </c>
      <c r="AH504" s="19" t="s">
        <v>124</v>
      </c>
      <c r="AI504" s="19" t="s">
        <v>111</v>
      </c>
      <c r="AJ504" s="19" t="s">
        <v>7988</v>
      </c>
      <c r="AK504" s="19"/>
      <c r="AL504" s="19"/>
      <c r="AM504" s="19" t="s">
        <v>7989</v>
      </c>
      <c r="AN504" s="19" t="s">
        <v>7990</v>
      </c>
      <c r="AO504" s="19" t="s">
        <v>7991</v>
      </c>
      <c r="AP504" s="19" t="s">
        <v>7992</v>
      </c>
      <c r="AQ504" s="19" t="s">
        <v>117</v>
      </c>
      <c r="AR504" s="19" t="s">
        <v>7993</v>
      </c>
      <c r="AS504" s="19" t="s">
        <v>7994</v>
      </c>
      <c r="AT504" s="19" t="s">
        <v>7995</v>
      </c>
      <c r="AU504" s="19" t="s">
        <v>7987</v>
      </c>
      <c r="AV504" s="19" t="s">
        <v>122</v>
      </c>
      <c r="AW504" s="19" t="s">
        <v>7988</v>
      </c>
      <c r="AX504" s="19" t="s">
        <v>901</v>
      </c>
      <c r="AY504" s="19" t="s">
        <v>7996</v>
      </c>
      <c r="AZ504" s="19" t="s">
        <v>7997</v>
      </c>
      <c r="BA504" s="20">
        <v>45155</v>
      </c>
      <c r="BB504" s="19" t="s">
        <v>7998</v>
      </c>
      <c r="BC504" s="19" t="s">
        <v>7999</v>
      </c>
      <c r="BD504" s="19" t="s">
        <v>6685</v>
      </c>
      <c r="BE504" s="19" t="s">
        <v>130</v>
      </c>
      <c r="BF504" s="19" t="s">
        <v>8000</v>
      </c>
      <c r="BG504" s="19"/>
      <c r="BH504" s="19" t="s">
        <v>8001</v>
      </c>
      <c r="BI504" s="19" t="s">
        <v>8001</v>
      </c>
      <c r="BJ504" s="19" t="s">
        <v>194</v>
      </c>
      <c r="BK504" s="19" t="s">
        <v>591</v>
      </c>
      <c r="BL504" s="19" t="s">
        <v>122</v>
      </c>
      <c r="BM504" s="19" t="s">
        <v>592</v>
      </c>
      <c r="BN504" s="21">
        <v>133.16300000000001</v>
      </c>
      <c r="BO504" s="21">
        <v>252121.50279</v>
      </c>
      <c r="BQ504" s="2"/>
      <c r="BR504" s="2"/>
      <c r="BS504" s="2"/>
      <c r="BT504" s="2"/>
      <c r="BU504" s="22"/>
      <c r="BV504" s="2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</row>
    <row r="505" spans="1:95" x14ac:dyDescent="0.25">
      <c r="A505" s="18">
        <v>502</v>
      </c>
      <c r="B505" s="19" t="s">
        <v>8002</v>
      </c>
      <c r="C505" s="19" t="s">
        <v>8003</v>
      </c>
      <c r="D505" s="20">
        <v>45996</v>
      </c>
      <c r="E505" s="20">
        <v>32370</v>
      </c>
      <c r="F505" s="19" t="s">
        <v>8004</v>
      </c>
      <c r="G505" s="19" t="s">
        <v>139</v>
      </c>
      <c r="H505" s="19" t="s">
        <v>94</v>
      </c>
      <c r="I505" s="19"/>
      <c r="J505" s="19"/>
      <c r="K505" s="19"/>
      <c r="L505" s="19" t="s">
        <v>244</v>
      </c>
      <c r="M505" s="19" t="s">
        <v>245</v>
      </c>
      <c r="N505" s="19" t="s">
        <v>8005</v>
      </c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 t="s">
        <v>101</v>
      </c>
      <c r="Z505" s="19" t="s">
        <v>102</v>
      </c>
      <c r="AA505" s="19" t="s">
        <v>103</v>
      </c>
      <c r="AB505" s="19" t="s">
        <v>143</v>
      </c>
      <c r="AC505" s="19" t="s">
        <v>144</v>
      </c>
      <c r="AD505" s="19" t="s">
        <v>8006</v>
      </c>
      <c r="AE505" s="19" t="s">
        <v>8007</v>
      </c>
      <c r="AF505" s="19" t="s">
        <v>6366</v>
      </c>
      <c r="AG505" s="19" t="s">
        <v>1695</v>
      </c>
      <c r="AH505" s="19" t="s">
        <v>327</v>
      </c>
      <c r="AI505" s="19" t="s">
        <v>111</v>
      </c>
      <c r="AJ505" s="19" t="s">
        <v>6366</v>
      </c>
      <c r="AK505" s="19"/>
      <c r="AL505" s="19"/>
      <c r="AM505" s="19" t="s">
        <v>8008</v>
      </c>
      <c r="AN505" s="19" t="s">
        <v>8009</v>
      </c>
      <c r="AO505" s="19" t="s">
        <v>1812</v>
      </c>
      <c r="AP505" s="19" t="s">
        <v>1813</v>
      </c>
      <c r="AQ505" s="19" t="s">
        <v>117</v>
      </c>
      <c r="AR505" s="19" t="s">
        <v>1814</v>
      </c>
      <c r="AS505" s="19" t="s">
        <v>1815</v>
      </c>
      <c r="AT505" s="19" t="s">
        <v>1816</v>
      </c>
      <c r="AU505" s="19"/>
      <c r="AV505" s="19" t="s">
        <v>122</v>
      </c>
      <c r="AW505" s="19" t="s">
        <v>1817</v>
      </c>
      <c r="AX505" s="19" t="s">
        <v>124</v>
      </c>
      <c r="AY505" s="19" t="s">
        <v>1818</v>
      </c>
      <c r="AZ505" s="19" t="s">
        <v>1819</v>
      </c>
      <c r="BA505" s="20">
        <v>44657</v>
      </c>
      <c r="BB505" s="19" t="s">
        <v>444</v>
      </c>
      <c r="BC505" s="19" t="s">
        <v>1695</v>
      </c>
      <c r="BD505" s="19" t="s">
        <v>1695</v>
      </c>
      <c r="BE505" s="19" t="s">
        <v>130</v>
      </c>
      <c r="BF505" s="19" t="s">
        <v>8010</v>
      </c>
      <c r="BG505" s="19"/>
      <c r="BH505" s="19" t="s">
        <v>8011</v>
      </c>
      <c r="BI505" s="19" t="s">
        <v>8011</v>
      </c>
      <c r="BJ505" s="19" t="s">
        <v>166</v>
      </c>
      <c r="BK505" s="19" t="s">
        <v>195</v>
      </c>
      <c r="BL505" s="19" t="s">
        <v>122</v>
      </c>
      <c r="BM505" s="19" t="s">
        <v>196</v>
      </c>
      <c r="BN505" s="21">
        <v>446.78699999999998</v>
      </c>
      <c r="BO505" s="21">
        <v>17018.116829999999</v>
      </c>
      <c r="BQ505" s="2"/>
      <c r="BR505" s="2"/>
      <c r="BS505" s="2"/>
      <c r="BT505" s="2"/>
      <c r="BU505" s="22"/>
      <c r="BV505" s="2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</row>
    <row r="506" spans="1:95" x14ac:dyDescent="0.25">
      <c r="A506" s="18">
        <v>503</v>
      </c>
      <c r="B506" s="19" t="s">
        <v>8012</v>
      </c>
      <c r="C506" s="19" t="s">
        <v>8013</v>
      </c>
      <c r="D506" s="20">
        <v>46001</v>
      </c>
      <c r="E506" s="20">
        <v>30864</v>
      </c>
      <c r="F506" s="19"/>
      <c r="G506" s="19"/>
      <c r="H506" s="19" t="s">
        <v>94</v>
      </c>
      <c r="I506" s="19"/>
      <c r="J506" s="19"/>
      <c r="K506" s="19"/>
      <c r="L506" s="19" t="s">
        <v>687</v>
      </c>
      <c r="M506" s="19" t="s">
        <v>688</v>
      </c>
      <c r="N506" s="19" t="s">
        <v>8014</v>
      </c>
      <c r="O506" s="19" t="s">
        <v>100</v>
      </c>
      <c r="P506" s="19"/>
      <c r="Q506" s="19"/>
      <c r="R506" s="19"/>
      <c r="S506" s="19"/>
      <c r="T506" s="19"/>
      <c r="U506" s="19"/>
      <c r="V506" s="19"/>
      <c r="W506" s="19"/>
      <c r="X506" s="19"/>
      <c r="Y506" s="19" t="s">
        <v>101</v>
      </c>
      <c r="Z506" s="19" t="s">
        <v>102</v>
      </c>
      <c r="AA506" s="19" t="s">
        <v>103</v>
      </c>
      <c r="AB506" s="19" t="s">
        <v>402</v>
      </c>
      <c r="AC506" s="19" t="s">
        <v>403</v>
      </c>
      <c r="AD506" s="19" t="s">
        <v>8015</v>
      </c>
      <c r="AE506" s="19" t="s">
        <v>8016</v>
      </c>
      <c r="AF506" s="19"/>
      <c r="AG506" s="19" t="s">
        <v>8017</v>
      </c>
      <c r="AH506" s="19" t="s">
        <v>327</v>
      </c>
      <c r="AI506" s="19" t="s">
        <v>111</v>
      </c>
      <c r="AJ506" s="19" t="s">
        <v>8018</v>
      </c>
      <c r="AK506" s="19"/>
      <c r="AL506" s="19"/>
      <c r="AM506" s="19" t="s">
        <v>8019</v>
      </c>
      <c r="AN506" s="19" t="s">
        <v>8020</v>
      </c>
      <c r="AO506" s="19" t="s">
        <v>1206</v>
      </c>
      <c r="AP506" s="19" t="s">
        <v>1207</v>
      </c>
      <c r="AQ506" s="19" t="s">
        <v>117</v>
      </c>
      <c r="AR506" s="19" t="s">
        <v>1208</v>
      </c>
      <c r="AS506" s="19" t="s">
        <v>1209</v>
      </c>
      <c r="AT506" s="19" t="s">
        <v>1210</v>
      </c>
      <c r="AU506" s="19" t="s">
        <v>1211</v>
      </c>
      <c r="AV506" s="19" t="s">
        <v>219</v>
      </c>
      <c r="AW506" s="19" t="s">
        <v>1212</v>
      </c>
      <c r="AX506" s="19" t="s">
        <v>124</v>
      </c>
      <c r="AY506" s="19" t="s">
        <v>1213</v>
      </c>
      <c r="AZ506" s="19" t="s">
        <v>1214</v>
      </c>
      <c r="BA506" s="20">
        <v>37560</v>
      </c>
      <c r="BB506" s="19" t="s">
        <v>161</v>
      </c>
      <c r="BC506" s="19" t="s">
        <v>8021</v>
      </c>
      <c r="BD506" s="19" t="s">
        <v>6652</v>
      </c>
      <c r="BE506" s="19" t="s">
        <v>130</v>
      </c>
      <c r="BF506" s="19" t="s">
        <v>8022</v>
      </c>
      <c r="BG506" s="19"/>
      <c r="BH506" s="19" t="s">
        <v>8023</v>
      </c>
      <c r="BI506" s="19" t="s">
        <v>8023</v>
      </c>
      <c r="BJ506" s="19" t="s">
        <v>194</v>
      </c>
      <c r="BK506" s="19" t="s">
        <v>591</v>
      </c>
      <c r="BL506" s="19" t="s">
        <v>122</v>
      </c>
      <c r="BM506" s="19" t="s">
        <v>592</v>
      </c>
      <c r="BN506" s="21">
        <v>2.6930000000000001</v>
      </c>
      <c r="BO506" s="21">
        <v>5098.7376899999999</v>
      </c>
      <c r="BQ506" s="2"/>
      <c r="BR506" s="2"/>
      <c r="BS506" s="2"/>
      <c r="BT506" s="2"/>
      <c r="BU506" s="22"/>
      <c r="BV506" s="2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</row>
    <row r="507" spans="1:95" x14ac:dyDescent="0.25">
      <c r="A507" s="18">
        <v>504</v>
      </c>
      <c r="B507" s="19" t="s">
        <v>8024</v>
      </c>
      <c r="C507" s="19" t="s">
        <v>8025</v>
      </c>
      <c r="D507" s="20">
        <v>45993</v>
      </c>
      <c r="E507" s="20">
        <v>36799</v>
      </c>
      <c r="F507" s="19"/>
      <c r="G507" s="19"/>
      <c r="H507" s="19" t="s">
        <v>94</v>
      </c>
      <c r="I507" s="19"/>
      <c r="J507" s="19"/>
      <c r="K507" s="19"/>
      <c r="L507" s="19" t="s">
        <v>244</v>
      </c>
      <c r="M507" s="19" t="s">
        <v>245</v>
      </c>
      <c r="N507" s="19" t="s">
        <v>8026</v>
      </c>
      <c r="O507" s="19" t="s">
        <v>100</v>
      </c>
      <c r="P507" s="19"/>
      <c r="Q507" s="19"/>
      <c r="R507" s="19"/>
      <c r="S507" s="19"/>
      <c r="T507" s="19"/>
      <c r="U507" s="19"/>
      <c r="V507" s="19"/>
      <c r="W507" s="19"/>
      <c r="X507" s="19"/>
      <c r="Y507" s="19" t="s">
        <v>101</v>
      </c>
      <c r="Z507" s="19" t="s">
        <v>102</v>
      </c>
      <c r="AA507" s="19" t="s">
        <v>103</v>
      </c>
      <c r="AB507" s="19" t="s">
        <v>247</v>
      </c>
      <c r="AC507" s="19" t="s">
        <v>248</v>
      </c>
      <c r="AD507" s="19" t="s">
        <v>8027</v>
      </c>
      <c r="AE507" s="19" t="s">
        <v>8028</v>
      </c>
      <c r="AF507" s="19"/>
      <c r="AG507" s="19" t="s">
        <v>2439</v>
      </c>
      <c r="AH507" s="19" t="s">
        <v>1029</v>
      </c>
      <c r="AI507" s="19" t="s">
        <v>111</v>
      </c>
      <c r="AJ507" s="19" t="s">
        <v>8029</v>
      </c>
      <c r="AK507" s="19"/>
      <c r="AL507" s="19"/>
      <c r="AM507" s="19" t="s">
        <v>8030</v>
      </c>
      <c r="AN507" s="19" t="s">
        <v>8031</v>
      </c>
      <c r="AO507" s="19" t="s">
        <v>255</v>
      </c>
      <c r="AP507" s="19" t="s">
        <v>256</v>
      </c>
      <c r="AQ507" s="19" t="s">
        <v>117</v>
      </c>
      <c r="AR507" s="19" t="s">
        <v>257</v>
      </c>
      <c r="AS507" s="19" t="s">
        <v>258</v>
      </c>
      <c r="AT507" s="19" t="s">
        <v>259</v>
      </c>
      <c r="AU507" s="19" t="s">
        <v>260</v>
      </c>
      <c r="AV507" s="19" t="s">
        <v>260</v>
      </c>
      <c r="AW507" s="19" t="s">
        <v>261</v>
      </c>
      <c r="AX507" s="19" t="s">
        <v>262</v>
      </c>
      <c r="AY507" s="19" t="s">
        <v>263</v>
      </c>
      <c r="AZ507" s="19" t="s">
        <v>264</v>
      </c>
      <c r="BA507" s="20">
        <v>43627</v>
      </c>
      <c r="BB507" s="19" t="s">
        <v>2575</v>
      </c>
      <c r="BC507" s="19" t="s">
        <v>8032</v>
      </c>
      <c r="BD507" s="19" t="s">
        <v>8032</v>
      </c>
      <c r="BE507" s="19" t="s">
        <v>130</v>
      </c>
      <c r="BF507" s="19" t="s">
        <v>8033</v>
      </c>
      <c r="BG507" s="19"/>
      <c r="BH507" s="19" t="s">
        <v>8034</v>
      </c>
      <c r="BI507" s="19" t="s">
        <v>8034</v>
      </c>
      <c r="BJ507" s="19" t="s">
        <v>194</v>
      </c>
      <c r="BK507" s="19" t="s">
        <v>195</v>
      </c>
      <c r="BL507" s="19" t="s">
        <v>122</v>
      </c>
      <c r="BM507" s="19" t="s">
        <v>196</v>
      </c>
      <c r="BN507" s="21">
        <v>1.1459999999999999</v>
      </c>
      <c r="BO507" s="21">
        <v>502.53521039999998</v>
      </c>
      <c r="BQ507" s="2"/>
      <c r="BR507" s="2"/>
      <c r="BS507" s="2"/>
      <c r="BT507" s="2"/>
      <c r="BU507" s="22"/>
      <c r="BV507" s="2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</row>
    <row r="508" spans="1:95" x14ac:dyDescent="0.25">
      <c r="A508" s="18">
        <v>505</v>
      </c>
      <c r="B508" s="19" t="s">
        <v>8035</v>
      </c>
      <c r="C508" s="19" t="s">
        <v>8036</v>
      </c>
      <c r="D508" s="20">
        <v>46001</v>
      </c>
      <c r="E508" s="20">
        <v>39645</v>
      </c>
      <c r="F508" s="19"/>
      <c r="G508" s="19"/>
      <c r="H508" s="19" t="s">
        <v>94</v>
      </c>
      <c r="I508" s="19"/>
      <c r="J508" s="19"/>
      <c r="K508" s="19"/>
      <c r="L508" s="19" t="s">
        <v>1262</v>
      </c>
      <c r="M508" s="19" t="s">
        <v>1263</v>
      </c>
      <c r="N508" s="19"/>
      <c r="O508" s="19"/>
      <c r="P508" s="19" t="s">
        <v>8037</v>
      </c>
      <c r="Q508" s="19" t="s">
        <v>8038</v>
      </c>
      <c r="R508" s="19" t="s">
        <v>100</v>
      </c>
      <c r="S508" s="19"/>
      <c r="T508" s="19"/>
      <c r="U508" s="19"/>
      <c r="V508" s="19"/>
      <c r="W508" s="19"/>
      <c r="X508" s="19"/>
      <c r="Y508" s="19" t="s">
        <v>244</v>
      </c>
      <c r="Z508" s="19" t="s">
        <v>1371</v>
      </c>
      <c r="AA508" s="19" t="s">
        <v>103</v>
      </c>
      <c r="AB508" s="19" t="s">
        <v>292</v>
      </c>
      <c r="AC508" s="19" t="s">
        <v>293</v>
      </c>
      <c r="AD508" s="19" t="s">
        <v>8039</v>
      </c>
      <c r="AE508" s="19" t="s">
        <v>8040</v>
      </c>
      <c r="AF508" s="19"/>
      <c r="AG508" s="19" t="s">
        <v>8041</v>
      </c>
      <c r="AH508" s="19" t="s">
        <v>327</v>
      </c>
      <c r="AI508" s="19" t="s">
        <v>111</v>
      </c>
      <c r="AJ508" s="19" t="s">
        <v>8042</v>
      </c>
      <c r="AK508" s="19"/>
      <c r="AL508" s="19"/>
      <c r="AM508" s="19" t="s">
        <v>8043</v>
      </c>
      <c r="AN508" s="19" t="s">
        <v>8044</v>
      </c>
      <c r="AO508" s="19" t="s">
        <v>8045</v>
      </c>
      <c r="AP508" s="19" t="s">
        <v>8046</v>
      </c>
      <c r="AQ508" s="19" t="s">
        <v>94</v>
      </c>
      <c r="AR508" s="19" t="s">
        <v>8047</v>
      </c>
      <c r="AS508" s="19" t="s">
        <v>8048</v>
      </c>
      <c r="AT508" s="19" t="s">
        <v>8049</v>
      </c>
      <c r="AU508" s="19" t="s">
        <v>8050</v>
      </c>
      <c r="AV508" s="19" t="s">
        <v>219</v>
      </c>
      <c r="AW508" s="19" t="s">
        <v>923</v>
      </c>
      <c r="AX508" s="19" t="s">
        <v>124</v>
      </c>
      <c r="AY508" s="19" t="s">
        <v>8051</v>
      </c>
      <c r="AZ508" s="19" t="s">
        <v>8052</v>
      </c>
      <c r="BA508" s="20">
        <v>39573</v>
      </c>
      <c r="BB508" s="19" t="s">
        <v>8053</v>
      </c>
      <c r="BC508" s="19" t="s">
        <v>8054</v>
      </c>
      <c r="BD508" s="19" t="s">
        <v>219</v>
      </c>
      <c r="BE508" s="19" t="s">
        <v>130</v>
      </c>
      <c r="BF508" s="19" t="s">
        <v>8055</v>
      </c>
      <c r="BG508" s="19"/>
      <c r="BH508" s="19" t="s">
        <v>8056</v>
      </c>
      <c r="BI508" s="19" t="s">
        <v>8056</v>
      </c>
      <c r="BJ508" s="19" t="s">
        <v>166</v>
      </c>
      <c r="BK508" s="19" t="s">
        <v>195</v>
      </c>
      <c r="BL508" s="19" t="s">
        <v>122</v>
      </c>
      <c r="BM508" s="19" t="s">
        <v>196</v>
      </c>
      <c r="BN508" s="21">
        <v>12535.179</v>
      </c>
      <c r="BO508" s="21">
        <v>206372.9194665</v>
      </c>
      <c r="BQ508" s="2"/>
      <c r="BR508" s="2"/>
      <c r="BS508" s="2"/>
      <c r="BT508" s="2"/>
      <c r="BU508" s="22"/>
      <c r="BV508" s="2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</row>
    <row r="509" spans="1:95" x14ac:dyDescent="0.25">
      <c r="A509" s="18">
        <v>506</v>
      </c>
      <c r="B509" s="19" t="s">
        <v>8057</v>
      </c>
      <c r="C509" s="19" t="s">
        <v>8058</v>
      </c>
      <c r="D509" s="20">
        <v>46002</v>
      </c>
      <c r="E509" s="20">
        <v>33171</v>
      </c>
      <c r="F509" s="19" t="s">
        <v>8059</v>
      </c>
      <c r="G509" s="19" t="s">
        <v>139</v>
      </c>
      <c r="H509" s="19" t="s">
        <v>94</v>
      </c>
      <c r="I509" s="19"/>
      <c r="J509" s="19"/>
      <c r="K509" s="19"/>
      <c r="L509" s="19" t="s">
        <v>101</v>
      </c>
      <c r="M509" s="19" t="s">
        <v>290</v>
      </c>
      <c r="N509" s="19" t="s">
        <v>8060</v>
      </c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 t="s">
        <v>101</v>
      </c>
      <c r="Z509" s="19" t="s">
        <v>102</v>
      </c>
      <c r="AA509" s="19" t="s">
        <v>103</v>
      </c>
      <c r="AB509" s="19" t="s">
        <v>702</v>
      </c>
      <c r="AC509" s="19" t="s">
        <v>703</v>
      </c>
      <c r="AD509" s="19" t="s">
        <v>8061</v>
      </c>
      <c r="AE509" s="19" t="s">
        <v>8062</v>
      </c>
      <c r="AF509" s="19"/>
      <c r="AG509" s="19" t="s">
        <v>219</v>
      </c>
      <c r="AH509" s="19" t="s">
        <v>124</v>
      </c>
      <c r="AI509" s="19" t="s">
        <v>111</v>
      </c>
      <c r="AJ509" s="19" t="s">
        <v>8063</v>
      </c>
      <c r="AK509" s="19"/>
      <c r="AL509" s="19"/>
      <c r="AM509" s="19" t="s">
        <v>8064</v>
      </c>
      <c r="AN509" s="19" t="s">
        <v>8065</v>
      </c>
      <c r="AO509" s="19" t="s">
        <v>476</v>
      </c>
      <c r="AP509" s="19" t="s">
        <v>477</v>
      </c>
      <c r="AQ509" s="19" t="s">
        <v>117</v>
      </c>
      <c r="AR509" s="19" t="s">
        <v>478</v>
      </c>
      <c r="AS509" s="19"/>
      <c r="AT509" s="19"/>
      <c r="AU509" s="19"/>
      <c r="AV509" s="19"/>
      <c r="AW509" s="19"/>
      <c r="AX509" s="19"/>
      <c r="AY509" s="19"/>
      <c r="AZ509" s="19"/>
      <c r="BA509" s="20">
        <v>44452</v>
      </c>
      <c r="BB509" s="19" t="s">
        <v>444</v>
      </c>
      <c r="BC509" s="19" t="s">
        <v>8066</v>
      </c>
      <c r="BD509" s="19" t="s">
        <v>219</v>
      </c>
      <c r="BE509" s="19" t="s">
        <v>130</v>
      </c>
      <c r="BF509" s="19" t="s">
        <v>8067</v>
      </c>
      <c r="BG509" s="19"/>
      <c r="BH509" s="19" t="s">
        <v>8068</v>
      </c>
      <c r="BI509" s="19" t="s">
        <v>8068</v>
      </c>
      <c r="BJ509" s="19" t="s">
        <v>166</v>
      </c>
      <c r="BK509" s="19" t="s">
        <v>167</v>
      </c>
      <c r="BL509" s="19" t="s">
        <v>168</v>
      </c>
      <c r="BM509" s="19" t="s">
        <v>169</v>
      </c>
      <c r="BN509" s="21">
        <v>18322.124</v>
      </c>
      <c r="BO509" s="21">
        <v>541587.32774079998</v>
      </c>
      <c r="BQ509" s="2"/>
      <c r="BR509" s="2"/>
      <c r="BS509" s="2"/>
      <c r="BT509" s="2"/>
      <c r="BU509" s="22"/>
      <c r="BV509" s="2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</row>
    <row r="510" spans="1:95" x14ac:dyDescent="0.25">
      <c r="A510" s="18">
        <v>507</v>
      </c>
      <c r="B510" s="19" t="s">
        <v>8069</v>
      </c>
      <c r="C510" s="19" t="s">
        <v>8070</v>
      </c>
      <c r="D510" s="20">
        <v>46002</v>
      </c>
      <c r="E510" s="20">
        <v>31184</v>
      </c>
      <c r="F510" s="19"/>
      <c r="G510" s="19"/>
      <c r="H510" s="19" t="s">
        <v>94</v>
      </c>
      <c r="I510" s="19"/>
      <c r="J510" s="19"/>
      <c r="K510" s="19"/>
      <c r="L510" s="19" t="s">
        <v>140</v>
      </c>
      <c r="M510" s="19" t="s">
        <v>141</v>
      </c>
      <c r="N510" s="19" t="s">
        <v>8071</v>
      </c>
      <c r="O510" s="19" t="s">
        <v>100</v>
      </c>
      <c r="P510" s="19"/>
      <c r="Q510" s="19"/>
      <c r="R510" s="19"/>
      <c r="S510" s="19"/>
      <c r="T510" s="19"/>
      <c r="U510" s="19"/>
      <c r="V510" s="19"/>
      <c r="W510" s="19"/>
      <c r="X510" s="19"/>
      <c r="Y510" s="19" t="s">
        <v>101</v>
      </c>
      <c r="Z510" s="19" t="s">
        <v>102</v>
      </c>
      <c r="AA510" s="19" t="s">
        <v>103</v>
      </c>
      <c r="AB510" s="19" t="s">
        <v>402</v>
      </c>
      <c r="AC510" s="19" t="s">
        <v>403</v>
      </c>
      <c r="AD510" s="19" t="s">
        <v>8072</v>
      </c>
      <c r="AE510" s="19" t="s">
        <v>8073</v>
      </c>
      <c r="AF510" s="19" t="s">
        <v>8074</v>
      </c>
      <c r="AG510" s="19" t="s">
        <v>8073</v>
      </c>
      <c r="AH510" s="19" t="s">
        <v>1226</v>
      </c>
      <c r="AI510" s="19" t="s">
        <v>111</v>
      </c>
      <c r="AJ510" s="19" t="s">
        <v>8075</v>
      </c>
      <c r="AK510" s="19" t="s">
        <v>4374</v>
      </c>
      <c r="AL510" s="19" t="s">
        <v>4374</v>
      </c>
      <c r="AM510" s="19" t="s">
        <v>8076</v>
      </c>
      <c r="AN510" s="19" t="s">
        <v>8077</v>
      </c>
      <c r="AO510" s="19" t="s">
        <v>1729</v>
      </c>
      <c r="AP510" s="19" t="s">
        <v>1730</v>
      </c>
      <c r="AQ510" s="19" t="s">
        <v>117</v>
      </c>
      <c r="AR510" s="19" t="s">
        <v>1731</v>
      </c>
      <c r="AS510" s="19" t="s">
        <v>1732</v>
      </c>
      <c r="AT510" s="19" t="s">
        <v>1733</v>
      </c>
      <c r="AU510" s="19" t="s">
        <v>168</v>
      </c>
      <c r="AV510" s="19" t="s">
        <v>168</v>
      </c>
      <c r="AW510" s="19" t="s">
        <v>1734</v>
      </c>
      <c r="AX510" s="19" t="s">
        <v>262</v>
      </c>
      <c r="AY510" s="19" t="s">
        <v>1735</v>
      </c>
      <c r="AZ510" s="19" t="s">
        <v>1736</v>
      </c>
      <c r="BA510" s="20">
        <v>42224</v>
      </c>
      <c r="BB510" s="19" t="s">
        <v>363</v>
      </c>
      <c r="BC510" s="19" t="s">
        <v>8078</v>
      </c>
      <c r="BD510" s="19" t="s">
        <v>8078</v>
      </c>
      <c r="BE510" s="19" t="s">
        <v>130</v>
      </c>
      <c r="BF510" s="19" t="s">
        <v>8079</v>
      </c>
      <c r="BG510" s="19"/>
      <c r="BH510" s="19" t="s">
        <v>8080</v>
      </c>
      <c r="BI510" s="19" t="s">
        <v>8080</v>
      </c>
      <c r="BJ510" s="19" t="s">
        <v>194</v>
      </c>
      <c r="BK510" s="19" t="s">
        <v>591</v>
      </c>
      <c r="BL510" s="19" t="s">
        <v>122</v>
      </c>
      <c r="BM510" s="19" t="s">
        <v>592</v>
      </c>
      <c r="BN510" s="21">
        <v>0</v>
      </c>
      <c r="BO510" s="21">
        <v>0</v>
      </c>
      <c r="BQ510" s="2"/>
      <c r="BR510" s="2"/>
      <c r="BS510" s="2"/>
      <c r="BT510" s="2"/>
      <c r="BU510" s="22"/>
      <c r="BV510" s="2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</row>
    <row r="511" spans="1:95" x14ac:dyDescent="0.25">
      <c r="A511" s="18">
        <v>508</v>
      </c>
      <c r="B511" s="19" t="s">
        <v>8081</v>
      </c>
      <c r="C511" s="19" t="s">
        <v>8082</v>
      </c>
      <c r="D511" s="20">
        <v>46002</v>
      </c>
      <c r="E511" s="20">
        <v>25111</v>
      </c>
      <c r="F511" s="19"/>
      <c r="G511" s="19"/>
      <c r="H511" s="19" t="s">
        <v>94</v>
      </c>
      <c r="I511" s="19"/>
      <c r="J511" s="19"/>
      <c r="K511" s="19"/>
      <c r="L511" s="19" t="s">
        <v>101</v>
      </c>
      <c r="M511" s="19" t="s">
        <v>290</v>
      </c>
      <c r="N511" s="19" t="s">
        <v>8083</v>
      </c>
      <c r="O511" s="19" t="s">
        <v>100</v>
      </c>
      <c r="P511" s="19"/>
      <c r="Q511" s="19"/>
      <c r="R511" s="19"/>
      <c r="S511" s="19"/>
      <c r="T511" s="19"/>
      <c r="U511" s="19"/>
      <c r="V511" s="19"/>
      <c r="W511" s="19"/>
      <c r="X511" s="19"/>
      <c r="Y511" s="19" t="s">
        <v>101</v>
      </c>
      <c r="Z511" s="19" t="s">
        <v>102</v>
      </c>
      <c r="AA511" s="19" t="s">
        <v>103</v>
      </c>
      <c r="AB511" s="19" t="s">
        <v>402</v>
      </c>
      <c r="AC511" s="19" t="s">
        <v>403</v>
      </c>
      <c r="AD511" s="19" t="s">
        <v>8084</v>
      </c>
      <c r="AE511" s="19" t="s">
        <v>8085</v>
      </c>
      <c r="AF511" s="19"/>
      <c r="AG511" s="19" t="s">
        <v>8086</v>
      </c>
      <c r="AH511" s="19" t="s">
        <v>327</v>
      </c>
      <c r="AI511" s="19" t="s">
        <v>111</v>
      </c>
      <c r="AJ511" s="19" t="s">
        <v>5506</v>
      </c>
      <c r="AK511" s="19" t="s">
        <v>1079</v>
      </c>
      <c r="AL511" s="19" t="s">
        <v>1079</v>
      </c>
      <c r="AM511" s="19" t="s">
        <v>8087</v>
      </c>
      <c r="AN511" s="19" t="s">
        <v>8088</v>
      </c>
      <c r="AO511" s="19" t="s">
        <v>8089</v>
      </c>
      <c r="AP511" s="19" t="s">
        <v>8090</v>
      </c>
      <c r="AQ511" s="19" t="s">
        <v>117</v>
      </c>
      <c r="AR511" s="19" t="s">
        <v>8091</v>
      </c>
      <c r="AS511" s="19" t="s">
        <v>8092</v>
      </c>
      <c r="AT511" s="19" t="s">
        <v>8093</v>
      </c>
      <c r="AU511" s="19" t="s">
        <v>3797</v>
      </c>
      <c r="AV511" s="19" t="s">
        <v>122</v>
      </c>
      <c r="AW511" s="19" t="s">
        <v>2094</v>
      </c>
      <c r="AX511" s="19" t="s">
        <v>124</v>
      </c>
      <c r="AY511" s="19" t="s">
        <v>8094</v>
      </c>
      <c r="AZ511" s="19" t="s">
        <v>8095</v>
      </c>
      <c r="BA511" s="20">
        <v>41341</v>
      </c>
      <c r="BB511" s="19" t="s">
        <v>8096</v>
      </c>
      <c r="BC511" s="19" t="s">
        <v>8097</v>
      </c>
      <c r="BD511" s="19" t="s">
        <v>365</v>
      </c>
      <c r="BE511" s="19" t="s">
        <v>130</v>
      </c>
      <c r="BF511" s="19" t="s">
        <v>8098</v>
      </c>
      <c r="BG511" s="19"/>
      <c r="BH511" s="19" t="s">
        <v>7486</v>
      </c>
      <c r="BI511" s="19" t="s">
        <v>7486</v>
      </c>
      <c r="BJ511" s="19" t="s">
        <v>194</v>
      </c>
      <c r="BK511" s="19" t="s">
        <v>591</v>
      </c>
      <c r="BL511" s="19" t="s">
        <v>122</v>
      </c>
      <c r="BM511" s="19" t="s">
        <v>592</v>
      </c>
      <c r="BN511" s="21">
        <v>911.65899999999999</v>
      </c>
      <c r="BO511" s="21">
        <v>1726071.3344699999</v>
      </c>
      <c r="BQ511" s="2"/>
      <c r="BR511" s="2"/>
      <c r="BS511" s="2"/>
      <c r="BT511" s="2"/>
      <c r="BU511" s="22"/>
      <c r="BV511" s="2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</row>
    <row r="512" spans="1:95" x14ac:dyDescent="0.25">
      <c r="A512" s="18">
        <v>509</v>
      </c>
      <c r="B512" s="19" t="s">
        <v>8099</v>
      </c>
      <c r="C512" s="19" t="s">
        <v>8100</v>
      </c>
      <c r="D512" s="20">
        <v>46002</v>
      </c>
      <c r="E512" s="20">
        <v>18414</v>
      </c>
      <c r="F512" s="19"/>
      <c r="G512" s="19"/>
      <c r="H512" s="19" t="s">
        <v>94</v>
      </c>
      <c r="I512" s="19"/>
      <c r="J512" s="19" t="s">
        <v>95</v>
      </c>
      <c r="K512" s="19" t="s">
        <v>96</v>
      </c>
      <c r="L512" s="19" t="s">
        <v>1825</v>
      </c>
      <c r="M512" s="19" t="s">
        <v>610</v>
      </c>
      <c r="N512" s="19" t="s">
        <v>8101</v>
      </c>
      <c r="O512" s="19" t="s">
        <v>100</v>
      </c>
      <c r="P512" s="19"/>
      <c r="Q512" s="19"/>
      <c r="R512" s="19"/>
      <c r="S512" s="19"/>
      <c r="T512" s="19"/>
      <c r="U512" s="19"/>
      <c r="V512" s="19"/>
      <c r="W512" s="19"/>
      <c r="X512" s="19"/>
      <c r="Y512" s="19" t="s">
        <v>101</v>
      </c>
      <c r="Z512" s="19" t="s">
        <v>102</v>
      </c>
      <c r="AA512" s="19" t="s">
        <v>103</v>
      </c>
      <c r="AB512" s="19" t="s">
        <v>1940</v>
      </c>
      <c r="AC512" s="19" t="s">
        <v>1941</v>
      </c>
      <c r="AD512" s="19" t="s">
        <v>8102</v>
      </c>
      <c r="AE512" s="19" t="s">
        <v>8103</v>
      </c>
      <c r="AF512" s="19"/>
      <c r="AG512" s="19" t="s">
        <v>5892</v>
      </c>
      <c r="AH512" s="19" t="s">
        <v>327</v>
      </c>
      <c r="AI512" s="19" t="s">
        <v>111</v>
      </c>
      <c r="AJ512" s="19" t="s">
        <v>8104</v>
      </c>
      <c r="AK512" s="19"/>
      <c r="AL512" s="19"/>
      <c r="AM512" s="19" t="s">
        <v>8105</v>
      </c>
      <c r="AN512" s="19" t="s">
        <v>8106</v>
      </c>
      <c r="AO512" s="19" t="s">
        <v>8107</v>
      </c>
      <c r="AP512" s="19" t="s">
        <v>8108</v>
      </c>
      <c r="AQ512" s="19" t="s">
        <v>117</v>
      </c>
      <c r="AR512" s="19" t="s">
        <v>8109</v>
      </c>
      <c r="AS512" s="19" t="s">
        <v>8110</v>
      </c>
      <c r="AT512" s="19" t="s">
        <v>8111</v>
      </c>
      <c r="AU512" s="19" t="s">
        <v>8112</v>
      </c>
      <c r="AV512" s="19" t="s">
        <v>3869</v>
      </c>
      <c r="AW512" s="19" t="s">
        <v>8113</v>
      </c>
      <c r="AX512" s="19" t="s">
        <v>327</v>
      </c>
      <c r="AY512" s="19" t="s">
        <v>8114</v>
      </c>
      <c r="AZ512" s="19" t="s">
        <v>8115</v>
      </c>
      <c r="BA512" s="20">
        <v>45854</v>
      </c>
      <c r="BB512" s="19" t="s">
        <v>127</v>
      </c>
      <c r="BC512" s="19" t="s">
        <v>8116</v>
      </c>
      <c r="BD512" s="19" t="s">
        <v>3869</v>
      </c>
      <c r="BE512" s="19" t="s">
        <v>130</v>
      </c>
      <c r="BF512" s="19" t="s">
        <v>8117</v>
      </c>
      <c r="BG512" s="19" t="s">
        <v>8118</v>
      </c>
      <c r="BH512" s="19" t="s">
        <v>8119</v>
      </c>
      <c r="BI512" s="19" t="s">
        <v>8119</v>
      </c>
      <c r="BJ512" s="19" t="s">
        <v>133</v>
      </c>
      <c r="BK512" s="19" t="s">
        <v>5908</v>
      </c>
      <c r="BL512" s="19" t="s">
        <v>5892</v>
      </c>
      <c r="BM512" s="19" t="s">
        <v>1045</v>
      </c>
      <c r="BN512" s="21">
        <v>1482.4449999999999</v>
      </c>
      <c r="BO512" s="21">
        <v>1002628.8460969999</v>
      </c>
      <c r="BQ512" s="2"/>
      <c r="BR512" s="2"/>
      <c r="BS512" s="2"/>
      <c r="BT512" s="2"/>
      <c r="BU512" s="22"/>
      <c r="BV512" s="2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</row>
    <row r="513" spans="1:95" x14ac:dyDescent="0.25">
      <c r="A513" s="18">
        <v>510</v>
      </c>
      <c r="B513" s="19" t="s">
        <v>8120</v>
      </c>
      <c r="C513" s="19" t="s">
        <v>8121</v>
      </c>
      <c r="D513" s="20">
        <v>46012</v>
      </c>
      <c r="E513" s="20">
        <v>33960</v>
      </c>
      <c r="F513" s="19"/>
      <c r="G513" s="19"/>
      <c r="H513" s="19" t="s">
        <v>94</v>
      </c>
      <c r="I513" s="19"/>
      <c r="J513" s="19"/>
      <c r="K513" s="19"/>
      <c r="L513" s="19" t="s">
        <v>140</v>
      </c>
      <c r="M513" s="19" t="s">
        <v>141</v>
      </c>
      <c r="N513" s="19" t="s">
        <v>8122</v>
      </c>
      <c r="O513" s="19" t="s">
        <v>100</v>
      </c>
      <c r="P513" s="19"/>
      <c r="Q513" s="19"/>
      <c r="R513" s="19"/>
      <c r="S513" s="19"/>
      <c r="T513" s="19"/>
      <c r="U513" s="19"/>
      <c r="V513" s="19"/>
      <c r="W513" s="19"/>
      <c r="X513" s="19"/>
      <c r="Y513" s="19" t="s">
        <v>101</v>
      </c>
      <c r="Z513" s="19" t="s">
        <v>102</v>
      </c>
      <c r="AA513" s="19" t="s">
        <v>103</v>
      </c>
      <c r="AB513" s="19" t="s">
        <v>247</v>
      </c>
      <c r="AC513" s="19" t="s">
        <v>248</v>
      </c>
      <c r="AD513" s="19" t="s">
        <v>8123</v>
      </c>
      <c r="AE513" s="19"/>
      <c r="AF513" s="19"/>
      <c r="AG513" s="19" t="s">
        <v>1127</v>
      </c>
      <c r="AH513" s="19" t="s">
        <v>757</v>
      </c>
      <c r="AI513" s="19" t="s">
        <v>111</v>
      </c>
      <c r="AJ513" s="19" t="s">
        <v>1717</v>
      </c>
      <c r="AK513" s="19"/>
      <c r="AL513" s="19"/>
      <c r="AM513" s="19" t="s">
        <v>8124</v>
      </c>
      <c r="AN513" s="19" t="s">
        <v>8125</v>
      </c>
      <c r="AO513" s="19" t="s">
        <v>181</v>
      </c>
      <c r="AP513" s="19" t="s">
        <v>182</v>
      </c>
      <c r="AQ513" s="19" t="s">
        <v>117</v>
      </c>
      <c r="AR513" s="19" t="s">
        <v>183</v>
      </c>
      <c r="AS513" s="19" t="s">
        <v>184</v>
      </c>
      <c r="AT513" s="19" t="s">
        <v>185</v>
      </c>
      <c r="AU513" s="19"/>
      <c r="AV513" s="19" t="s">
        <v>186</v>
      </c>
      <c r="AW513" s="19" t="s">
        <v>187</v>
      </c>
      <c r="AX513" s="19" t="s">
        <v>188</v>
      </c>
      <c r="AY513" s="19"/>
      <c r="AZ513" s="19" t="s">
        <v>189</v>
      </c>
      <c r="BA513" s="20">
        <v>44673</v>
      </c>
      <c r="BB513" s="19" t="s">
        <v>479</v>
      </c>
      <c r="BC513" s="19" t="s">
        <v>8126</v>
      </c>
      <c r="BD513" s="19" t="s">
        <v>481</v>
      </c>
      <c r="BE513" s="19" t="s">
        <v>130</v>
      </c>
      <c r="BF513" s="19" t="s">
        <v>8127</v>
      </c>
      <c r="BG513" s="19"/>
      <c r="BH513" s="19" t="s">
        <v>8128</v>
      </c>
      <c r="BI513" s="19" t="s">
        <v>8128</v>
      </c>
      <c r="BJ513" s="19" t="s">
        <v>194</v>
      </c>
      <c r="BK513" s="19" t="s">
        <v>195</v>
      </c>
      <c r="BL513" s="19" t="s">
        <v>122</v>
      </c>
      <c r="BM513" s="19" t="s">
        <v>196</v>
      </c>
      <c r="BN513" s="21">
        <v>413.07499999999999</v>
      </c>
      <c r="BO513" s="21">
        <v>181138.50962999999</v>
      </c>
      <c r="BQ513" s="2"/>
      <c r="BR513" s="2"/>
      <c r="BS513" s="2"/>
      <c r="BT513" s="2"/>
      <c r="BU513" s="22"/>
      <c r="BV513" s="2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</row>
    <row r="514" spans="1:95" x14ac:dyDescent="0.25">
      <c r="A514" s="18">
        <v>511</v>
      </c>
      <c r="B514" s="19" t="s">
        <v>8129</v>
      </c>
      <c r="C514" s="19" t="s">
        <v>8130</v>
      </c>
      <c r="D514" s="20">
        <v>46005</v>
      </c>
      <c r="E514" s="20">
        <v>32802</v>
      </c>
      <c r="F514" s="19"/>
      <c r="G514" s="19"/>
      <c r="H514" s="19" t="s">
        <v>94</v>
      </c>
      <c r="I514" s="19"/>
      <c r="J514" s="19"/>
      <c r="K514" s="19"/>
      <c r="L514" s="19" t="s">
        <v>244</v>
      </c>
      <c r="M514" s="19" t="s">
        <v>245</v>
      </c>
      <c r="N514" s="19" t="s">
        <v>8131</v>
      </c>
      <c r="O514" s="19" t="s">
        <v>100</v>
      </c>
      <c r="P514" s="19"/>
      <c r="Q514" s="19"/>
      <c r="R514" s="19"/>
      <c r="S514" s="19"/>
      <c r="T514" s="19"/>
      <c r="U514" s="19"/>
      <c r="V514" s="19"/>
      <c r="W514" s="19"/>
      <c r="X514" s="19"/>
      <c r="Y514" s="19" t="s">
        <v>101</v>
      </c>
      <c r="Z514" s="19" t="s">
        <v>102</v>
      </c>
      <c r="AA514" s="19" t="s">
        <v>103</v>
      </c>
      <c r="AB514" s="19" t="s">
        <v>487</v>
      </c>
      <c r="AC514" s="19" t="s">
        <v>488</v>
      </c>
      <c r="AD514" s="19" t="s">
        <v>8132</v>
      </c>
      <c r="AE514" s="19" t="s">
        <v>8133</v>
      </c>
      <c r="AF514" s="19" t="s">
        <v>8134</v>
      </c>
      <c r="AG514" s="19" t="s">
        <v>1766</v>
      </c>
      <c r="AH514" s="19" t="s">
        <v>327</v>
      </c>
      <c r="AI514" s="19" t="s">
        <v>111</v>
      </c>
      <c r="AJ514" s="19" t="s">
        <v>8135</v>
      </c>
      <c r="AK514" s="19"/>
      <c r="AL514" s="19"/>
      <c r="AM514" s="19" t="s">
        <v>8136</v>
      </c>
      <c r="AN514" s="19" t="s">
        <v>8137</v>
      </c>
      <c r="AO514" s="19" t="s">
        <v>1545</v>
      </c>
      <c r="AP514" s="19" t="s">
        <v>116</v>
      </c>
      <c r="AQ514" s="19" t="s">
        <v>94</v>
      </c>
      <c r="AR514" s="19" t="s">
        <v>118</v>
      </c>
      <c r="AS514" s="19" t="s">
        <v>119</v>
      </c>
      <c r="AT514" s="19" t="s">
        <v>120</v>
      </c>
      <c r="AU514" s="19" t="s">
        <v>121</v>
      </c>
      <c r="AV514" s="19" t="s">
        <v>122</v>
      </c>
      <c r="AW514" s="19" t="s">
        <v>123</v>
      </c>
      <c r="AX514" s="19" t="s">
        <v>124</v>
      </c>
      <c r="AY514" s="19" t="s">
        <v>125</v>
      </c>
      <c r="AZ514" s="19" t="s">
        <v>1546</v>
      </c>
      <c r="BA514" s="20">
        <v>45181</v>
      </c>
      <c r="BB514" s="19" t="s">
        <v>1547</v>
      </c>
      <c r="BC514" s="19" t="s">
        <v>8138</v>
      </c>
      <c r="BD514" s="19" t="s">
        <v>8138</v>
      </c>
      <c r="BE514" s="19" t="s">
        <v>130</v>
      </c>
      <c r="BF514" s="19" t="s">
        <v>8139</v>
      </c>
      <c r="BG514" s="19"/>
      <c r="BH514" s="19" t="s">
        <v>8140</v>
      </c>
      <c r="BI514" s="19" t="s">
        <v>8140</v>
      </c>
      <c r="BJ514" s="19" t="s">
        <v>133</v>
      </c>
      <c r="BK514" s="19" t="s">
        <v>195</v>
      </c>
      <c r="BL514" s="19" t="s">
        <v>122</v>
      </c>
      <c r="BM514" s="19" t="s">
        <v>196</v>
      </c>
      <c r="BN514" s="21">
        <v>2.3159999999999998</v>
      </c>
      <c r="BO514" s="21">
        <v>1002.8437488</v>
      </c>
      <c r="BQ514" s="2"/>
      <c r="BR514" s="2"/>
      <c r="BS514" s="2"/>
      <c r="BT514" s="2"/>
      <c r="BU514" s="22"/>
      <c r="BV514" s="2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</row>
    <row r="515" spans="1:95" x14ac:dyDescent="0.25">
      <c r="A515" s="18">
        <v>512</v>
      </c>
      <c r="B515" s="19" t="s">
        <v>8141</v>
      </c>
      <c r="C515" s="19" t="s">
        <v>8142</v>
      </c>
      <c r="D515" s="20">
        <v>46006</v>
      </c>
      <c r="E515" s="20">
        <v>29009</v>
      </c>
      <c r="F515" s="19" t="s">
        <v>8143</v>
      </c>
      <c r="G515" s="19" t="s">
        <v>139</v>
      </c>
      <c r="H515" s="19" t="s">
        <v>94</v>
      </c>
      <c r="I515" s="19"/>
      <c r="J515" s="19"/>
      <c r="K515" s="19"/>
      <c r="L515" s="19" t="s">
        <v>101</v>
      </c>
      <c r="M515" s="19" t="s">
        <v>290</v>
      </c>
      <c r="N515" s="19" t="s">
        <v>8144</v>
      </c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 t="s">
        <v>101</v>
      </c>
      <c r="Z515" s="19" t="s">
        <v>102</v>
      </c>
      <c r="AA515" s="19" t="s">
        <v>103</v>
      </c>
      <c r="AB515" s="19" t="s">
        <v>1887</v>
      </c>
      <c r="AC515" s="19" t="s">
        <v>1888</v>
      </c>
      <c r="AD515" s="19" t="s">
        <v>8145</v>
      </c>
      <c r="AE515" s="19" t="s">
        <v>8146</v>
      </c>
      <c r="AF515" s="19"/>
      <c r="AG515" s="19" t="s">
        <v>8147</v>
      </c>
      <c r="AH515" s="19" t="s">
        <v>8148</v>
      </c>
      <c r="AI515" s="19" t="s">
        <v>111</v>
      </c>
      <c r="AJ515" s="19" t="s">
        <v>8149</v>
      </c>
      <c r="AK515" s="19"/>
      <c r="AL515" s="19" t="s">
        <v>8150</v>
      </c>
      <c r="AM515" s="19" t="s">
        <v>8151</v>
      </c>
      <c r="AN515" s="19" t="s">
        <v>8152</v>
      </c>
      <c r="AO515" s="19" t="s">
        <v>154</v>
      </c>
      <c r="AP515" s="19" t="s">
        <v>155</v>
      </c>
      <c r="AQ515" s="19" t="s">
        <v>117</v>
      </c>
      <c r="AR515" s="19" t="s">
        <v>156</v>
      </c>
      <c r="AS515" s="19" t="s">
        <v>157</v>
      </c>
      <c r="AT515" s="19" t="s">
        <v>158</v>
      </c>
      <c r="AU515" s="19"/>
      <c r="AV515" s="19" t="s">
        <v>122</v>
      </c>
      <c r="AW515" s="19"/>
      <c r="AX515" s="19" t="s">
        <v>124</v>
      </c>
      <c r="AY515" s="19" t="s">
        <v>159</v>
      </c>
      <c r="AZ515" s="19" t="s">
        <v>160</v>
      </c>
      <c r="BA515" s="20">
        <v>44676</v>
      </c>
      <c r="BB515" s="19" t="s">
        <v>1002</v>
      </c>
      <c r="BC515" s="19" t="s">
        <v>1896</v>
      </c>
      <c r="BD515" s="19" t="s">
        <v>260</v>
      </c>
      <c r="BE515" s="19" t="s">
        <v>130</v>
      </c>
      <c r="BF515" s="19" t="s">
        <v>8153</v>
      </c>
      <c r="BG515" s="19"/>
      <c r="BH515" s="19" t="s">
        <v>1898</v>
      </c>
      <c r="BI515" s="19" t="s">
        <v>1898</v>
      </c>
      <c r="BJ515" s="19" t="s">
        <v>166</v>
      </c>
      <c r="BK515" s="19" t="s">
        <v>167</v>
      </c>
      <c r="BL515" s="19" t="s">
        <v>168</v>
      </c>
      <c r="BM515" s="19" t="s">
        <v>169</v>
      </c>
      <c r="BN515" s="21">
        <v>71.998000000000005</v>
      </c>
      <c r="BO515" s="21">
        <v>1515.5363006</v>
      </c>
      <c r="BQ515" s="2"/>
      <c r="BR515" s="2"/>
      <c r="BS515" s="2"/>
      <c r="BT515" s="2"/>
      <c r="BU515" s="22"/>
      <c r="BV515" s="2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</row>
    <row r="516" spans="1:95" x14ac:dyDescent="0.25">
      <c r="A516" s="18">
        <v>513</v>
      </c>
      <c r="B516" s="19" t="s">
        <v>8154</v>
      </c>
      <c r="C516" s="19" t="s">
        <v>8155</v>
      </c>
      <c r="D516" s="20">
        <v>46006</v>
      </c>
      <c r="E516" s="20">
        <v>25135</v>
      </c>
      <c r="F516" s="19" t="s">
        <v>8156</v>
      </c>
      <c r="G516" s="19" t="s">
        <v>139</v>
      </c>
      <c r="H516" s="19" t="s">
        <v>94</v>
      </c>
      <c r="I516" s="19"/>
      <c r="J516" s="19"/>
      <c r="K516" s="19"/>
      <c r="L516" s="19" t="s">
        <v>244</v>
      </c>
      <c r="M516" s="19" t="s">
        <v>245</v>
      </c>
      <c r="N516" s="19" t="s">
        <v>8157</v>
      </c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 t="s">
        <v>101</v>
      </c>
      <c r="Z516" s="19" t="s">
        <v>102</v>
      </c>
      <c r="AA516" s="19" t="s">
        <v>103</v>
      </c>
      <c r="AB516" s="19" t="s">
        <v>671</v>
      </c>
      <c r="AC516" s="19" t="s">
        <v>672</v>
      </c>
      <c r="AD516" s="19" t="s">
        <v>8158</v>
      </c>
      <c r="AE516" s="19" t="s">
        <v>8159</v>
      </c>
      <c r="AF516" s="19" t="s">
        <v>8160</v>
      </c>
      <c r="AG516" s="19" t="s">
        <v>148</v>
      </c>
      <c r="AH516" s="19" t="s">
        <v>149</v>
      </c>
      <c r="AI516" s="19" t="s">
        <v>111</v>
      </c>
      <c r="AJ516" s="19" t="s">
        <v>8161</v>
      </c>
      <c r="AK516" s="19"/>
      <c r="AL516" s="19"/>
      <c r="AM516" s="19" t="s">
        <v>8162</v>
      </c>
      <c r="AN516" s="19" t="s">
        <v>8163</v>
      </c>
      <c r="AO516" s="19" t="s">
        <v>255</v>
      </c>
      <c r="AP516" s="19" t="s">
        <v>256</v>
      </c>
      <c r="AQ516" s="19" t="s">
        <v>117</v>
      </c>
      <c r="AR516" s="19" t="s">
        <v>257</v>
      </c>
      <c r="AS516" s="19" t="s">
        <v>258</v>
      </c>
      <c r="AT516" s="19" t="s">
        <v>259</v>
      </c>
      <c r="AU516" s="19" t="s">
        <v>260</v>
      </c>
      <c r="AV516" s="19" t="s">
        <v>260</v>
      </c>
      <c r="AW516" s="19" t="s">
        <v>261</v>
      </c>
      <c r="AX516" s="19" t="s">
        <v>262</v>
      </c>
      <c r="AY516" s="19" t="s">
        <v>263</v>
      </c>
      <c r="AZ516" s="19" t="s">
        <v>264</v>
      </c>
      <c r="BA516" s="20">
        <v>43627</v>
      </c>
      <c r="BB516" s="19" t="s">
        <v>331</v>
      </c>
      <c r="BC516" s="19" t="s">
        <v>8164</v>
      </c>
      <c r="BD516" s="19" t="s">
        <v>148</v>
      </c>
      <c r="BE516" s="19" t="s">
        <v>130</v>
      </c>
      <c r="BF516" s="19" t="s">
        <v>8165</v>
      </c>
      <c r="BG516" s="19"/>
      <c r="BH516" s="19" t="s">
        <v>8166</v>
      </c>
      <c r="BI516" s="19" t="s">
        <v>8166</v>
      </c>
      <c r="BJ516" s="19" t="s">
        <v>166</v>
      </c>
      <c r="BK516" s="19" t="s">
        <v>167</v>
      </c>
      <c r="BL516" s="19" t="s">
        <v>168</v>
      </c>
      <c r="BM516" s="19" t="s">
        <v>169</v>
      </c>
      <c r="BN516" s="21">
        <v>222.93</v>
      </c>
      <c r="BO516" s="21">
        <v>10033.142994</v>
      </c>
      <c r="BQ516" s="2"/>
      <c r="BR516" s="2"/>
      <c r="BS516" s="2"/>
      <c r="BT516" s="2"/>
      <c r="BU516" s="22"/>
      <c r="BV516" s="2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</row>
    <row r="517" spans="1:95" x14ac:dyDescent="0.25">
      <c r="A517" s="18">
        <v>514</v>
      </c>
      <c r="B517" s="19" t="s">
        <v>8167</v>
      </c>
      <c r="C517" s="19" t="s">
        <v>8168</v>
      </c>
      <c r="D517" s="20">
        <v>46020</v>
      </c>
      <c r="E517" s="20">
        <v>34457</v>
      </c>
      <c r="F517" s="19" t="s">
        <v>8169</v>
      </c>
      <c r="G517" s="19" t="s">
        <v>139</v>
      </c>
      <c r="H517" s="19" t="s">
        <v>94</v>
      </c>
      <c r="I517" s="19"/>
      <c r="J517" s="19"/>
      <c r="K517" s="19"/>
      <c r="L517" s="19" t="s">
        <v>244</v>
      </c>
      <c r="M517" s="19" t="s">
        <v>245</v>
      </c>
      <c r="N517" s="19" t="s">
        <v>8170</v>
      </c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 t="s">
        <v>101</v>
      </c>
      <c r="Z517" s="19" t="s">
        <v>102</v>
      </c>
      <c r="AA517" s="19" t="s">
        <v>103</v>
      </c>
      <c r="AB517" s="19" t="s">
        <v>1450</v>
      </c>
      <c r="AC517" s="19" t="s">
        <v>1451</v>
      </c>
      <c r="AD517" s="19" t="s">
        <v>8171</v>
      </c>
      <c r="AE517" s="19" t="s">
        <v>8172</v>
      </c>
      <c r="AF517" s="19" t="s">
        <v>8173</v>
      </c>
      <c r="AG517" s="19" t="s">
        <v>8174</v>
      </c>
      <c r="AH517" s="19" t="s">
        <v>1326</v>
      </c>
      <c r="AI517" s="19"/>
      <c r="AJ517" s="19" t="s">
        <v>8175</v>
      </c>
      <c r="AK517" s="19"/>
      <c r="AL517" s="19"/>
      <c r="AM517" s="19" t="s">
        <v>8176</v>
      </c>
      <c r="AN517" s="19" t="s">
        <v>8177</v>
      </c>
      <c r="AO517" s="19" t="s">
        <v>255</v>
      </c>
      <c r="AP517" s="19" t="s">
        <v>256</v>
      </c>
      <c r="AQ517" s="19" t="s">
        <v>117</v>
      </c>
      <c r="AR517" s="19" t="s">
        <v>257</v>
      </c>
      <c r="AS517" s="19" t="s">
        <v>258</v>
      </c>
      <c r="AT517" s="19" t="s">
        <v>259</v>
      </c>
      <c r="AU517" s="19" t="s">
        <v>260</v>
      </c>
      <c r="AV517" s="19" t="s">
        <v>260</v>
      </c>
      <c r="AW517" s="19" t="s">
        <v>261</v>
      </c>
      <c r="AX517" s="19" t="s">
        <v>262</v>
      </c>
      <c r="AY517" s="19" t="s">
        <v>263</v>
      </c>
      <c r="AZ517" s="19" t="s">
        <v>264</v>
      </c>
      <c r="BA517" s="20">
        <v>43627</v>
      </c>
      <c r="BB517" s="19" t="s">
        <v>331</v>
      </c>
      <c r="BC517" s="19" t="s">
        <v>8178</v>
      </c>
      <c r="BD517" s="19" t="s">
        <v>8178</v>
      </c>
      <c r="BE517" s="19" t="s">
        <v>130</v>
      </c>
      <c r="BF517" s="19" t="s">
        <v>8179</v>
      </c>
      <c r="BG517" s="19"/>
      <c r="BH517" s="19" t="s">
        <v>8180</v>
      </c>
      <c r="BI517" s="19" t="s">
        <v>8180</v>
      </c>
      <c r="BJ517" s="19" t="s">
        <v>166</v>
      </c>
      <c r="BK517" s="19" t="s">
        <v>167</v>
      </c>
      <c r="BL517" s="19" t="s">
        <v>168</v>
      </c>
      <c r="BM517" s="19" t="s">
        <v>169</v>
      </c>
      <c r="BN517" s="21">
        <v>0.82899999999999996</v>
      </c>
      <c r="BO517" s="21">
        <v>503.52631000000002</v>
      </c>
      <c r="BQ517" s="2"/>
      <c r="BR517" s="2"/>
      <c r="BS517" s="2"/>
      <c r="BT517" s="2"/>
      <c r="BU517" s="22"/>
      <c r="BV517" s="2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</row>
    <row r="518" spans="1:95" x14ac:dyDescent="0.25">
      <c r="A518" s="18">
        <v>515</v>
      </c>
      <c r="B518" s="19" t="s">
        <v>8181</v>
      </c>
      <c r="C518" s="19" t="s">
        <v>8182</v>
      </c>
      <c r="D518" s="20">
        <v>46013</v>
      </c>
      <c r="E518" s="20">
        <v>36215</v>
      </c>
      <c r="F518" s="19" t="s">
        <v>8183</v>
      </c>
      <c r="G518" s="19" t="s">
        <v>139</v>
      </c>
      <c r="H518" s="19" t="s">
        <v>94</v>
      </c>
      <c r="I518" s="19"/>
      <c r="J518" s="19"/>
      <c r="K518" s="19"/>
      <c r="L518" s="19" t="s">
        <v>244</v>
      </c>
      <c r="M518" s="19" t="s">
        <v>245</v>
      </c>
      <c r="N518" s="19" t="s">
        <v>8184</v>
      </c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 t="s">
        <v>101</v>
      </c>
      <c r="Z518" s="19" t="s">
        <v>102</v>
      </c>
      <c r="AA518" s="19" t="s">
        <v>103</v>
      </c>
      <c r="AB518" s="19" t="s">
        <v>953</v>
      </c>
      <c r="AC518" s="19" t="s">
        <v>954</v>
      </c>
      <c r="AD518" s="19" t="s">
        <v>8185</v>
      </c>
      <c r="AE518" s="19" t="s">
        <v>8186</v>
      </c>
      <c r="AF518" s="19" t="s">
        <v>8187</v>
      </c>
      <c r="AG518" s="19" t="s">
        <v>5383</v>
      </c>
      <c r="AH518" s="19" t="s">
        <v>188</v>
      </c>
      <c r="AI518" s="19" t="s">
        <v>111</v>
      </c>
      <c r="AJ518" s="19" t="s">
        <v>2480</v>
      </c>
      <c r="AK518" s="19"/>
      <c r="AL518" s="19"/>
      <c r="AM518" s="19" t="s">
        <v>8188</v>
      </c>
      <c r="AN518" s="19" t="s">
        <v>8189</v>
      </c>
      <c r="AO518" s="19" t="s">
        <v>255</v>
      </c>
      <c r="AP518" s="19" t="s">
        <v>256</v>
      </c>
      <c r="AQ518" s="19" t="s">
        <v>117</v>
      </c>
      <c r="AR518" s="19" t="s">
        <v>257</v>
      </c>
      <c r="AS518" s="19" t="s">
        <v>258</v>
      </c>
      <c r="AT518" s="19" t="s">
        <v>259</v>
      </c>
      <c r="AU518" s="19" t="s">
        <v>260</v>
      </c>
      <c r="AV518" s="19" t="s">
        <v>260</v>
      </c>
      <c r="AW518" s="19" t="s">
        <v>261</v>
      </c>
      <c r="AX518" s="19" t="s">
        <v>262</v>
      </c>
      <c r="AY518" s="19" t="s">
        <v>263</v>
      </c>
      <c r="AZ518" s="19" t="s">
        <v>264</v>
      </c>
      <c r="BA518" s="20">
        <v>43627</v>
      </c>
      <c r="BB518" s="19" t="s">
        <v>331</v>
      </c>
      <c r="BC518" s="19" t="s">
        <v>8190</v>
      </c>
      <c r="BD518" s="19" t="s">
        <v>1549</v>
      </c>
      <c r="BE518" s="19" t="s">
        <v>130</v>
      </c>
      <c r="BF518" s="19" t="s">
        <v>8191</v>
      </c>
      <c r="BG518" s="19"/>
      <c r="BH518" s="19" t="s">
        <v>8192</v>
      </c>
      <c r="BI518" s="19" t="s">
        <v>8192</v>
      </c>
      <c r="BJ518" s="19" t="s">
        <v>166</v>
      </c>
      <c r="BK518" s="19" t="s">
        <v>167</v>
      </c>
      <c r="BL518" s="19" t="s">
        <v>168</v>
      </c>
      <c r="BM518" s="19" t="s">
        <v>169</v>
      </c>
      <c r="BN518" s="21">
        <v>2.4660000000000002</v>
      </c>
      <c r="BO518" s="21">
        <v>99.3346722</v>
      </c>
      <c r="BQ518" s="2"/>
      <c r="BR518" s="2"/>
      <c r="BS518" s="2"/>
      <c r="BT518" s="2"/>
      <c r="BU518" s="22"/>
      <c r="BV518" s="2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</row>
    <row r="519" spans="1:95" x14ac:dyDescent="0.25">
      <c r="A519" s="18">
        <v>516</v>
      </c>
      <c r="B519" s="19" t="s">
        <v>8193</v>
      </c>
      <c r="C519" s="19" t="s">
        <v>8194</v>
      </c>
      <c r="D519" s="20">
        <v>46008</v>
      </c>
      <c r="E519" s="20">
        <v>32248</v>
      </c>
      <c r="F519" s="19"/>
      <c r="G519" s="19"/>
      <c r="H519" s="19" t="s">
        <v>94</v>
      </c>
      <c r="I519" s="19"/>
      <c r="J519" s="19"/>
      <c r="K519" s="19"/>
      <c r="L519" s="19" t="s">
        <v>101</v>
      </c>
      <c r="M519" s="19" t="s">
        <v>290</v>
      </c>
      <c r="N519" s="19" t="s">
        <v>8195</v>
      </c>
      <c r="O519" s="19" t="s">
        <v>100</v>
      </c>
      <c r="P519" s="19"/>
      <c r="Q519" s="19"/>
      <c r="R519" s="19"/>
      <c r="S519" s="19"/>
      <c r="T519" s="19"/>
      <c r="U519" s="19"/>
      <c r="V519" s="19"/>
      <c r="W519" s="19"/>
      <c r="X519" s="19"/>
      <c r="Y519" s="19" t="s">
        <v>101</v>
      </c>
      <c r="Z519" s="19" t="s">
        <v>102</v>
      </c>
      <c r="AA519" s="19" t="s">
        <v>103</v>
      </c>
      <c r="AB519" s="19" t="s">
        <v>1372</v>
      </c>
      <c r="AC519" s="19" t="s">
        <v>1373</v>
      </c>
      <c r="AD519" s="19" t="s">
        <v>8196</v>
      </c>
      <c r="AE519" s="19" t="s">
        <v>8197</v>
      </c>
      <c r="AF519" s="19" t="s">
        <v>8198</v>
      </c>
      <c r="AG519" s="19" t="s">
        <v>1140</v>
      </c>
      <c r="AH519" s="19" t="s">
        <v>327</v>
      </c>
      <c r="AI519" s="19" t="s">
        <v>111</v>
      </c>
      <c r="AJ519" s="19" t="s">
        <v>2759</v>
      </c>
      <c r="AK519" s="19"/>
      <c r="AL519" s="19"/>
      <c r="AM519" s="19" t="s">
        <v>8199</v>
      </c>
      <c r="AN519" s="19" t="s">
        <v>8200</v>
      </c>
      <c r="AO519" s="19" t="s">
        <v>8201</v>
      </c>
      <c r="AP519" s="19" t="s">
        <v>8202</v>
      </c>
      <c r="AQ519" s="19" t="s">
        <v>117</v>
      </c>
      <c r="AR519" s="19" t="s">
        <v>8203</v>
      </c>
      <c r="AS519" s="19" t="s">
        <v>8204</v>
      </c>
      <c r="AT519" s="19" t="s">
        <v>8205</v>
      </c>
      <c r="AU519" s="19" t="s">
        <v>8206</v>
      </c>
      <c r="AV519" s="19" t="s">
        <v>2365</v>
      </c>
      <c r="AW519" s="19" t="s">
        <v>8207</v>
      </c>
      <c r="AX519" s="19" t="s">
        <v>231</v>
      </c>
      <c r="AY519" s="19" t="s">
        <v>8208</v>
      </c>
      <c r="AZ519" s="19" t="s">
        <v>8209</v>
      </c>
      <c r="BA519" s="20">
        <v>42920</v>
      </c>
      <c r="BB519" s="19" t="s">
        <v>1002</v>
      </c>
      <c r="BC519" s="19" t="s">
        <v>8210</v>
      </c>
      <c r="BD519" s="19" t="s">
        <v>1140</v>
      </c>
      <c r="BE519" s="19" t="s">
        <v>130</v>
      </c>
      <c r="BF519" s="19" t="s">
        <v>8211</v>
      </c>
      <c r="BG519" s="19"/>
      <c r="BH519" s="19" t="s">
        <v>8212</v>
      </c>
      <c r="BI519" s="19" t="s">
        <v>8212</v>
      </c>
      <c r="BJ519" s="19" t="s">
        <v>194</v>
      </c>
      <c r="BK519" s="19" t="s">
        <v>591</v>
      </c>
      <c r="BL519" s="19" t="s">
        <v>122</v>
      </c>
      <c r="BM519" s="19" t="s">
        <v>592</v>
      </c>
      <c r="BN519" s="21">
        <v>7.8029999999999999</v>
      </c>
      <c r="BO519" s="21">
        <v>301.96205459999999</v>
      </c>
      <c r="BQ519" s="2"/>
      <c r="BR519" s="2"/>
      <c r="BS519" s="2"/>
      <c r="BT519" s="2"/>
      <c r="BU519" s="22"/>
      <c r="BV519" s="2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</row>
    <row r="520" spans="1:95" x14ac:dyDescent="0.25">
      <c r="A520" s="18">
        <v>517</v>
      </c>
      <c r="B520" s="19" t="s">
        <v>8213</v>
      </c>
      <c r="C520" s="19" t="s">
        <v>8214</v>
      </c>
      <c r="D520" s="20">
        <v>46016</v>
      </c>
      <c r="E520" s="20">
        <v>26521</v>
      </c>
      <c r="F520" s="19"/>
      <c r="G520" s="19"/>
      <c r="H520" s="19" t="s">
        <v>94</v>
      </c>
      <c r="I520" s="19"/>
      <c r="J520" s="19"/>
      <c r="K520" s="19"/>
      <c r="L520" s="19" t="s">
        <v>101</v>
      </c>
      <c r="M520" s="19" t="s">
        <v>290</v>
      </c>
      <c r="N520" s="19" t="s">
        <v>8215</v>
      </c>
      <c r="O520" s="19" t="s">
        <v>100</v>
      </c>
      <c r="P520" s="19"/>
      <c r="Q520" s="19"/>
      <c r="R520" s="19"/>
      <c r="S520" s="19"/>
      <c r="T520" s="19"/>
      <c r="U520" s="19"/>
      <c r="V520" s="19"/>
      <c r="W520" s="19"/>
      <c r="X520" s="19"/>
      <c r="Y520" s="19" t="s">
        <v>101</v>
      </c>
      <c r="Z520" s="19" t="s">
        <v>102</v>
      </c>
      <c r="AA520" s="19" t="s">
        <v>103</v>
      </c>
      <c r="AB520" s="19" t="s">
        <v>487</v>
      </c>
      <c r="AC520" s="19" t="s">
        <v>488</v>
      </c>
      <c r="AD520" s="19" t="s">
        <v>8216</v>
      </c>
      <c r="AE520" s="19" t="s">
        <v>8217</v>
      </c>
      <c r="AF520" s="19" t="s">
        <v>8218</v>
      </c>
      <c r="AG520" s="19" t="s">
        <v>277</v>
      </c>
      <c r="AH520" s="19" t="s">
        <v>124</v>
      </c>
      <c r="AI520" s="19" t="s">
        <v>111</v>
      </c>
      <c r="AJ520" s="19" t="s">
        <v>5144</v>
      </c>
      <c r="AK520" s="19"/>
      <c r="AL520" s="19"/>
      <c r="AM520" s="19" t="s">
        <v>8219</v>
      </c>
      <c r="AN520" s="19" t="s">
        <v>8220</v>
      </c>
      <c r="AO520" s="19" t="s">
        <v>8221</v>
      </c>
      <c r="AP520" s="19" t="s">
        <v>8222</v>
      </c>
      <c r="AQ520" s="19" t="s">
        <v>117</v>
      </c>
      <c r="AR520" s="19" t="s">
        <v>8223</v>
      </c>
      <c r="AS520" s="19" t="s">
        <v>8224</v>
      </c>
      <c r="AT520" s="19" t="s">
        <v>8225</v>
      </c>
      <c r="AU520" s="19" t="s">
        <v>8226</v>
      </c>
      <c r="AV520" s="19" t="s">
        <v>277</v>
      </c>
      <c r="AW520" s="19" t="s">
        <v>8227</v>
      </c>
      <c r="AX520" s="19" t="s">
        <v>124</v>
      </c>
      <c r="AY520" s="19" t="s">
        <v>8228</v>
      </c>
      <c r="AZ520" s="19" t="s">
        <v>8229</v>
      </c>
      <c r="BA520" s="20">
        <v>43021</v>
      </c>
      <c r="BB520" s="19" t="s">
        <v>236</v>
      </c>
      <c r="BC520" s="19" t="s">
        <v>8230</v>
      </c>
      <c r="BD520" s="19" t="s">
        <v>8231</v>
      </c>
      <c r="BE520" s="19" t="s">
        <v>130</v>
      </c>
      <c r="BF520" s="19" t="s">
        <v>8232</v>
      </c>
      <c r="BG520" s="19" t="s">
        <v>8233</v>
      </c>
      <c r="BH520" s="19" t="s">
        <v>8234</v>
      </c>
      <c r="BI520" s="19" t="s">
        <v>8234</v>
      </c>
      <c r="BJ520" s="19" t="s">
        <v>1259</v>
      </c>
      <c r="BK520" s="19" t="s">
        <v>221</v>
      </c>
      <c r="BL520" s="19" t="s">
        <v>222</v>
      </c>
      <c r="BM520" s="19" t="s">
        <v>169</v>
      </c>
      <c r="BN520" s="21">
        <v>1965.18</v>
      </c>
      <c r="BO520" s="21">
        <v>850936.30322400003</v>
      </c>
      <c r="BQ520" s="2"/>
      <c r="BR520" s="2"/>
      <c r="BS520" s="2"/>
      <c r="BT520" s="2"/>
      <c r="BU520" s="22"/>
      <c r="BV520" s="2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</row>
    <row r="521" spans="1:95" x14ac:dyDescent="0.25">
      <c r="A521" s="18">
        <v>518</v>
      </c>
      <c r="B521" s="19" t="s">
        <v>8235</v>
      </c>
      <c r="C521" s="19" t="s">
        <v>8236</v>
      </c>
      <c r="D521" s="20">
        <v>46017</v>
      </c>
      <c r="E521" s="20">
        <v>32490</v>
      </c>
      <c r="F521" s="19" t="s">
        <v>8237</v>
      </c>
      <c r="G521" s="19" t="s">
        <v>139</v>
      </c>
      <c r="H521" s="19" t="s">
        <v>94</v>
      </c>
      <c r="I521" s="19"/>
      <c r="J521" s="19"/>
      <c r="K521" s="19"/>
      <c r="L521" s="19" t="s">
        <v>140</v>
      </c>
      <c r="M521" s="19" t="s">
        <v>141</v>
      </c>
      <c r="N521" s="19" t="s">
        <v>8238</v>
      </c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 t="s">
        <v>101</v>
      </c>
      <c r="Z521" s="19" t="s">
        <v>102</v>
      </c>
      <c r="AA521" s="19" t="s">
        <v>103</v>
      </c>
      <c r="AB521" s="19" t="s">
        <v>8239</v>
      </c>
      <c r="AC521" s="19" t="s">
        <v>8240</v>
      </c>
      <c r="AD521" s="19" t="s">
        <v>8241</v>
      </c>
      <c r="AE521" s="19" t="s">
        <v>8242</v>
      </c>
      <c r="AF521" s="19"/>
      <c r="AG521" s="19" t="s">
        <v>8242</v>
      </c>
      <c r="AH521" s="19" t="s">
        <v>942</v>
      </c>
      <c r="AI521" s="19" t="s">
        <v>111</v>
      </c>
      <c r="AJ521" s="19" t="s">
        <v>8243</v>
      </c>
      <c r="AK521" s="19"/>
      <c r="AL521" s="19"/>
      <c r="AM521" s="19" t="s">
        <v>8244</v>
      </c>
      <c r="AN521" s="19" t="s">
        <v>8245</v>
      </c>
      <c r="AO521" s="19" t="s">
        <v>5187</v>
      </c>
      <c r="AP521" s="19" t="s">
        <v>5188</v>
      </c>
      <c r="AQ521" s="19" t="s">
        <v>94</v>
      </c>
      <c r="AR521" s="19" t="s">
        <v>5189</v>
      </c>
      <c r="AS521" s="19" t="s">
        <v>5190</v>
      </c>
      <c r="AT521" s="19" t="s">
        <v>5191</v>
      </c>
      <c r="AU521" s="19" t="s">
        <v>5192</v>
      </c>
      <c r="AV521" s="19" t="s">
        <v>5193</v>
      </c>
      <c r="AW521" s="19" t="s">
        <v>5194</v>
      </c>
      <c r="AX521" s="19" t="s">
        <v>124</v>
      </c>
      <c r="AY521" s="19" t="s">
        <v>5195</v>
      </c>
      <c r="AZ521" s="19" t="s">
        <v>5196</v>
      </c>
      <c r="BA521" s="20">
        <v>36115</v>
      </c>
      <c r="BB521" s="19" t="s">
        <v>479</v>
      </c>
      <c r="BC521" s="19" t="s">
        <v>8246</v>
      </c>
      <c r="BD521" s="19" t="s">
        <v>481</v>
      </c>
      <c r="BE521" s="19" t="s">
        <v>130</v>
      </c>
      <c r="BF521" s="19" t="s">
        <v>8247</v>
      </c>
      <c r="BG521" s="19"/>
      <c r="BH521" s="19" t="s">
        <v>8248</v>
      </c>
      <c r="BI521" s="19" t="s">
        <v>8248</v>
      </c>
      <c r="BJ521" s="19" t="s">
        <v>194</v>
      </c>
      <c r="BK521" s="19" t="s">
        <v>907</v>
      </c>
      <c r="BL521" s="19" t="s">
        <v>122</v>
      </c>
      <c r="BM521" s="19" t="s">
        <v>592</v>
      </c>
      <c r="BN521" s="21">
        <v>97.555999999999997</v>
      </c>
      <c r="BO521" s="21">
        <v>2993.0180799999998</v>
      </c>
      <c r="BQ521" s="2"/>
      <c r="BR521" s="2"/>
      <c r="BS521" s="2"/>
      <c r="BT521" s="2"/>
      <c r="BU521" s="22"/>
      <c r="BV521" s="2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</row>
    <row r="522" spans="1:95" x14ac:dyDescent="0.25">
      <c r="A522" s="18">
        <v>519</v>
      </c>
      <c r="B522" s="19" t="s">
        <v>8249</v>
      </c>
      <c r="C522" s="19" t="s">
        <v>8250</v>
      </c>
      <c r="D522" s="20">
        <v>46017</v>
      </c>
      <c r="E522" s="20">
        <v>27982</v>
      </c>
      <c r="F522" s="19"/>
      <c r="G522" s="19"/>
      <c r="H522" s="19" t="s">
        <v>94</v>
      </c>
      <c r="I522" s="19"/>
      <c r="J522" s="19" t="s">
        <v>3080</v>
      </c>
      <c r="K522" s="19" t="s">
        <v>3081</v>
      </c>
      <c r="L522" s="19" t="s">
        <v>244</v>
      </c>
      <c r="M522" s="19" t="s">
        <v>245</v>
      </c>
      <c r="N522" s="19" t="s">
        <v>8251</v>
      </c>
      <c r="O522" s="19" t="s">
        <v>100</v>
      </c>
      <c r="P522" s="19"/>
      <c r="Q522" s="19"/>
      <c r="R522" s="19"/>
      <c r="S522" s="19"/>
      <c r="T522" s="19"/>
      <c r="U522" s="19"/>
      <c r="V522" s="19"/>
      <c r="W522" s="19"/>
      <c r="X522" s="19"/>
      <c r="Y522" s="19" t="s">
        <v>101</v>
      </c>
      <c r="Z522" s="19" t="s">
        <v>102</v>
      </c>
      <c r="AA522" s="19" t="s">
        <v>103</v>
      </c>
      <c r="AB522" s="19" t="s">
        <v>8252</v>
      </c>
      <c r="AC522" s="19" t="s">
        <v>8253</v>
      </c>
      <c r="AD522" s="19" t="s">
        <v>8254</v>
      </c>
      <c r="AE522" s="19" t="s">
        <v>8255</v>
      </c>
      <c r="AF522" s="19" t="s">
        <v>8256</v>
      </c>
      <c r="AG522" s="19" t="s">
        <v>514</v>
      </c>
      <c r="AH522" s="19" t="s">
        <v>515</v>
      </c>
      <c r="AI522" s="19" t="s">
        <v>111</v>
      </c>
      <c r="AJ522" s="19" t="s">
        <v>8257</v>
      </c>
      <c r="AK522" s="19"/>
      <c r="AL522" s="19"/>
      <c r="AM522" s="19" t="s">
        <v>8258</v>
      </c>
      <c r="AN522" s="19" t="s">
        <v>8259</v>
      </c>
      <c r="AO522" s="19" t="s">
        <v>1077</v>
      </c>
      <c r="AP522" s="19" t="s">
        <v>1077</v>
      </c>
      <c r="AQ522" s="19" t="s">
        <v>117</v>
      </c>
      <c r="AR522" s="19"/>
      <c r="AS522" s="19" t="s">
        <v>1078</v>
      </c>
      <c r="AT522" s="19"/>
      <c r="AU522" s="19"/>
      <c r="AV522" s="19"/>
      <c r="AW522" s="19" t="s">
        <v>1079</v>
      </c>
      <c r="AX522" s="19"/>
      <c r="AY522" s="19"/>
      <c r="AZ522" s="19"/>
      <c r="BA522" s="20">
        <v>38627</v>
      </c>
      <c r="BB522" s="19" t="s">
        <v>2253</v>
      </c>
      <c r="BC522" s="19" t="s">
        <v>8260</v>
      </c>
      <c r="BD522" s="19" t="s">
        <v>8260</v>
      </c>
      <c r="BE522" s="19" t="s">
        <v>130</v>
      </c>
      <c r="BF522" s="19" t="s">
        <v>8261</v>
      </c>
      <c r="BG522" s="19"/>
      <c r="BH522" s="19" t="s">
        <v>8262</v>
      </c>
      <c r="BI522" s="19" t="s">
        <v>8262</v>
      </c>
      <c r="BJ522" s="19" t="s">
        <v>166</v>
      </c>
      <c r="BK522" s="19" t="s">
        <v>195</v>
      </c>
      <c r="BL522" s="19" t="s">
        <v>122</v>
      </c>
      <c r="BM522" s="19" t="s">
        <v>196</v>
      </c>
      <c r="BN522" s="21">
        <v>27.335999999999999</v>
      </c>
      <c r="BO522" s="21">
        <v>1008.6984</v>
      </c>
      <c r="BQ522" s="2"/>
      <c r="BR522" s="2"/>
      <c r="BS522" s="2"/>
      <c r="BT522" s="2"/>
      <c r="BU522" s="22"/>
      <c r="BV522" s="2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</row>
    <row r="523" spans="1:95" x14ac:dyDescent="0.25">
      <c r="A523" s="18">
        <v>520</v>
      </c>
      <c r="B523" s="19" t="s">
        <v>8263</v>
      </c>
      <c r="C523" s="19" t="s">
        <v>8264</v>
      </c>
      <c r="D523" s="20">
        <v>46021</v>
      </c>
      <c r="E523" s="20">
        <v>18323</v>
      </c>
      <c r="F523" s="19"/>
      <c r="G523" s="19"/>
      <c r="H523" s="19" t="s">
        <v>94</v>
      </c>
      <c r="I523" s="19"/>
      <c r="J523" s="19" t="s">
        <v>3080</v>
      </c>
      <c r="K523" s="19" t="s">
        <v>3081</v>
      </c>
      <c r="L523" s="19" t="s">
        <v>1825</v>
      </c>
      <c r="M523" s="19" t="s">
        <v>610</v>
      </c>
      <c r="N523" s="19" t="s">
        <v>8265</v>
      </c>
      <c r="O523" s="19" t="s">
        <v>100</v>
      </c>
      <c r="P523" s="19"/>
      <c r="Q523" s="19"/>
      <c r="R523" s="19"/>
      <c r="S523" s="19" t="s">
        <v>8266</v>
      </c>
      <c r="T523" s="19" t="s">
        <v>8267</v>
      </c>
      <c r="U523" s="19" t="s">
        <v>100</v>
      </c>
      <c r="V523" s="19"/>
      <c r="W523" s="19"/>
      <c r="X523" s="19"/>
      <c r="Y523" s="19" t="s">
        <v>101</v>
      </c>
      <c r="Z523" s="19" t="s">
        <v>102</v>
      </c>
      <c r="AA523" s="19" t="s">
        <v>103</v>
      </c>
      <c r="AB523" s="19" t="s">
        <v>292</v>
      </c>
      <c r="AC523" s="19" t="s">
        <v>293</v>
      </c>
      <c r="AD523" s="19" t="s">
        <v>8268</v>
      </c>
      <c r="AE523" s="19" t="s">
        <v>8269</v>
      </c>
      <c r="AF523" s="19" t="s">
        <v>8270</v>
      </c>
      <c r="AG523" s="19" t="s">
        <v>8270</v>
      </c>
      <c r="AH523" s="19" t="s">
        <v>757</v>
      </c>
      <c r="AI523" s="19" t="s">
        <v>111</v>
      </c>
      <c r="AJ523" s="19" t="s">
        <v>8271</v>
      </c>
      <c r="AK523" s="19"/>
      <c r="AL523" s="19"/>
      <c r="AM523" s="19" t="s">
        <v>8272</v>
      </c>
      <c r="AN523" s="19" t="s">
        <v>8273</v>
      </c>
      <c r="AO523" s="19" t="s">
        <v>8274</v>
      </c>
      <c r="AP523" s="19" t="s">
        <v>8275</v>
      </c>
      <c r="AQ523" s="19" t="s">
        <v>117</v>
      </c>
      <c r="AR523" s="19" t="s">
        <v>8276</v>
      </c>
      <c r="AS523" s="19" t="s">
        <v>8277</v>
      </c>
      <c r="AT523" s="19" t="s">
        <v>8278</v>
      </c>
      <c r="AU523" s="19" t="s">
        <v>8279</v>
      </c>
      <c r="AV523" s="19" t="s">
        <v>8270</v>
      </c>
      <c r="AW523" s="19" t="s">
        <v>8271</v>
      </c>
      <c r="AX523" s="19" t="s">
        <v>757</v>
      </c>
      <c r="AY523" s="19" t="s">
        <v>8280</v>
      </c>
      <c r="AZ523" s="19" t="s">
        <v>8281</v>
      </c>
      <c r="BA523" s="20">
        <v>39157</v>
      </c>
      <c r="BB523" s="19" t="s">
        <v>363</v>
      </c>
      <c r="BC523" s="19" t="s">
        <v>8282</v>
      </c>
      <c r="BD523" s="19" t="s">
        <v>8270</v>
      </c>
      <c r="BE523" s="19" t="s">
        <v>130</v>
      </c>
      <c r="BF523" s="19" t="s">
        <v>8283</v>
      </c>
      <c r="BG523" s="19" t="s">
        <v>8284</v>
      </c>
      <c r="BH523" s="19" t="s">
        <v>8285</v>
      </c>
      <c r="BI523" s="19" t="s">
        <v>8285</v>
      </c>
      <c r="BJ523" s="19" t="s">
        <v>166</v>
      </c>
      <c r="BK523" s="19" t="s">
        <v>8286</v>
      </c>
      <c r="BL523" s="19" t="s">
        <v>8287</v>
      </c>
      <c r="BM523" s="19" t="s">
        <v>1045</v>
      </c>
      <c r="BN523" s="21">
        <v>12184.184999999999</v>
      </c>
      <c r="BO523" s="21">
        <v>200594.32974750001</v>
      </c>
      <c r="BQ523" s="2"/>
      <c r="BR523" s="2"/>
      <c r="BS523" s="2"/>
      <c r="BT523" s="2"/>
      <c r="BU523" s="22"/>
      <c r="BV523" s="2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</row>
    <row r="524" spans="1:95" x14ac:dyDescent="0.25">
      <c r="A524" s="18">
        <v>521</v>
      </c>
      <c r="B524" s="19" t="s">
        <v>8288</v>
      </c>
      <c r="C524" s="19" t="s">
        <v>8289</v>
      </c>
      <c r="D524" s="20">
        <v>46021</v>
      </c>
      <c r="E524" s="20">
        <v>35635</v>
      </c>
      <c r="F524" s="19"/>
      <c r="G524" s="19"/>
      <c r="H524" s="19" t="s">
        <v>94</v>
      </c>
      <c r="I524" s="19"/>
      <c r="J524" s="19"/>
      <c r="K524" s="19"/>
      <c r="L524" s="19" t="s">
        <v>140</v>
      </c>
      <c r="M524" s="19" t="s">
        <v>141</v>
      </c>
      <c r="N524" s="19" t="s">
        <v>8290</v>
      </c>
      <c r="O524" s="19" t="s">
        <v>100</v>
      </c>
      <c r="P524" s="19"/>
      <c r="Q524" s="19"/>
      <c r="R524" s="19"/>
      <c r="S524" s="19"/>
      <c r="T524" s="19"/>
      <c r="U524" s="19"/>
      <c r="V524" s="19"/>
      <c r="W524" s="19"/>
      <c r="X524" s="19"/>
      <c r="Y524" s="19" t="s">
        <v>101</v>
      </c>
      <c r="Z524" s="19" t="s">
        <v>102</v>
      </c>
      <c r="AA524" s="19" t="s">
        <v>103</v>
      </c>
      <c r="AB524" s="19" t="s">
        <v>812</v>
      </c>
      <c r="AC524" s="19" t="s">
        <v>813</v>
      </c>
      <c r="AD524" s="19" t="s">
        <v>8291</v>
      </c>
      <c r="AE524" s="19" t="s">
        <v>8292</v>
      </c>
      <c r="AF524" s="19"/>
      <c r="AG524" s="19" t="s">
        <v>8293</v>
      </c>
      <c r="AH524" s="19" t="s">
        <v>942</v>
      </c>
      <c r="AI524" s="19" t="s">
        <v>111</v>
      </c>
      <c r="AJ524" s="19" t="s">
        <v>8294</v>
      </c>
      <c r="AK524" s="19"/>
      <c r="AL524" s="19"/>
      <c r="AM524" s="19" t="s">
        <v>8295</v>
      </c>
      <c r="AN524" s="19" t="s">
        <v>8296</v>
      </c>
      <c r="AO524" s="19" t="s">
        <v>1729</v>
      </c>
      <c r="AP524" s="19" t="s">
        <v>1730</v>
      </c>
      <c r="AQ524" s="19" t="s">
        <v>117</v>
      </c>
      <c r="AR524" s="19" t="s">
        <v>1731</v>
      </c>
      <c r="AS524" s="19" t="s">
        <v>1732</v>
      </c>
      <c r="AT524" s="19" t="s">
        <v>1733</v>
      </c>
      <c r="AU524" s="19" t="s">
        <v>168</v>
      </c>
      <c r="AV524" s="19" t="s">
        <v>168</v>
      </c>
      <c r="AW524" s="19" t="s">
        <v>1734</v>
      </c>
      <c r="AX524" s="19" t="s">
        <v>262</v>
      </c>
      <c r="AY524" s="19" t="s">
        <v>1735</v>
      </c>
      <c r="AZ524" s="19" t="s">
        <v>1736</v>
      </c>
      <c r="BA524" s="20">
        <v>42224</v>
      </c>
      <c r="BB524" s="19" t="s">
        <v>349</v>
      </c>
      <c r="BC524" s="19" t="s">
        <v>8293</v>
      </c>
      <c r="BD524" s="19" t="s">
        <v>8297</v>
      </c>
      <c r="BE524" s="19" t="s">
        <v>130</v>
      </c>
      <c r="BF524" s="19" t="s">
        <v>8298</v>
      </c>
      <c r="BG524" s="19"/>
      <c r="BH524" s="19" t="s">
        <v>8299</v>
      </c>
      <c r="BI524" s="19" t="s">
        <v>8299</v>
      </c>
      <c r="BJ524" s="19" t="s">
        <v>194</v>
      </c>
      <c r="BK524" s="19" t="s">
        <v>591</v>
      </c>
      <c r="BL524" s="19" t="s">
        <v>122</v>
      </c>
      <c r="BM524" s="19" t="s">
        <v>592</v>
      </c>
      <c r="BN524" s="21">
        <v>292.64</v>
      </c>
      <c r="BO524" s="21">
        <v>10145.828799999999</v>
      </c>
      <c r="BQ524" s="2"/>
      <c r="BR524" s="2"/>
      <c r="BS524" s="2"/>
      <c r="BT524" s="2"/>
      <c r="BU524" s="22"/>
      <c r="BV524" s="2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</row>
    <row r="525" spans="1:95" x14ac:dyDescent="0.25">
      <c r="A525" s="18">
        <v>522</v>
      </c>
      <c r="B525" s="19" t="s">
        <v>8300</v>
      </c>
      <c r="C525" s="19" t="s">
        <v>8301</v>
      </c>
      <c r="D525" s="20">
        <v>45999</v>
      </c>
      <c r="E525" s="20">
        <v>30797</v>
      </c>
      <c r="F525" s="19" t="s">
        <v>8302</v>
      </c>
      <c r="G525" s="19" t="s">
        <v>139</v>
      </c>
      <c r="H525" s="19" t="s">
        <v>94</v>
      </c>
      <c r="I525" s="19"/>
      <c r="J525" s="19"/>
      <c r="K525" s="19"/>
      <c r="L525" s="19" t="s">
        <v>244</v>
      </c>
      <c r="M525" s="19" t="s">
        <v>245</v>
      </c>
      <c r="N525" s="19" t="s">
        <v>8303</v>
      </c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 t="s">
        <v>101</v>
      </c>
      <c r="Z525" s="19" t="s">
        <v>102</v>
      </c>
      <c r="AA525" s="19" t="s">
        <v>103</v>
      </c>
      <c r="AB525" s="19" t="s">
        <v>143</v>
      </c>
      <c r="AC525" s="19" t="s">
        <v>144</v>
      </c>
      <c r="AD525" s="19" t="s">
        <v>8304</v>
      </c>
      <c r="AE525" s="19" t="s">
        <v>8305</v>
      </c>
      <c r="AF525" s="19" t="s">
        <v>8306</v>
      </c>
      <c r="AG525" s="19" t="s">
        <v>8307</v>
      </c>
      <c r="AH525" s="19" t="s">
        <v>376</v>
      </c>
      <c r="AI525" s="19" t="s">
        <v>111</v>
      </c>
      <c r="AJ525" s="19" t="s">
        <v>8308</v>
      </c>
      <c r="AK525" s="19"/>
      <c r="AL525" s="19"/>
      <c r="AM525" s="19" t="s">
        <v>8309</v>
      </c>
      <c r="AN525" s="19" t="s">
        <v>8310</v>
      </c>
      <c r="AO525" s="19" t="s">
        <v>255</v>
      </c>
      <c r="AP525" s="19" t="s">
        <v>256</v>
      </c>
      <c r="AQ525" s="19" t="s">
        <v>117</v>
      </c>
      <c r="AR525" s="19" t="s">
        <v>257</v>
      </c>
      <c r="AS525" s="19" t="s">
        <v>258</v>
      </c>
      <c r="AT525" s="19" t="s">
        <v>259</v>
      </c>
      <c r="AU525" s="19" t="s">
        <v>260</v>
      </c>
      <c r="AV525" s="19" t="s">
        <v>260</v>
      </c>
      <c r="AW525" s="19" t="s">
        <v>261</v>
      </c>
      <c r="AX525" s="19" t="s">
        <v>262</v>
      </c>
      <c r="AY525" s="19" t="s">
        <v>263</v>
      </c>
      <c r="AZ525" s="19" t="s">
        <v>264</v>
      </c>
      <c r="BA525" s="20">
        <v>43627</v>
      </c>
      <c r="BB525" s="19" t="s">
        <v>1670</v>
      </c>
      <c r="BC525" s="19" t="s">
        <v>8311</v>
      </c>
      <c r="BD525" s="19" t="s">
        <v>8307</v>
      </c>
      <c r="BE525" s="19" t="s">
        <v>130</v>
      </c>
      <c r="BF525" s="19" t="s">
        <v>8312</v>
      </c>
      <c r="BG525" s="19"/>
      <c r="BH525" s="19" t="s">
        <v>8313</v>
      </c>
      <c r="BI525" s="19" t="s">
        <v>8313</v>
      </c>
      <c r="BJ525" s="19" t="s">
        <v>166</v>
      </c>
      <c r="BK525" s="19" t="s">
        <v>167</v>
      </c>
      <c r="BL525" s="19" t="s">
        <v>168</v>
      </c>
      <c r="BM525" s="19" t="s">
        <v>169</v>
      </c>
      <c r="BN525" s="21">
        <v>2.7360000000000002</v>
      </c>
      <c r="BO525" s="21">
        <v>104.21424</v>
      </c>
      <c r="BQ525" s="2"/>
      <c r="BR525" s="2"/>
      <c r="BS525" s="2"/>
      <c r="BT525" s="2"/>
      <c r="BU525" s="22"/>
      <c r="BV525" s="2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</row>
    <row r="526" spans="1:95" x14ac:dyDescent="0.25">
      <c r="A526" s="18">
        <v>523</v>
      </c>
      <c r="B526" s="19" t="s">
        <v>8314</v>
      </c>
      <c r="C526" s="19" t="s">
        <v>8315</v>
      </c>
      <c r="D526" s="20">
        <v>45992</v>
      </c>
      <c r="E526" s="20">
        <v>35359</v>
      </c>
      <c r="F526" s="19" t="s">
        <v>8316</v>
      </c>
      <c r="G526" s="19" t="s">
        <v>139</v>
      </c>
      <c r="H526" s="19" t="s">
        <v>94</v>
      </c>
      <c r="I526" s="19"/>
      <c r="J526" s="19"/>
      <c r="K526" s="19"/>
      <c r="L526" s="19" t="s">
        <v>244</v>
      </c>
      <c r="M526" s="19" t="s">
        <v>245</v>
      </c>
      <c r="N526" s="19" t="s">
        <v>8317</v>
      </c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 t="s">
        <v>101</v>
      </c>
      <c r="Z526" s="19" t="s">
        <v>102</v>
      </c>
      <c r="AA526" s="19" t="s">
        <v>103</v>
      </c>
      <c r="AB526" s="19" t="s">
        <v>247</v>
      </c>
      <c r="AC526" s="19" t="s">
        <v>248</v>
      </c>
      <c r="AD526" s="19" t="s">
        <v>8318</v>
      </c>
      <c r="AE526" s="19" t="s">
        <v>8319</v>
      </c>
      <c r="AF526" s="19" t="s">
        <v>8320</v>
      </c>
      <c r="AG526" s="19" t="s">
        <v>1051</v>
      </c>
      <c r="AH526" s="19" t="s">
        <v>1029</v>
      </c>
      <c r="AI526" s="19"/>
      <c r="AJ526" s="19" t="s">
        <v>8321</v>
      </c>
      <c r="AK526" s="19"/>
      <c r="AL526" s="19"/>
      <c r="AM526" s="19" t="s">
        <v>8322</v>
      </c>
      <c r="AN526" s="19" t="s">
        <v>8323</v>
      </c>
      <c r="AO526" s="19" t="s">
        <v>255</v>
      </c>
      <c r="AP526" s="19" t="s">
        <v>256</v>
      </c>
      <c r="AQ526" s="19" t="s">
        <v>117</v>
      </c>
      <c r="AR526" s="19" t="s">
        <v>257</v>
      </c>
      <c r="AS526" s="19" t="s">
        <v>258</v>
      </c>
      <c r="AT526" s="19" t="s">
        <v>259</v>
      </c>
      <c r="AU526" s="19" t="s">
        <v>260</v>
      </c>
      <c r="AV526" s="19" t="s">
        <v>260</v>
      </c>
      <c r="AW526" s="19" t="s">
        <v>261</v>
      </c>
      <c r="AX526" s="19" t="s">
        <v>262</v>
      </c>
      <c r="AY526" s="19" t="s">
        <v>263</v>
      </c>
      <c r="AZ526" s="19" t="s">
        <v>264</v>
      </c>
      <c r="BA526" s="20">
        <v>43627</v>
      </c>
      <c r="BB526" s="19" t="s">
        <v>444</v>
      </c>
      <c r="BC526" s="19" t="s">
        <v>8324</v>
      </c>
      <c r="BD526" s="19" t="s">
        <v>277</v>
      </c>
      <c r="BE526" s="19" t="s">
        <v>130</v>
      </c>
      <c r="BF526" s="19" t="s">
        <v>8325</v>
      </c>
      <c r="BG526" s="19"/>
      <c r="BH526" s="19" t="s">
        <v>8326</v>
      </c>
      <c r="BI526" s="19" t="s">
        <v>8326</v>
      </c>
      <c r="BJ526" s="19" t="s">
        <v>166</v>
      </c>
      <c r="BK526" s="19" t="s">
        <v>167</v>
      </c>
      <c r="BL526" s="19" t="s">
        <v>168</v>
      </c>
      <c r="BM526" s="19" t="s">
        <v>169</v>
      </c>
      <c r="BN526" s="21">
        <v>5.1559999999999997</v>
      </c>
      <c r="BO526" s="21">
        <v>2260.9699344000001</v>
      </c>
      <c r="BQ526" s="2"/>
      <c r="BR526" s="2"/>
      <c r="BS526" s="2"/>
      <c r="BT526" s="2"/>
      <c r="BU526" s="22"/>
      <c r="BV526" s="2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</row>
    <row r="527" spans="1:95" x14ac:dyDescent="0.25">
      <c r="A527" s="18">
        <v>524</v>
      </c>
      <c r="B527" s="19" t="s">
        <v>8327</v>
      </c>
      <c r="C527" s="19" t="s">
        <v>8328</v>
      </c>
      <c r="D527" s="20">
        <v>45999</v>
      </c>
      <c r="E527" s="20">
        <v>33319</v>
      </c>
      <c r="F527" s="19" t="s">
        <v>8329</v>
      </c>
      <c r="G527" s="19" t="s">
        <v>139</v>
      </c>
      <c r="H527" s="19" t="s">
        <v>94</v>
      </c>
      <c r="I527" s="19"/>
      <c r="J527" s="19"/>
      <c r="K527" s="19"/>
      <c r="L527" s="19" t="s">
        <v>687</v>
      </c>
      <c r="M527" s="19" t="s">
        <v>688</v>
      </c>
      <c r="N527" s="19" t="s">
        <v>8330</v>
      </c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 t="s">
        <v>101</v>
      </c>
      <c r="Z527" s="19" t="s">
        <v>102</v>
      </c>
      <c r="AA527" s="19" t="s">
        <v>103</v>
      </c>
      <c r="AB527" s="19" t="s">
        <v>2051</v>
      </c>
      <c r="AC527" s="19" t="s">
        <v>2052</v>
      </c>
      <c r="AD527" s="19" t="s">
        <v>8331</v>
      </c>
      <c r="AE527" s="19" t="s">
        <v>8332</v>
      </c>
      <c r="AF527" s="19"/>
      <c r="AG527" s="19" t="s">
        <v>8333</v>
      </c>
      <c r="AH527" s="19" t="s">
        <v>515</v>
      </c>
      <c r="AI527" s="19"/>
      <c r="AJ527" s="19" t="s">
        <v>8334</v>
      </c>
      <c r="AK527" s="19"/>
      <c r="AL527" s="19"/>
      <c r="AM527" s="19" t="s">
        <v>8335</v>
      </c>
      <c r="AN527" s="19" t="s">
        <v>8336</v>
      </c>
      <c r="AO527" s="19" t="s">
        <v>476</v>
      </c>
      <c r="AP527" s="19" t="s">
        <v>477</v>
      </c>
      <c r="AQ527" s="19" t="s">
        <v>117</v>
      </c>
      <c r="AR527" s="19" t="s">
        <v>478</v>
      </c>
      <c r="AS527" s="19"/>
      <c r="AT527" s="19"/>
      <c r="AU527" s="19"/>
      <c r="AV527" s="19"/>
      <c r="AW527" s="19"/>
      <c r="AX527" s="19"/>
      <c r="AY527" s="19"/>
      <c r="AZ527" s="19"/>
      <c r="BA527" s="20">
        <v>44452</v>
      </c>
      <c r="BB527" s="19" t="s">
        <v>479</v>
      </c>
      <c r="BC527" s="19" t="s">
        <v>8337</v>
      </c>
      <c r="BD527" s="19" t="s">
        <v>8338</v>
      </c>
      <c r="BE527" s="19" t="s">
        <v>130</v>
      </c>
      <c r="BF527" s="19" t="s">
        <v>8339</v>
      </c>
      <c r="BG527" s="19"/>
      <c r="BH527" s="19" t="s">
        <v>8340</v>
      </c>
      <c r="BI527" s="19" t="s">
        <v>8340</v>
      </c>
      <c r="BJ527" s="19" t="s">
        <v>166</v>
      </c>
      <c r="BK527" s="19" t="s">
        <v>167</v>
      </c>
      <c r="BL527" s="19" t="s">
        <v>168</v>
      </c>
      <c r="BM527" s="19" t="s">
        <v>169</v>
      </c>
      <c r="BN527" s="21">
        <v>372.31</v>
      </c>
      <c r="BO527" s="21">
        <v>4123.519405</v>
      </c>
      <c r="BQ527" s="2"/>
      <c r="BR527" s="2"/>
      <c r="BS527" s="2"/>
      <c r="BT527" s="2"/>
      <c r="BU527" s="22"/>
      <c r="BV527" s="2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</row>
    <row r="528" spans="1:95" x14ac:dyDescent="0.25">
      <c r="A528" s="18">
        <v>525</v>
      </c>
      <c r="B528" s="19" t="s">
        <v>8341</v>
      </c>
      <c r="C528" s="19" t="s">
        <v>8342</v>
      </c>
      <c r="D528" s="20">
        <v>45999</v>
      </c>
      <c r="E528" s="20">
        <v>32014</v>
      </c>
      <c r="F528" s="19" t="s">
        <v>8343</v>
      </c>
      <c r="G528" s="19" t="s">
        <v>139</v>
      </c>
      <c r="H528" s="19" t="s">
        <v>94</v>
      </c>
      <c r="I528" s="19"/>
      <c r="J528" s="19"/>
      <c r="K528" s="19"/>
      <c r="L528" s="19" t="s">
        <v>244</v>
      </c>
      <c r="M528" s="19" t="s">
        <v>245</v>
      </c>
      <c r="N528" s="19" t="s">
        <v>8344</v>
      </c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 t="s">
        <v>101</v>
      </c>
      <c r="Z528" s="19" t="s">
        <v>102</v>
      </c>
      <c r="AA528" s="19" t="s">
        <v>103</v>
      </c>
      <c r="AB528" s="19" t="s">
        <v>173</v>
      </c>
      <c r="AC528" s="19" t="s">
        <v>174</v>
      </c>
      <c r="AD528" s="19" t="s">
        <v>8345</v>
      </c>
      <c r="AE528" s="19" t="s">
        <v>8346</v>
      </c>
      <c r="AF528" s="19" t="s">
        <v>8347</v>
      </c>
      <c r="AG528" s="19" t="s">
        <v>3869</v>
      </c>
      <c r="AH528" s="19" t="s">
        <v>327</v>
      </c>
      <c r="AI528" s="19" t="s">
        <v>111</v>
      </c>
      <c r="AJ528" s="19" t="s">
        <v>8348</v>
      </c>
      <c r="AK528" s="19"/>
      <c r="AL528" s="19"/>
      <c r="AM528" s="19" t="s">
        <v>8349</v>
      </c>
      <c r="AN528" s="19" t="s">
        <v>8350</v>
      </c>
      <c r="AO528" s="19" t="s">
        <v>255</v>
      </c>
      <c r="AP528" s="19" t="s">
        <v>256</v>
      </c>
      <c r="AQ528" s="19" t="s">
        <v>117</v>
      </c>
      <c r="AR528" s="19" t="s">
        <v>257</v>
      </c>
      <c r="AS528" s="19" t="s">
        <v>258</v>
      </c>
      <c r="AT528" s="19" t="s">
        <v>259</v>
      </c>
      <c r="AU528" s="19" t="s">
        <v>260</v>
      </c>
      <c r="AV528" s="19" t="s">
        <v>260</v>
      </c>
      <c r="AW528" s="19" t="s">
        <v>261</v>
      </c>
      <c r="AX528" s="19" t="s">
        <v>262</v>
      </c>
      <c r="AY528" s="19" t="s">
        <v>263</v>
      </c>
      <c r="AZ528" s="19" t="s">
        <v>264</v>
      </c>
      <c r="BA528" s="20">
        <v>43627</v>
      </c>
      <c r="BB528" s="19" t="s">
        <v>265</v>
      </c>
      <c r="BC528" s="19" t="s">
        <v>8351</v>
      </c>
      <c r="BD528" s="19" t="s">
        <v>3869</v>
      </c>
      <c r="BE528" s="19" t="s">
        <v>130</v>
      </c>
      <c r="BF528" s="19" t="s">
        <v>8352</v>
      </c>
      <c r="BG528" s="19"/>
      <c r="BH528" s="19" t="s">
        <v>8353</v>
      </c>
      <c r="BI528" s="19" t="s">
        <v>8353</v>
      </c>
      <c r="BJ528" s="19" t="s">
        <v>166</v>
      </c>
      <c r="BK528" s="19" t="s">
        <v>167</v>
      </c>
      <c r="BL528" s="19" t="s">
        <v>168</v>
      </c>
      <c r="BM528" s="19" t="s">
        <v>169</v>
      </c>
      <c r="BN528" s="21">
        <v>344.32100000000003</v>
      </c>
      <c r="BO528" s="21">
        <v>12197.2959682</v>
      </c>
      <c r="BQ528" s="2"/>
      <c r="BR528" s="2"/>
      <c r="BS528" s="2"/>
      <c r="BT528" s="2"/>
      <c r="BU528" s="22"/>
      <c r="BV528" s="2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</row>
    <row r="529" spans="1:95" x14ac:dyDescent="0.25">
      <c r="A529" s="18">
        <v>526</v>
      </c>
      <c r="B529" s="19" t="s">
        <v>8354</v>
      </c>
      <c r="C529" s="19" t="s">
        <v>8355</v>
      </c>
      <c r="D529" s="20">
        <v>45996</v>
      </c>
      <c r="E529" s="20">
        <v>31413</v>
      </c>
      <c r="F529" s="19" t="s">
        <v>8356</v>
      </c>
      <c r="G529" s="19" t="s">
        <v>139</v>
      </c>
      <c r="H529" s="19" t="s">
        <v>94</v>
      </c>
      <c r="I529" s="19"/>
      <c r="J529" s="19"/>
      <c r="K529" s="19"/>
      <c r="L529" s="19" t="s">
        <v>687</v>
      </c>
      <c r="M529" s="19" t="s">
        <v>688</v>
      </c>
      <c r="N529" s="19" t="s">
        <v>8357</v>
      </c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 t="s">
        <v>101</v>
      </c>
      <c r="Z529" s="19" t="s">
        <v>102</v>
      </c>
      <c r="AA529" s="19" t="s">
        <v>103</v>
      </c>
      <c r="AB529" s="19" t="s">
        <v>8239</v>
      </c>
      <c r="AC529" s="19" t="s">
        <v>8240</v>
      </c>
      <c r="AD529" s="19" t="s">
        <v>8358</v>
      </c>
      <c r="AE529" s="19" t="s">
        <v>8359</v>
      </c>
      <c r="AF529" s="19" t="s">
        <v>8360</v>
      </c>
      <c r="AG529" s="19" t="s">
        <v>8361</v>
      </c>
      <c r="AH529" s="19" t="s">
        <v>1808</v>
      </c>
      <c r="AI529" s="19" t="s">
        <v>111</v>
      </c>
      <c r="AJ529" s="19" t="s">
        <v>8362</v>
      </c>
      <c r="AK529" s="19" t="s">
        <v>8363</v>
      </c>
      <c r="AL529" s="19" t="s">
        <v>8363</v>
      </c>
      <c r="AM529" s="19" t="s">
        <v>8364</v>
      </c>
      <c r="AN529" s="19" t="s">
        <v>8365</v>
      </c>
      <c r="AO529" s="19" t="s">
        <v>7082</v>
      </c>
      <c r="AP529" s="19" t="s">
        <v>7083</v>
      </c>
      <c r="AQ529" s="19" t="s">
        <v>117</v>
      </c>
      <c r="AR529" s="19" t="s">
        <v>7084</v>
      </c>
      <c r="AS529" s="19" t="s">
        <v>7083</v>
      </c>
      <c r="AT529" s="19" t="s">
        <v>7085</v>
      </c>
      <c r="AU529" s="19" t="s">
        <v>7086</v>
      </c>
      <c r="AV529" s="19" t="s">
        <v>7087</v>
      </c>
      <c r="AW529" s="19" t="s">
        <v>7088</v>
      </c>
      <c r="AX529" s="19" t="s">
        <v>1029</v>
      </c>
      <c r="AY529" s="19" t="s">
        <v>7089</v>
      </c>
      <c r="AZ529" s="19" t="s">
        <v>7090</v>
      </c>
      <c r="BA529" s="20">
        <v>34754</v>
      </c>
      <c r="BB529" s="19" t="s">
        <v>661</v>
      </c>
      <c r="BC529" s="19" t="s">
        <v>8366</v>
      </c>
      <c r="BD529" s="19" t="s">
        <v>8361</v>
      </c>
      <c r="BE529" s="19" t="s">
        <v>130</v>
      </c>
      <c r="BF529" s="19" t="s">
        <v>8367</v>
      </c>
      <c r="BG529" s="19"/>
      <c r="BH529" s="19" t="s">
        <v>8368</v>
      </c>
      <c r="BI529" s="19" t="s">
        <v>8368</v>
      </c>
      <c r="BJ529" s="19" t="s">
        <v>166</v>
      </c>
      <c r="BK529" s="19" t="s">
        <v>907</v>
      </c>
      <c r="BL529" s="19" t="s">
        <v>122</v>
      </c>
      <c r="BM529" s="19" t="s">
        <v>592</v>
      </c>
      <c r="BN529" s="21">
        <v>32.329000000000001</v>
      </c>
      <c r="BO529" s="21">
        <v>991.85371999999995</v>
      </c>
      <c r="BQ529" s="2"/>
      <c r="BR529" s="2"/>
      <c r="BS529" s="2"/>
      <c r="BT529" s="2"/>
      <c r="BU529" s="22"/>
      <c r="BV529" s="2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</row>
    <row r="530" spans="1:95" x14ac:dyDescent="0.25">
      <c r="A530" s="18">
        <v>527</v>
      </c>
      <c r="B530" s="19" t="s">
        <v>8369</v>
      </c>
      <c r="C530" s="19" t="s">
        <v>8370</v>
      </c>
      <c r="D530" s="20">
        <v>46000</v>
      </c>
      <c r="E530" s="20">
        <v>34867</v>
      </c>
      <c r="F530" s="19" t="s">
        <v>8371</v>
      </c>
      <c r="G530" s="19" t="s">
        <v>139</v>
      </c>
      <c r="H530" s="19" t="s">
        <v>94</v>
      </c>
      <c r="I530" s="19"/>
      <c r="J530" s="19"/>
      <c r="K530" s="19"/>
      <c r="L530" s="19" t="s">
        <v>244</v>
      </c>
      <c r="M530" s="19" t="s">
        <v>245</v>
      </c>
      <c r="N530" s="19" t="s">
        <v>8372</v>
      </c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 t="s">
        <v>101</v>
      </c>
      <c r="Z530" s="19" t="s">
        <v>102</v>
      </c>
      <c r="AA530" s="19" t="s">
        <v>103</v>
      </c>
      <c r="AB530" s="19" t="s">
        <v>143</v>
      </c>
      <c r="AC530" s="19" t="s">
        <v>144</v>
      </c>
      <c r="AD530" s="19" t="s">
        <v>8373</v>
      </c>
      <c r="AE530" s="19" t="s">
        <v>8374</v>
      </c>
      <c r="AF530" s="19" t="s">
        <v>8375</v>
      </c>
      <c r="AG530" s="19" t="s">
        <v>755</v>
      </c>
      <c r="AH530" s="19" t="s">
        <v>757</v>
      </c>
      <c r="AI530" s="19"/>
      <c r="AJ530" s="19" t="s">
        <v>8376</v>
      </c>
      <c r="AK530" s="19"/>
      <c r="AL530" s="19"/>
      <c r="AM530" s="19" t="s">
        <v>8377</v>
      </c>
      <c r="AN530" s="19" t="s">
        <v>8378</v>
      </c>
      <c r="AO530" s="19" t="s">
        <v>255</v>
      </c>
      <c r="AP530" s="19" t="s">
        <v>256</v>
      </c>
      <c r="AQ530" s="19" t="s">
        <v>117</v>
      </c>
      <c r="AR530" s="19" t="s">
        <v>257</v>
      </c>
      <c r="AS530" s="19" t="s">
        <v>258</v>
      </c>
      <c r="AT530" s="19" t="s">
        <v>259</v>
      </c>
      <c r="AU530" s="19" t="s">
        <v>260</v>
      </c>
      <c r="AV530" s="19" t="s">
        <v>260</v>
      </c>
      <c r="AW530" s="19" t="s">
        <v>261</v>
      </c>
      <c r="AX530" s="19" t="s">
        <v>262</v>
      </c>
      <c r="AY530" s="19" t="s">
        <v>263</v>
      </c>
      <c r="AZ530" s="19" t="s">
        <v>264</v>
      </c>
      <c r="BA530" s="20">
        <v>43627</v>
      </c>
      <c r="BB530" s="19" t="s">
        <v>331</v>
      </c>
      <c r="BC530" s="19" t="s">
        <v>8379</v>
      </c>
      <c r="BD530" s="19" t="s">
        <v>755</v>
      </c>
      <c r="BE530" s="19" t="s">
        <v>130</v>
      </c>
      <c r="BF530" s="19" t="s">
        <v>8380</v>
      </c>
      <c r="BG530" s="19"/>
      <c r="BH530" s="19" t="s">
        <v>8381</v>
      </c>
      <c r="BI530" s="19" t="s">
        <v>8381</v>
      </c>
      <c r="BJ530" s="19" t="s">
        <v>166</v>
      </c>
      <c r="BK530" s="19" t="s">
        <v>167</v>
      </c>
      <c r="BL530" s="19" t="s">
        <v>168</v>
      </c>
      <c r="BM530" s="19" t="s">
        <v>169</v>
      </c>
      <c r="BN530" s="21">
        <v>54.433999999999997</v>
      </c>
      <c r="BO530" s="21">
        <v>2073.3910599999999</v>
      </c>
      <c r="BQ530" s="2"/>
      <c r="BR530" s="2"/>
      <c r="BS530" s="2"/>
      <c r="BT530" s="2"/>
      <c r="BU530" s="22"/>
      <c r="BV530" s="2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</row>
    <row r="531" spans="1:95" x14ac:dyDescent="0.25">
      <c r="A531" s="18">
        <v>528</v>
      </c>
      <c r="B531" s="19" t="s">
        <v>8382</v>
      </c>
      <c r="C531" s="19" t="s">
        <v>8383</v>
      </c>
      <c r="D531" s="20">
        <v>45993</v>
      </c>
      <c r="E531" s="20">
        <v>22330</v>
      </c>
      <c r="F531" s="19"/>
      <c r="G531" s="19"/>
      <c r="H531" s="19" t="s">
        <v>94</v>
      </c>
      <c r="I531" s="19"/>
      <c r="J531" s="19"/>
      <c r="K531" s="19"/>
      <c r="L531" s="19" t="s">
        <v>140</v>
      </c>
      <c r="M531" s="19" t="s">
        <v>141</v>
      </c>
      <c r="N531" s="19" t="s">
        <v>8384</v>
      </c>
      <c r="O531" s="19" t="s">
        <v>100</v>
      </c>
      <c r="P531" s="19"/>
      <c r="Q531" s="19"/>
      <c r="R531" s="19"/>
      <c r="S531" s="19"/>
      <c r="T531" s="19"/>
      <c r="U531" s="19"/>
      <c r="V531" s="19"/>
      <c r="W531" s="19"/>
      <c r="X531" s="19"/>
      <c r="Y531" s="19" t="s">
        <v>467</v>
      </c>
      <c r="Z531" s="19" t="s">
        <v>2237</v>
      </c>
      <c r="AA531" s="19" t="s">
        <v>103</v>
      </c>
      <c r="AB531" s="19" t="s">
        <v>570</v>
      </c>
      <c r="AC531" s="19" t="s">
        <v>571</v>
      </c>
      <c r="AD531" s="19" t="s">
        <v>8385</v>
      </c>
      <c r="AE531" s="19" t="s">
        <v>8386</v>
      </c>
      <c r="AF531" s="19"/>
      <c r="AG531" s="19" t="s">
        <v>755</v>
      </c>
      <c r="AH531" s="19" t="s">
        <v>757</v>
      </c>
      <c r="AI531" s="19" t="s">
        <v>111</v>
      </c>
      <c r="AJ531" s="19" t="s">
        <v>8387</v>
      </c>
      <c r="AK531" s="19"/>
      <c r="AL531" s="19"/>
      <c r="AM531" s="19" t="s">
        <v>8388</v>
      </c>
      <c r="AN531" s="19" t="s">
        <v>8389</v>
      </c>
      <c r="AO531" s="19" t="s">
        <v>8390</v>
      </c>
      <c r="AP531" s="19" t="s">
        <v>8391</v>
      </c>
      <c r="AQ531" s="19" t="s">
        <v>117</v>
      </c>
      <c r="AR531" s="19" t="s">
        <v>8392</v>
      </c>
      <c r="AS531" s="19" t="s">
        <v>8393</v>
      </c>
      <c r="AT531" s="19" t="s">
        <v>8394</v>
      </c>
      <c r="AU531" s="19" t="s">
        <v>8395</v>
      </c>
      <c r="AV531" s="19" t="s">
        <v>4988</v>
      </c>
      <c r="AW531" s="19" t="s">
        <v>8396</v>
      </c>
      <c r="AX531" s="19" t="s">
        <v>757</v>
      </c>
      <c r="AY531" s="19" t="s">
        <v>8397</v>
      </c>
      <c r="AZ531" s="19" t="s">
        <v>8398</v>
      </c>
      <c r="BA531" s="20">
        <v>45889</v>
      </c>
      <c r="BB531" s="19" t="s">
        <v>479</v>
      </c>
      <c r="BC531" s="19" t="s">
        <v>8399</v>
      </c>
      <c r="BD531" s="19" t="s">
        <v>755</v>
      </c>
      <c r="BE531" s="19" t="s">
        <v>130</v>
      </c>
      <c r="BF531" s="19" t="s">
        <v>8400</v>
      </c>
      <c r="BG531" s="19"/>
      <c r="BH531" s="19" t="s">
        <v>8401</v>
      </c>
      <c r="BI531" s="19" t="s">
        <v>8401</v>
      </c>
      <c r="BJ531" s="19" t="s">
        <v>1259</v>
      </c>
      <c r="BK531" s="19" t="s">
        <v>221</v>
      </c>
      <c r="BL531" s="19" t="s">
        <v>222</v>
      </c>
      <c r="BM531" s="19" t="s">
        <v>169</v>
      </c>
      <c r="BN531" s="21">
        <v>4529.6620000000003</v>
      </c>
      <c r="BO531" s="21">
        <v>250483.514107</v>
      </c>
      <c r="BQ531" s="2"/>
      <c r="BR531" s="2"/>
      <c r="BS531" s="2"/>
      <c r="BT531" s="2"/>
      <c r="BU531" s="22"/>
      <c r="BV531" s="2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</row>
    <row r="532" spans="1:95" x14ac:dyDescent="0.25">
      <c r="A532" s="18">
        <v>529</v>
      </c>
      <c r="B532" s="19" t="s">
        <v>8402</v>
      </c>
      <c r="C532" s="19" t="s">
        <v>8403</v>
      </c>
      <c r="D532" s="20">
        <v>46001</v>
      </c>
      <c r="E532" s="20">
        <v>31124</v>
      </c>
      <c r="F532" s="19"/>
      <c r="G532" s="19"/>
      <c r="H532" s="19" t="s">
        <v>94</v>
      </c>
      <c r="I532" s="19"/>
      <c r="J532" s="19"/>
      <c r="K532" s="19"/>
      <c r="L532" s="19" t="s">
        <v>97</v>
      </c>
      <c r="M532" s="19" t="s">
        <v>98</v>
      </c>
      <c r="N532" s="19" t="s">
        <v>8404</v>
      </c>
      <c r="O532" s="19" t="s">
        <v>100</v>
      </c>
      <c r="P532" s="19"/>
      <c r="Q532" s="19"/>
      <c r="R532" s="19"/>
      <c r="S532" s="19"/>
      <c r="T532" s="19"/>
      <c r="U532" s="19"/>
      <c r="V532" s="19"/>
      <c r="W532" s="19"/>
      <c r="X532" s="19"/>
      <c r="Y532" s="19" t="s">
        <v>101</v>
      </c>
      <c r="Z532" s="19" t="s">
        <v>102</v>
      </c>
      <c r="AA532" s="19" t="s">
        <v>103</v>
      </c>
      <c r="AB532" s="19" t="s">
        <v>4336</v>
      </c>
      <c r="AC532" s="19" t="s">
        <v>4337</v>
      </c>
      <c r="AD532" s="19" t="s">
        <v>8405</v>
      </c>
      <c r="AE532" s="19" t="s">
        <v>8406</v>
      </c>
      <c r="AF532" s="19"/>
      <c r="AG532" s="19" t="s">
        <v>3109</v>
      </c>
      <c r="AH532" s="19" t="s">
        <v>124</v>
      </c>
      <c r="AI532" s="19" t="s">
        <v>111</v>
      </c>
      <c r="AJ532" s="19" t="s">
        <v>8407</v>
      </c>
      <c r="AK532" s="19"/>
      <c r="AL532" s="19"/>
      <c r="AM532" s="19" t="s">
        <v>8408</v>
      </c>
      <c r="AN532" s="19" t="s">
        <v>8409</v>
      </c>
      <c r="AO532" s="19" t="s">
        <v>8410</v>
      </c>
      <c r="AP532" s="19" t="s">
        <v>8411</v>
      </c>
      <c r="AQ532" s="19" t="s">
        <v>117</v>
      </c>
      <c r="AR532" s="19" t="s">
        <v>8412</v>
      </c>
      <c r="AS532" s="19" t="s">
        <v>8413</v>
      </c>
      <c r="AT532" s="19" t="s">
        <v>8414</v>
      </c>
      <c r="AU532" s="19" t="s">
        <v>8415</v>
      </c>
      <c r="AV532" s="19" t="s">
        <v>1955</v>
      </c>
      <c r="AW532" s="19" t="s">
        <v>1268</v>
      </c>
      <c r="AX532" s="19" t="s">
        <v>124</v>
      </c>
      <c r="AY532" s="19" t="s">
        <v>8416</v>
      </c>
      <c r="AZ532" s="19" t="s">
        <v>8417</v>
      </c>
      <c r="BA532" s="20">
        <v>43525</v>
      </c>
      <c r="BB532" s="19" t="s">
        <v>444</v>
      </c>
      <c r="BC532" s="19" t="s">
        <v>8418</v>
      </c>
      <c r="BD532" s="19" t="s">
        <v>277</v>
      </c>
      <c r="BE532" s="19" t="s">
        <v>130</v>
      </c>
      <c r="BF532" s="19" t="s">
        <v>8419</v>
      </c>
      <c r="BG532" s="19"/>
      <c r="BH532" s="19" t="s">
        <v>8420</v>
      </c>
      <c r="BI532" s="19" t="s">
        <v>8420</v>
      </c>
      <c r="BJ532" s="19" t="s">
        <v>194</v>
      </c>
      <c r="BK532" s="19" t="s">
        <v>591</v>
      </c>
      <c r="BL532" s="19" t="s">
        <v>122</v>
      </c>
      <c r="BM532" s="19" t="s">
        <v>592</v>
      </c>
      <c r="BN532" s="21">
        <v>39.655000000000001</v>
      </c>
      <c r="BO532" s="21">
        <v>5133.3675085000004</v>
      </c>
      <c r="BQ532" s="2"/>
      <c r="BR532" s="2"/>
      <c r="BS532" s="2"/>
      <c r="BT532" s="2"/>
      <c r="BU532" s="22"/>
      <c r="BV532" s="2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</row>
    <row r="533" spans="1:95" x14ac:dyDescent="0.25">
      <c r="A533" s="18">
        <v>530</v>
      </c>
      <c r="B533" s="19" t="s">
        <v>8421</v>
      </c>
      <c r="C533" s="19" t="s">
        <v>8422</v>
      </c>
      <c r="D533" s="20">
        <v>45995</v>
      </c>
      <c r="E533" s="20">
        <v>35176</v>
      </c>
      <c r="F533" s="19"/>
      <c r="G533" s="19"/>
      <c r="H533" s="19" t="s">
        <v>94</v>
      </c>
      <c r="I533" s="19"/>
      <c r="J533" s="19"/>
      <c r="K533" s="19"/>
      <c r="L533" s="19" t="s">
        <v>244</v>
      </c>
      <c r="M533" s="19" t="s">
        <v>245</v>
      </c>
      <c r="N533" s="19" t="s">
        <v>8423</v>
      </c>
      <c r="O533" s="19" t="s">
        <v>100</v>
      </c>
      <c r="P533" s="19"/>
      <c r="Q533" s="19"/>
      <c r="R533" s="19"/>
      <c r="S533" s="19"/>
      <c r="T533" s="19"/>
      <c r="U533" s="19"/>
      <c r="V533" s="19"/>
      <c r="W533" s="19"/>
      <c r="X533" s="19"/>
      <c r="Y533" s="19" t="s">
        <v>101</v>
      </c>
      <c r="Z533" s="19" t="s">
        <v>102</v>
      </c>
      <c r="AA533" s="19" t="s">
        <v>103</v>
      </c>
      <c r="AB533" s="19" t="s">
        <v>612</v>
      </c>
      <c r="AC533" s="19" t="s">
        <v>613</v>
      </c>
      <c r="AD533" s="19" t="s">
        <v>8424</v>
      </c>
      <c r="AE533" s="19" t="s">
        <v>8425</v>
      </c>
      <c r="AF533" s="19"/>
      <c r="AG533" s="19" t="s">
        <v>8426</v>
      </c>
      <c r="AH533" s="19" t="s">
        <v>1226</v>
      </c>
      <c r="AI533" s="19" t="s">
        <v>111</v>
      </c>
      <c r="AJ533" s="19" t="s">
        <v>8427</v>
      </c>
      <c r="AK533" s="19"/>
      <c r="AL533" s="19"/>
      <c r="AM533" s="19" t="s">
        <v>8428</v>
      </c>
      <c r="AN533" s="19" t="s">
        <v>8429</v>
      </c>
      <c r="AO533" s="19" t="s">
        <v>2307</v>
      </c>
      <c r="AP533" s="19" t="s">
        <v>2308</v>
      </c>
      <c r="AQ533" s="19" t="s">
        <v>94</v>
      </c>
      <c r="AR533" s="19" t="s">
        <v>2309</v>
      </c>
      <c r="AS533" s="19" t="s">
        <v>2310</v>
      </c>
      <c r="AT533" s="19" t="s">
        <v>2311</v>
      </c>
      <c r="AU533" s="19" t="s">
        <v>2312</v>
      </c>
      <c r="AV533" s="19" t="s">
        <v>122</v>
      </c>
      <c r="AW533" s="19" t="s">
        <v>2313</v>
      </c>
      <c r="AX533" s="19" t="s">
        <v>901</v>
      </c>
      <c r="AY533" s="19" t="s">
        <v>2314</v>
      </c>
      <c r="AZ533" s="19" t="s">
        <v>2315</v>
      </c>
      <c r="BA533" s="20">
        <v>43194</v>
      </c>
      <c r="BB533" s="19" t="s">
        <v>2308</v>
      </c>
      <c r="BC533" s="19" t="s">
        <v>8430</v>
      </c>
      <c r="BD533" s="19" t="s">
        <v>8431</v>
      </c>
      <c r="BE533" s="19" t="s">
        <v>130</v>
      </c>
      <c r="BF533" s="19" t="s">
        <v>8432</v>
      </c>
      <c r="BG533" s="19"/>
      <c r="BH533" s="19" t="s">
        <v>2319</v>
      </c>
      <c r="BI533" s="19" t="s">
        <v>2319</v>
      </c>
      <c r="BJ533" s="19" t="s">
        <v>166</v>
      </c>
      <c r="BK533" s="19" t="s">
        <v>195</v>
      </c>
      <c r="BL533" s="19" t="s">
        <v>122</v>
      </c>
      <c r="BM533" s="19" t="s">
        <v>196</v>
      </c>
      <c r="BN533" s="21">
        <v>1.9259999999999999</v>
      </c>
      <c r="BO533" s="21">
        <v>1055.39022</v>
      </c>
      <c r="BQ533" s="2"/>
      <c r="BR533" s="2"/>
      <c r="BS533" s="2"/>
      <c r="BT533" s="2"/>
      <c r="BU533" s="22"/>
      <c r="BV533" s="2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</row>
    <row r="534" spans="1:95" x14ac:dyDescent="0.25">
      <c r="A534" s="18">
        <v>531</v>
      </c>
      <c r="B534" s="19" t="s">
        <v>8433</v>
      </c>
      <c r="C534" s="19" t="s">
        <v>8434</v>
      </c>
      <c r="D534" s="20">
        <v>45993</v>
      </c>
      <c r="E534" s="20">
        <v>34623</v>
      </c>
      <c r="F534" s="19"/>
      <c r="G534" s="19"/>
      <c r="H534" s="19" t="s">
        <v>94</v>
      </c>
      <c r="I534" s="19"/>
      <c r="J534" s="19"/>
      <c r="K534" s="19"/>
      <c r="L534" s="19" t="s">
        <v>97</v>
      </c>
      <c r="M534" s="19" t="s">
        <v>98</v>
      </c>
      <c r="N534" s="19" t="s">
        <v>8435</v>
      </c>
      <c r="O534" s="19" t="s">
        <v>100</v>
      </c>
      <c r="P534" s="19"/>
      <c r="Q534" s="19"/>
      <c r="R534" s="19"/>
      <c r="S534" s="19"/>
      <c r="T534" s="19"/>
      <c r="U534" s="19"/>
      <c r="V534" s="19"/>
      <c r="W534" s="19"/>
      <c r="X534" s="19"/>
      <c r="Y534" s="19" t="s">
        <v>101</v>
      </c>
      <c r="Z534" s="19" t="s">
        <v>102</v>
      </c>
      <c r="AA534" s="19" t="s">
        <v>103</v>
      </c>
      <c r="AB534" s="19" t="s">
        <v>1690</v>
      </c>
      <c r="AC534" s="19" t="s">
        <v>1691</v>
      </c>
      <c r="AD534" s="19" t="s">
        <v>8436</v>
      </c>
      <c r="AE534" s="19" t="s">
        <v>8437</v>
      </c>
      <c r="AF534" s="19" t="s">
        <v>8438</v>
      </c>
      <c r="AG534" s="19" t="s">
        <v>8438</v>
      </c>
      <c r="AH534" s="19" t="s">
        <v>262</v>
      </c>
      <c r="AI534" s="19" t="s">
        <v>111</v>
      </c>
      <c r="AJ534" s="19" t="s">
        <v>8439</v>
      </c>
      <c r="AK534" s="19"/>
      <c r="AL534" s="19"/>
      <c r="AM534" s="19" t="s">
        <v>8440</v>
      </c>
      <c r="AN534" s="19" t="s">
        <v>8441</v>
      </c>
      <c r="AO534" s="19" t="s">
        <v>1699</v>
      </c>
      <c r="AP534" s="19" t="s">
        <v>1700</v>
      </c>
      <c r="AQ534" s="19" t="s">
        <v>94</v>
      </c>
      <c r="AR534" s="19" t="s">
        <v>1701</v>
      </c>
      <c r="AS534" s="19" t="s">
        <v>1702</v>
      </c>
      <c r="AT534" s="19" t="s">
        <v>1703</v>
      </c>
      <c r="AU534" s="19"/>
      <c r="AV534" s="19" t="s">
        <v>168</v>
      </c>
      <c r="AW534" s="19" t="s">
        <v>1704</v>
      </c>
      <c r="AX534" s="19" t="s">
        <v>262</v>
      </c>
      <c r="AY534" s="19" t="s">
        <v>1705</v>
      </c>
      <c r="AZ534" s="19" t="s">
        <v>1706</v>
      </c>
      <c r="BA534" s="20">
        <v>45993</v>
      </c>
      <c r="BB534" s="19" t="s">
        <v>1002</v>
      </c>
      <c r="BC534" s="19" t="s">
        <v>8442</v>
      </c>
      <c r="BD534" s="19" t="s">
        <v>260</v>
      </c>
      <c r="BE534" s="19" t="s">
        <v>130</v>
      </c>
      <c r="BF534" s="19" t="s">
        <v>8443</v>
      </c>
      <c r="BG534" s="19"/>
      <c r="BH534" s="19" t="s">
        <v>8444</v>
      </c>
      <c r="BI534" s="19" t="s">
        <v>8444</v>
      </c>
      <c r="BJ534" s="19" t="s">
        <v>166</v>
      </c>
      <c r="BK534" s="19" t="s">
        <v>167</v>
      </c>
      <c r="BL534" s="19" t="s">
        <v>168</v>
      </c>
      <c r="BM534" s="19" t="s">
        <v>169</v>
      </c>
      <c r="BN534" s="21">
        <v>18.396999999999998</v>
      </c>
      <c r="BO534" s="21">
        <v>7030.2498167000003</v>
      </c>
      <c r="BQ534" s="2"/>
      <c r="BR534" s="2"/>
      <c r="BS534" s="2"/>
      <c r="BT534" s="2"/>
      <c r="BU534" s="22"/>
      <c r="BV534" s="2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</row>
    <row r="535" spans="1:95" x14ac:dyDescent="0.25">
      <c r="A535" s="18">
        <v>532</v>
      </c>
      <c r="B535" s="19" t="s">
        <v>8445</v>
      </c>
      <c r="C535" s="19" t="s">
        <v>8446</v>
      </c>
      <c r="D535" s="20">
        <v>45995</v>
      </c>
      <c r="E535" s="20">
        <v>24568</v>
      </c>
      <c r="F535" s="19"/>
      <c r="G535" s="19"/>
      <c r="H535" s="19" t="s">
        <v>94</v>
      </c>
      <c r="I535" s="19"/>
      <c r="J535" s="19"/>
      <c r="K535" s="19"/>
      <c r="L535" s="19" t="s">
        <v>140</v>
      </c>
      <c r="M535" s="19" t="s">
        <v>141</v>
      </c>
      <c r="N535" s="19" t="s">
        <v>8447</v>
      </c>
      <c r="O535" s="19" t="s">
        <v>100</v>
      </c>
      <c r="P535" s="19"/>
      <c r="Q535" s="19"/>
      <c r="R535" s="19"/>
      <c r="S535" s="19"/>
      <c r="T535" s="19"/>
      <c r="U535" s="19"/>
      <c r="V535" s="19"/>
      <c r="W535" s="19"/>
      <c r="X535" s="19"/>
      <c r="Y535" s="19" t="s">
        <v>101</v>
      </c>
      <c r="Z535" s="19" t="s">
        <v>102</v>
      </c>
      <c r="AA535" s="19" t="s">
        <v>103</v>
      </c>
      <c r="AB535" s="19" t="s">
        <v>1025</v>
      </c>
      <c r="AC535" s="19" t="s">
        <v>1026</v>
      </c>
      <c r="AD535" s="19" t="s">
        <v>8448</v>
      </c>
      <c r="AE535" s="19" t="s">
        <v>8449</v>
      </c>
      <c r="AF535" s="19"/>
      <c r="AG535" s="19" t="s">
        <v>1140</v>
      </c>
      <c r="AH535" s="19" t="s">
        <v>327</v>
      </c>
      <c r="AI535" s="19" t="s">
        <v>111</v>
      </c>
      <c r="AJ535" s="19" t="s">
        <v>8450</v>
      </c>
      <c r="AK535" s="19"/>
      <c r="AL535" s="19"/>
      <c r="AM535" s="19" t="s">
        <v>8451</v>
      </c>
      <c r="AN535" s="19" t="s">
        <v>8452</v>
      </c>
      <c r="AO535" s="19" t="s">
        <v>1095</v>
      </c>
      <c r="AP535" s="19" t="s">
        <v>1096</v>
      </c>
      <c r="AQ535" s="19" t="s">
        <v>117</v>
      </c>
      <c r="AR535" s="19" t="s">
        <v>1097</v>
      </c>
      <c r="AS535" s="19" t="s">
        <v>1098</v>
      </c>
      <c r="AT535" s="19" t="s">
        <v>1099</v>
      </c>
      <c r="AU535" s="19" t="s">
        <v>1100</v>
      </c>
      <c r="AV535" s="19" t="s">
        <v>219</v>
      </c>
      <c r="AW535" s="19" t="s">
        <v>1101</v>
      </c>
      <c r="AX535" s="19" t="s">
        <v>124</v>
      </c>
      <c r="AY535" s="19"/>
      <c r="AZ535" s="19" t="s">
        <v>1102</v>
      </c>
      <c r="BA535" s="20">
        <v>40110</v>
      </c>
      <c r="BB535" s="19" t="s">
        <v>444</v>
      </c>
      <c r="BC535" s="19" t="s">
        <v>8453</v>
      </c>
      <c r="BD535" s="19" t="s">
        <v>365</v>
      </c>
      <c r="BE535" s="19" t="s">
        <v>130</v>
      </c>
      <c r="BF535" s="19" t="s">
        <v>8454</v>
      </c>
      <c r="BG535" s="19"/>
      <c r="BH535" s="19" t="s">
        <v>8455</v>
      </c>
      <c r="BI535" s="19" t="s">
        <v>8455</v>
      </c>
      <c r="BJ535" s="19" t="s">
        <v>194</v>
      </c>
      <c r="BK535" s="19" t="s">
        <v>591</v>
      </c>
      <c r="BL535" s="19" t="s">
        <v>122</v>
      </c>
      <c r="BM535" s="19" t="s">
        <v>592</v>
      </c>
      <c r="BN535" s="21">
        <v>6006.5439999999999</v>
      </c>
      <c r="BO535" s="21">
        <v>208936.43173119999</v>
      </c>
      <c r="BQ535" s="2"/>
      <c r="BR535" s="2"/>
      <c r="BS535" s="2"/>
      <c r="BT535" s="2"/>
      <c r="BU535" s="22"/>
      <c r="BV535" s="2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</row>
    <row r="536" spans="1:95" x14ac:dyDescent="0.25">
      <c r="A536" s="18">
        <v>533</v>
      </c>
      <c r="B536" s="19" t="s">
        <v>8456</v>
      </c>
      <c r="C536" s="19" t="s">
        <v>8457</v>
      </c>
      <c r="D536" s="20">
        <v>46002</v>
      </c>
      <c r="E536" s="20">
        <v>27014</v>
      </c>
      <c r="F536" s="19" t="s">
        <v>8458</v>
      </c>
      <c r="G536" s="19" t="s">
        <v>139</v>
      </c>
      <c r="H536" s="19" t="s">
        <v>94</v>
      </c>
      <c r="I536" s="19"/>
      <c r="J536" s="19"/>
      <c r="K536" s="19"/>
      <c r="L536" s="19" t="s">
        <v>140</v>
      </c>
      <c r="M536" s="19" t="s">
        <v>141</v>
      </c>
      <c r="N536" s="19" t="s">
        <v>8459</v>
      </c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 t="s">
        <v>101</v>
      </c>
      <c r="Z536" s="19" t="s">
        <v>102</v>
      </c>
      <c r="AA536" s="19" t="s">
        <v>103</v>
      </c>
      <c r="AB536" s="19" t="s">
        <v>702</v>
      </c>
      <c r="AC536" s="19" t="s">
        <v>703</v>
      </c>
      <c r="AD536" s="19" t="s">
        <v>8460</v>
      </c>
      <c r="AE536" s="19" t="s">
        <v>8461</v>
      </c>
      <c r="AF536" s="19"/>
      <c r="AG536" s="19" t="s">
        <v>4042</v>
      </c>
      <c r="AH536" s="19" t="s">
        <v>110</v>
      </c>
      <c r="AI536" s="19"/>
      <c r="AJ536" s="19" t="s">
        <v>601</v>
      </c>
      <c r="AK536" s="19"/>
      <c r="AL536" s="19" t="s">
        <v>8462</v>
      </c>
      <c r="AM536" s="19" t="s">
        <v>8463</v>
      </c>
      <c r="AN536" s="19" t="s">
        <v>8464</v>
      </c>
      <c r="AO536" s="19" t="s">
        <v>476</v>
      </c>
      <c r="AP536" s="19" t="s">
        <v>477</v>
      </c>
      <c r="AQ536" s="19" t="s">
        <v>117</v>
      </c>
      <c r="AR536" s="19" t="s">
        <v>478</v>
      </c>
      <c r="AS536" s="19"/>
      <c r="AT536" s="19"/>
      <c r="AU536" s="19"/>
      <c r="AV536" s="19"/>
      <c r="AW536" s="19"/>
      <c r="AX536" s="19"/>
      <c r="AY536" s="19"/>
      <c r="AZ536" s="19"/>
      <c r="BA536" s="20">
        <v>44452</v>
      </c>
      <c r="BB536" s="19" t="s">
        <v>331</v>
      </c>
      <c r="BC536" s="19" t="s">
        <v>8465</v>
      </c>
      <c r="BD536" s="19" t="s">
        <v>8466</v>
      </c>
      <c r="BE536" s="19" t="s">
        <v>130</v>
      </c>
      <c r="BF536" s="19" t="s">
        <v>8467</v>
      </c>
      <c r="BG536" s="19"/>
      <c r="BH536" s="19" t="s">
        <v>8468</v>
      </c>
      <c r="BI536" s="19" t="s">
        <v>8468</v>
      </c>
      <c r="BJ536" s="19" t="s">
        <v>166</v>
      </c>
      <c r="BK536" s="19" t="s">
        <v>167</v>
      </c>
      <c r="BL536" s="19" t="s">
        <v>168</v>
      </c>
      <c r="BM536" s="19" t="s">
        <v>169</v>
      </c>
      <c r="BN536" s="21">
        <v>3396.8690000000001</v>
      </c>
      <c r="BO536" s="21">
        <v>100408.73014480001</v>
      </c>
      <c r="BQ536" s="2"/>
      <c r="BR536" s="2"/>
      <c r="BS536" s="2"/>
      <c r="BT536" s="2"/>
      <c r="BU536" s="22"/>
      <c r="BV536" s="2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</row>
    <row r="537" spans="1:95" x14ac:dyDescent="0.25">
      <c r="A537" s="18">
        <v>534</v>
      </c>
      <c r="B537" s="19" t="s">
        <v>8469</v>
      </c>
      <c r="C537" s="19" t="s">
        <v>8470</v>
      </c>
      <c r="D537" s="20">
        <v>46006</v>
      </c>
      <c r="E537" s="20">
        <v>37774</v>
      </c>
      <c r="F537" s="19" t="s">
        <v>8471</v>
      </c>
      <c r="G537" s="19" t="s">
        <v>139</v>
      </c>
      <c r="H537" s="19" t="s">
        <v>94</v>
      </c>
      <c r="I537" s="19"/>
      <c r="J537" s="19"/>
      <c r="K537" s="19"/>
      <c r="L537" s="19" t="s">
        <v>140</v>
      </c>
      <c r="M537" s="19" t="s">
        <v>141</v>
      </c>
      <c r="N537" s="19" t="s">
        <v>8472</v>
      </c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 t="s">
        <v>101</v>
      </c>
      <c r="Z537" s="19" t="s">
        <v>102</v>
      </c>
      <c r="AA537" s="19" t="s">
        <v>103</v>
      </c>
      <c r="AB537" s="19" t="s">
        <v>812</v>
      </c>
      <c r="AC537" s="19" t="s">
        <v>813</v>
      </c>
      <c r="AD537" s="19" t="s">
        <v>8473</v>
      </c>
      <c r="AE537" s="19" t="s">
        <v>8474</v>
      </c>
      <c r="AF537" s="19"/>
      <c r="AG537" s="19" t="s">
        <v>8475</v>
      </c>
      <c r="AH537" s="19" t="s">
        <v>149</v>
      </c>
      <c r="AI537" s="19"/>
      <c r="AJ537" s="19" t="s">
        <v>8476</v>
      </c>
      <c r="AK537" s="19"/>
      <c r="AL537" s="19" t="s">
        <v>8477</v>
      </c>
      <c r="AM537" s="19" t="s">
        <v>8478</v>
      </c>
      <c r="AN537" s="19" t="s">
        <v>8479</v>
      </c>
      <c r="AO537" s="19" t="s">
        <v>1407</v>
      </c>
      <c r="AP537" s="19" t="s">
        <v>1408</v>
      </c>
      <c r="AQ537" s="19" t="s">
        <v>117</v>
      </c>
      <c r="AR537" s="19" t="s">
        <v>156</v>
      </c>
      <c r="AS537" s="19" t="s">
        <v>1409</v>
      </c>
      <c r="AT537" s="19" t="s">
        <v>1410</v>
      </c>
      <c r="AU537" s="19" t="s">
        <v>1411</v>
      </c>
      <c r="AV537" s="19" t="s">
        <v>219</v>
      </c>
      <c r="AW537" s="19" t="s">
        <v>1412</v>
      </c>
      <c r="AX537" s="19" t="s">
        <v>124</v>
      </c>
      <c r="AY537" s="19" t="s">
        <v>1413</v>
      </c>
      <c r="AZ537" s="19" t="s">
        <v>1414</v>
      </c>
      <c r="BA537" s="20">
        <v>40180</v>
      </c>
      <c r="BB537" s="19" t="s">
        <v>190</v>
      </c>
      <c r="BC537" s="19" t="s">
        <v>8475</v>
      </c>
      <c r="BD537" s="19" t="s">
        <v>8475</v>
      </c>
      <c r="BE537" s="19" t="s">
        <v>130</v>
      </c>
      <c r="BF537" s="19" t="s">
        <v>8480</v>
      </c>
      <c r="BG537" s="19"/>
      <c r="BH537" s="19" t="s">
        <v>8481</v>
      </c>
      <c r="BI537" s="19" t="s">
        <v>8481</v>
      </c>
      <c r="BJ537" s="19" t="s">
        <v>166</v>
      </c>
      <c r="BK537" s="19" t="s">
        <v>907</v>
      </c>
      <c r="BL537" s="19" t="s">
        <v>122</v>
      </c>
      <c r="BM537" s="19" t="s">
        <v>592</v>
      </c>
      <c r="BN537" s="21">
        <v>14.797000000000001</v>
      </c>
      <c r="BO537" s="21">
        <v>513.01198999999997</v>
      </c>
      <c r="BQ537" s="2"/>
      <c r="BR537" s="2"/>
      <c r="BS537" s="2"/>
      <c r="BT537" s="2"/>
      <c r="BU537" s="22"/>
      <c r="BV537" s="2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</row>
    <row r="538" spans="1:95" x14ac:dyDescent="0.25">
      <c r="A538" s="18">
        <v>535</v>
      </c>
      <c r="B538" s="19" t="s">
        <v>8482</v>
      </c>
      <c r="C538" s="19" t="s">
        <v>8483</v>
      </c>
      <c r="D538" s="20">
        <v>46007</v>
      </c>
      <c r="E538" s="20">
        <v>31630</v>
      </c>
      <c r="F538" s="19"/>
      <c r="G538" s="19"/>
      <c r="H538" s="19" t="s">
        <v>94</v>
      </c>
      <c r="I538" s="19"/>
      <c r="J538" s="19"/>
      <c r="K538" s="19"/>
      <c r="L538" s="19" t="s">
        <v>97</v>
      </c>
      <c r="M538" s="19" t="s">
        <v>98</v>
      </c>
      <c r="N538" s="19" t="s">
        <v>8484</v>
      </c>
      <c r="O538" s="19" t="s">
        <v>100</v>
      </c>
      <c r="P538" s="19"/>
      <c r="Q538" s="19"/>
      <c r="R538" s="19"/>
      <c r="S538" s="19"/>
      <c r="T538" s="19"/>
      <c r="U538" s="19"/>
      <c r="V538" s="19"/>
      <c r="W538" s="19"/>
      <c r="X538" s="19"/>
      <c r="Y538" s="19" t="s">
        <v>101</v>
      </c>
      <c r="Z538" s="19" t="s">
        <v>102</v>
      </c>
      <c r="AA538" s="19" t="s">
        <v>103</v>
      </c>
      <c r="AB538" s="19" t="s">
        <v>402</v>
      </c>
      <c r="AC538" s="19" t="s">
        <v>403</v>
      </c>
      <c r="AD538" s="19" t="s">
        <v>8485</v>
      </c>
      <c r="AE538" s="19" t="s">
        <v>8486</v>
      </c>
      <c r="AF538" s="19"/>
      <c r="AG538" s="19" t="s">
        <v>8487</v>
      </c>
      <c r="AH538" s="19" t="s">
        <v>376</v>
      </c>
      <c r="AI538" s="19" t="s">
        <v>111</v>
      </c>
      <c r="AJ538" s="19" t="s">
        <v>8488</v>
      </c>
      <c r="AK538" s="19"/>
      <c r="AL538" s="19"/>
      <c r="AM538" s="19" t="s">
        <v>8489</v>
      </c>
      <c r="AN538" s="19" t="s">
        <v>8490</v>
      </c>
      <c r="AO538" s="19" t="s">
        <v>8491</v>
      </c>
      <c r="AP538" s="19" t="s">
        <v>8492</v>
      </c>
      <c r="AQ538" s="19" t="s">
        <v>117</v>
      </c>
      <c r="AR538" s="19" t="s">
        <v>8493</v>
      </c>
      <c r="AS538" s="19" t="s">
        <v>8494</v>
      </c>
      <c r="AT538" s="19" t="s">
        <v>8495</v>
      </c>
      <c r="AU538" s="19"/>
      <c r="AV538" s="19" t="s">
        <v>8496</v>
      </c>
      <c r="AW538" s="19" t="s">
        <v>8497</v>
      </c>
      <c r="AX538" s="19" t="s">
        <v>376</v>
      </c>
      <c r="AY538" s="19" t="s">
        <v>8498</v>
      </c>
      <c r="AZ538" s="19" t="s">
        <v>8499</v>
      </c>
      <c r="BA538" s="20">
        <v>39751</v>
      </c>
      <c r="BB538" s="19" t="s">
        <v>331</v>
      </c>
      <c r="BC538" s="19" t="s">
        <v>8500</v>
      </c>
      <c r="BD538" s="19" t="s">
        <v>407</v>
      </c>
      <c r="BE538" s="19" t="s">
        <v>130</v>
      </c>
      <c r="BF538" s="19" t="s">
        <v>8501</v>
      </c>
      <c r="BG538" s="19" t="s">
        <v>8502</v>
      </c>
      <c r="BH538" s="19" t="s">
        <v>8503</v>
      </c>
      <c r="BI538" s="19" t="s">
        <v>8503</v>
      </c>
      <c r="BJ538" s="19" t="s">
        <v>166</v>
      </c>
      <c r="BK538" s="19" t="s">
        <v>8504</v>
      </c>
      <c r="BL538" s="19" t="s">
        <v>8505</v>
      </c>
      <c r="BM538" s="19" t="s">
        <v>196</v>
      </c>
      <c r="BN538" s="21">
        <v>170.58600000000001</v>
      </c>
      <c r="BO538" s="21">
        <v>322975.59138</v>
      </c>
      <c r="BQ538" s="2"/>
      <c r="BR538" s="2"/>
      <c r="BS538" s="2"/>
      <c r="BT538" s="2"/>
      <c r="BU538" s="22"/>
      <c r="BV538" s="2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</row>
    <row r="539" spans="1:95" x14ac:dyDescent="0.25">
      <c r="A539" s="18">
        <v>536</v>
      </c>
      <c r="B539" s="19" t="s">
        <v>8506</v>
      </c>
      <c r="C539" s="19" t="s">
        <v>8507</v>
      </c>
      <c r="D539" s="20">
        <v>46007</v>
      </c>
      <c r="E539" s="20">
        <v>33239</v>
      </c>
      <c r="F539" s="19" t="s">
        <v>8508</v>
      </c>
      <c r="G539" s="19" t="s">
        <v>139</v>
      </c>
      <c r="H539" s="19" t="s">
        <v>94</v>
      </c>
      <c r="I539" s="19"/>
      <c r="J539" s="19"/>
      <c r="K539" s="19"/>
      <c r="L539" s="19" t="s">
        <v>101</v>
      </c>
      <c r="M539" s="19" t="s">
        <v>290</v>
      </c>
      <c r="N539" s="19" t="s">
        <v>8509</v>
      </c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 t="s">
        <v>101</v>
      </c>
      <c r="Z539" s="19" t="s">
        <v>102</v>
      </c>
      <c r="AA539" s="19" t="s">
        <v>103</v>
      </c>
      <c r="AB539" s="19" t="s">
        <v>953</v>
      </c>
      <c r="AC539" s="19" t="s">
        <v>954</v>
      </c>
      <c r="AD539" s="19" t="s">
        <v>8510</v>
      </c>
      <c r="AE539" s="19" t="s">
        <v>8511</v>
      </c>
      <c r="AF539" s="19"/>
      <c r="AG539" s="19" t="s">
        <v>8512</v>
      </c>
      <c r="AH539" s="19" t="s">
        <v>149</v>
      </c>
      <c r="AI539" s="19" t="s">
        <v>111</v>
      </c>
      <c r="AJ539" s="19" t="s">
        <v>8513</v>
      </c>
      <c r="AK539" s="19"/>
      <c r="AL539" s="19"/>
      <c r="AM539" s="19" t="s">
        <v>8514</v>
      </c>
      <c r="AN539" s="19" t="s">
        <v>8515</v>
      </c>
      <c r="AO539" s="19" t="s">
        <v>476</v>
      </c>
      <c r="AP539" s="19" t="s">
        <v>477</v>
      </c>
      <c r="AQ539" s="19" t="s">
        <v>117</v>
      </c>
      <c r="AR539" s="19" t="s">
        <v>478</v>
      </c>
      <c r="AS539" s="19"/>
      <c r="AT539" s="19"/>
      <c r="AU539" s="19"/>
      <c r="AV539" s="19"/>
      <c r="AW539" s="19"/>
      <c r="AX539" s="19"/>
      <c r="AY539" s="19"/>
      <c r="AZ539" s="19"/>
      <c r="BA539" s="20">
        <v>44452</v>
      </c>
      <c r="BB539" s="19" t="s">
        <v>331</v>
      </c>
      <c r="BC539" s="19" t="s">
        <v>8516</v>
      </c>
      <c r="BD539" s="19" t="s">
        <v>148</v>
      </c>
      <c r="BE539" s="19" t="s">
        <v>130</v>
      </c>
      <c r="BF539" s="19" t="s">
        <v>8517</v>
      </c>
      <c r="BG539" s="19"/>
      <c r="BH539" s="19" t="s">
        <v>8518</v>
      </c>
      <c r="BI539" s="19" t="s">
        <v>8518</v>
      </c>
      <c r="BJ539" s="19" t="s">
        <v>166</v>
      </c>
      <c r="BK539" s="19" t="s">
        <v>167</v>
      </c>
      <c r="BL539" s="19" t="s">
        <v>168</v>
      </c>
      <c r="BM539" s="19" t="s">
        <v>169</v>
      </c>
      <c r="BN539" s="21">
        <v>1252.1659999999999</v>
      </c>
      <c r="BO539" s="21">
        <v>50439.375162199998</v>
      </c>
      <c r="BQ539" s="2"/>
      <c r="BR539" s="2"/>
      <c r="BS539" s="2"/>
      <c r="BT539" s="2"/>
      <c r="BU539" s="22"/>
      <c r="BV539" s="2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</row>
    <row r="540" spans="1:95" x14ac:dyDescent="0.25">
      <c r="A540" s="18">
        <v>537</v>
      </c>
      <c r="B540" s="19" t="s">
        <v>8519</v>
      </c>
      <c r="C540" s="19" t="s">
        <v>8520</v>
      </c>
      <c r="D540" s="20">
        <v>46007</v>
      </c>
      <c r="E540" s="20">
        <v>30529</v>
      </c>
      <c r="F540" s="19"/>
      <c r="G540" s="19"/>
      <c r="H540" s="19" t="s">
        <v>94</v>
      </c>
      <c r="I540" s="19"/>
      <c r="J540" s="19"/>
      <c r="K540" s="19"/>
      <c r="L540" s="19" t="s">
        <v>244</v>
      </c>
      <c r="M540" s="19" t="s">
        <v>245</v>
      </c>
      <c r="N540" s="19" t="s">
        <v>8521</v>
      </c>
      <c r="O540" s="19" t="s">
        <v>100</v>
      </c>
      <c r="P540" s="19"/>
      <c r="Q540" s="19"/>
      <c r="R540" s="19"/>
      <c r="S540" s="19"/>
      <c r="T540" s="19"/>
      <c r="U540" s="19"/>
      <c r="V540" s="19"/>
      <c r="W540" s="19"/>
      <c r="X540" s="19"/>
      <c r="Y540" s="19" t="s">
        <v>101</v>
      </c>
      <c r="Z540" s="19" t="s">
        <v>102</v>
      </c>
      <c r="AA540" s="19" t="s">
        <v>103</v>
      </c>
      <c r="AB540" s="19" t="s">
        <v>953</v>
      </c>
      <c r="AC540" s="19" t="s">
        <v>954</v>
      </c>
      <c r="AD540" s="19" t="s">
        <v>8522</v>
      </c>
      <c r="AE540" s="19" t="s">
        <v>8523</v>
      </c>
      <c r="AF540" s="19" t="s">
        <v>8524</v>
      </c>
      <c r="AG540" s="19" t="s">
        <v>8525</v>
      </c>
      <c r="AH540" s="19" t="s">
        <v>124</v>
      </c>
      <c r="AI540" s="19" t="s">
        <v>111</v>
      </c>
      <c r="AJ540" s="19" t="s">
        <v>8526</v>
      </c>
      <c r="AK540" s="19"/>
      <c r="AL540" s="19"/>
      <c r="AM540" s="19" t="s">
        <v>8527</v>
      </c>
      <c r="AN540" s="19" t="s">
        <v>8528</v>
      </c>
      <c r="AO540" s="19" t="s">
        <v>8529</v>
      </c>
      <c r="AP540" s="19" t="s">
        <v>8530</v>
      </c>
      <c r="AQ540" s="19" t="s">
        <v>117</v>
      </c>
      <c r="AR540" s="19" t="s">
        <v>8531</v>
      </c>
      <c r="AS540" s="19" t="s">
        <v>8532</v>
      </c>
      <c r="AT540" s="19" t="s">
        <v>8533</v>
      </c>
      <c r="AU540" s="19" t="s">
        <v>8534</v>
      </c>
      <c r="AV540" s="19" t="s">
        <v>260</v>
      </c>
      <c r="AW540" s="19" t="s">
        <v>8535</v>
      </c>
      <c r="AX540" s="19" t="s">
        <v>262</v>
      </c>
      <c r="AY540" s="19" t="s">
        <v>8536</v>
      </c>
      <c r="AZ540" s="19" t="s">
        <v>8537</v>
      </c>
      <c r="BA540" s="20">
        <v>44572</v>
      </c>
      <c r="BB540" s="19" t="s">
        <v>2575</v>
      </c>
      <c r="BC540" s="19" t="s">
        <v>2576</v>
      </c>
      <c r="BD540" s="19" t="s">
        <v>7087</v>
      </c>
      <c r="BE540" s="19" t="s">
        <v>130</v>
      </c>
      <c r="BF540" s="19" t="s">
        <v>8538</v>
      </c>
      <c r="BG540" s="19"/>
      <c r="BH540" s="19" t="s">
        <v>2578</v>
      </c>
      <c r="BI540" s="19" t="s">
        <v>2578</v>
      </c>
      <c r="BJ540" s="19" t="s">
        <v>166</v>
      </c>
      <c r="BK540" s="19" t="s">
        <v>167</v>
      </c>
      <c r="BL540" s="19" t="s">
        <v>168</v>
      </c>
      <c r="BM540" s="19" t="s">
        <v>169</v>
      </c>
      <c r="BN540" s="21">
        <v>246.14</v>
      </c>
      <c r="BO540" s="21">
        <v>9914.9376379999994</v>
      </c>
      <c r="BQ540" s="2"/>
      <c r="BR540" s="2"/>
      <c r="BS540" s="2"/>
      <c r="BT540" s="2"/>
      <c r="BU540" s="22"/>
      <c r="BV540" s="2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</row>
    <row r="541" spans="1:95" x14ac:dyDescent="0.25">
      <c r="A541" s="18">
        <v>538</v>
      </c>
      <c r="B541" s="19" t="s">
        <v>8539</v>
      </c>
      <c r="C541" s="19" t="s">
        <v>8540</v>
      </c>
      <c r="D541" s="20">
        <v>46008</v>
      </c>
      <c r="E541" s="20">
        <v>35585</v>
      </c>
      <c r="F541" s="19"/>
      <c r="G541" s="19"/>
      <c r="H541" s="19" t="s">
        <v>94</v>
      </c>
      <c r="I541" s="19"/>
      <c r="J541" s="19"/>
      <c r="K541" s="19"/>
      <c r="L541" s="19" t="s">
        <v>244</v>
      </c>
      <c r="M541" s="19" t="s">
        <v>245</v>
      </c>
      <c r="N541" s="19" t="s">
        <v>8541</v>
      </c>
      <c r="O541" s="19" t="s">
        <v>100</v>
      </c>
      <c r="P541" s="19"/>
      <c r="Q541" s="19"/>
      <c r="R541" s="19"/>
      <c r="S541" s="19"/>
      <c r="T541" s="19"/>
      <c r="U541" s="19"/>
      <c r="V541" s="19"/>
      <c r="W541" s="19"/>
      <c r="X541" s="19"/>
      <c r="Y541" s="19" t="s">
        <v>101</v>
      </c>
      <c r="Z541" s="19" t="s">
        <v>102</v>
      </c>
      <c r="AA541" s="19" t="s">
        <v>103</v>
      </c>
      <c r="AB541" s="19" t="s">
        <v>173</v>
      </c>
      <c r="AC541" s="19" t="s">
        <v>174</v>
      </c>
      <c r="AD541" s="19" t="s">
        <v>8542</v>
      </c>
      <c r="AE541" s="19" t="s">
        <v>8543</v>
      </c>
      <c r="AF541" s="19"/>
      <c r="AG541" s="19" t="s">
        <v>3585</v>
      </c>
      <c r="AH541" s="19" t="s">
        <v>376</v>
      </c>
      <c r="AI541" s="19" t="s">
        <v>111</v>
      </c>
      <c r="AJ541" s="19" t="s">
        <v>8544</v>
      </c>
      <c r="AK541" s="19"/>
      <c r="AL541" s="19"/>
      <c r="AM541" s="19" t="s">
        <v>8545</v>
      </c>
      <c r="AN541" s="19" t="s">
        <v>8546</v>
      </c>
      <c r="AO541" s="19" t="s">
        <v>255</v>
      </c>
      <c r="AP541" s="19" t="s">
        <v>256</v>
      </c>
      <c r="AQ541" s="19" t="s">
        <v>117</v>
      </c>
      <c r="AR541" s="19" t="s">
        <v>257</v>
      </c>
      <c r="AS541" s="19" t="s">
        <v>258</v>
      </c>
      <c r="AT541" s="19" t="s">
        <v>259</v>
      </c>
      <c r="AU541" s="19" t="s">
        <v>260</v>
      </c>
      <c r="AV541" s="19" t="s">
        <v>260</v>
      </c>
      <c r="AW541" s="19" t="s">
        <v>261</v>
      </c>
      <c r="AX541" s="19" t="s">
        <v>262</v>
      </c>
      <c r="AY541" s="19" t="s">
        <v>263</v>
      </c>
      <c r="AZ541" s="19" t="s">
        <v>264</v>
      </c>
      <c r="BA541" s="20">
        <v>43627</v>
      </c>
      <c r="BB541" s="19" t="s">
        <v>1144</v>
      </c>
      <c r="BC541" s="19" t="s">
        <v>8547</v>
      </c>
      <c r="BD541" s="19" t="s">
        <v>8547</v>
      </c>
      <c r="BE541" s="19" t="s">
        <v>130</v>
      </c>
      <c r="BF541" s="19" t="s">
        <v>8548</v>
      </c>
      <c r="BG541" s="19"/>
      <c r="BH541" s="19" t="s">
        <v>8549</v>
      </c>
      <c r="BI541" s="19" t="s">
        <v>8549</v>
      </c>
      <c r="BJ541" s="19" t="s">
        <v>194</v>
      </c>
      <c r="BK541" s="19" t="s">
        <v>195</v>
      </c>
      <c r="BL541" s="19" t="s">
        <v>122</v>
      </c>
      <c r="BM541" s="19" t="s">
        <v>196</v>
      </c>
      <c r="BN541" s="21">
        <v>159.82900000000001</v>
      </c>
      <c r="BO541" s="21">
        <v>5661.8144617999997</v>
      </c>
      <c r="BQ541" s="2"/>
      <c r="BR541" s="2"/>
      <c r="BS541" s="2"/>
      <c r="BT541" s="2"/>
      <c r="BU541" s="22"/>
      <c r="BV541" s="2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</row>
    <row r="542" spans="1:95" x14ac:dyDescent="0.25">
      <c r="A542" s="18">
        <v>539</v>
      </c>
      <c r="B542" s="19" t="s">
        <v>8550</v>
      </c>
      <c r="C542" s="19" t="s">
        <v>8551</v>
      </c>
      <c r="D542" s="20">
        <v>46009</v>
      </c>
      <c r="E542" s="20">
        <v>30047</v>
      </c>
      <c r="F542" s="19"/>
      <c r="G542" s="19"/>
      <c r="H542" s="19" t="s">
        <v>94</v>
      </c>
      <c r="I542" s="19"/>
      <c r="J542" s="19"/>
      <c r="K542" s="19"/>
      <c r="L542" s="19" t="s">
        <v>244</v>
      </c>
      <c r="M542" s="19" t="s">
        <v>245</v>
      </c>
      <c r="N542" s="19" t="s">
        <v>8552</v>
      </c>
      <c r="O542" s="19" t="s">
        <v>100</v>
      </c>
      <c r="P542" s="19"/>
      <c r="Q542" s="19"/>
      <c r="R542" s="19"/>
      <c r="S542" s="19"/>
      <c r="T542" s="19"/>
      <c r="U542" s="19"/>
      <c r="V542" s="19"/>
      <c r="W542" s="19"/>
      <c r="X542" s="19"/>
      <c r="Y542" s="19" t="s">
        <v>101</v>
      </c>
      <c r="Z542" s="19" t="s">
        <v>102</v>
      </c>
      <c r="AA542" s="19" t="s">
        <v>103</v>
      </c>
      <c r="AB542" s="19" t="s">
        <v>671</v>
      </c>
      <c r="AC542" s="19" t="s">
        <v>672</v>
      </c>
      <c r="AD542" s="19" t="s">
        <v>8553</v>
      </c>
      <c r="AE542" s="19" t="s">
        <v>8554</v>
      </c>
      <c r="AF542" s="19" t="s">
        <v>8555</v>
      </c>
      <c r="AG542" s="19" t="s">
        <v>8556</v>
      </c>
      <c r="AH542" s="19" t="s">
        <v>515</v>
      </c>
      <c r="AI542" s="19" t="s">
        <v>111</v>
      </c>
      <c r="AJ542" s="19" t="s">
        <v>8557</v>
      </c>
      <c r="AK542" s="19"/>
      <c r="AL542" s="19"/>
      <c r="AM542" s="19" t="s">
        <v>8558</v>
      </c>
      <c r="AN542" s="19" t="s">
        <v>8559</v>
      </c>
      <c r="AO542" s="19" t="s">
        <v>8560</v>
      </c>
      <c r="AP542" s="19" t="s">
        <v>8561</v>
      </c>
      <c r="AQ542" s="19" t="s">
        <v>117</v>
      </c>
      <c r="AR542" s="19" t="s">
        <v>8562</v>
      </c>
      <c r="AS542" s="19" t="s">
        <v>8563</v>
      </c>
      <c r="AT542" s="19" t="s">
        <v>8564</v>
      </c>
      <c r="AU542" s="19" t="s">
        <v>8565</v>
      </c>
      <c r="AV542" s="19" t="s">
        <v>109</v>
      </c>
      <c r="AW542" s="19" t="s">
        <v>8566</v>
      </c>
      <c r="AX542" s="19" t="s">
        <v>110</v>
      </c>
      <c r="AY542" s="19"/>
      <c r="AZ542" s="19" t="s">
        <v>8567</v>
      </c>
      <c r="BA542" s="20">
        <v>45216</v>
      </c>
      <c r="BB542" s="19" t="s">
        <v>479</v>
      </c>
      <c r="BC542" s="19" t="s">
        <v>8568</v>
      </c>
      <c r="BD542" s="19" t="s">
        <v>8556</v>
      </c>
      <c r="BE542" s="19" t="s">
        <v>130</v>
      </c>
      <c r="BF542" s="19" t="s">
        <v>8569</v>
      </c>
      <c r="BG542" s="19"/>
      <c r="BH542" s="19" t="s">
        <v>8570</v>
      </c>
      <c r="BI542" s="19" t="s">
        <v>8570</v>
      </c>
      <c r="BJ542" s="19" t="s">
        <v>166</v>
      </c>
      <c r="BK542" s="19" t="s">
        <v>195</v>
      </c>
      <c r="BL542" s="19" t="s">
        <v>122</v>
      </c>
      <c r="BM542" s="19" t="s">
        <v>196</v>
      </c>
      <c r="BN542" s="21">
        <v>22.277999999999999</v>
      </c>
      <c r="BO542" s="21">
        <v>1002.6392124</v>
      </c>
      <c r="BQ542" s="2"/>
      <c r="BR542" s="2"/>
      <c r="BS542" s="2"/>
      <c r="BT542" s="2"/>
      <c r="BU542" s="22"/>
      <c r="BV542" s="2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</row>
    <row r="543" spans="1:95" x14ac:dyDescent="0.25">
      <c r="A543" s="18">
        <v>540</v>
      </c>
      <c r="B543" s="19" t="s">
        <v>8571</v>
      </c>
      <c r="C543" s="19" t="s">
        <v>8572</v>
      </c>
      <c r="D543" s="20">
        <v>46013</v>
      </c>
      <c r="E543" s="20">
        <v>27640</v>
      </c>
      <c r="F543" s="19"/>
      <c r="G543" s="19"/>
      <c r="H543" s="19" t="s">
        <v>94</v>
      </c>
      <c r="I543" s="19"/>
      <c r="J543" s="19" t="s">
        <v>95</v>
      </c>
      <c r="K543" s="19" t="s">
        <v>96</v>
      </c>
      <c r="L543" s="19" t="s">
        <v>1619</v>
      </c>
      <c r="M543" s="19" t="s">
        <v>1620</v>
      </c>
      <c r="N543" s="19" t="s">
        <v>8573</v>
      </c>
      <c r="O543" s="19" t="s">
        <v>100</v>
      </c>
      <c r="P543" s="19"/>
      <c r="Q543" s="19"/>
      <c r="R543" s="19"/>
      <c r="S543" s="19"/>
      <c r="T543" s="19"/>
      <c r="U543" s="19"/>
      <c r="V543" s="19"/>
      <c r="W543" s="19"/>
      <c r="X543" s="19"/>
      <c r="Y543" s="19" t="s">
        <v>101</v>
      </c>
      <c r="Z543" s="19" t="s">
        <v>102</v>
      </c>
      <c r="AA543" s="19" t="s">
        <v>103</v>
      </c>
      <c r="AB543" s="19" t="s">
        <v>6477</v>
      </c>
      <c r="AC543" s="19" t="s">
        <v>6478</v>
      </c>
      <c r="AD543" s="19" t="s">
        <v>8574</v>
      </c>
      <c r="AE543" s="19" t="s">
        <v>8575</v>
      </c>
      <c r="AF543" s="19" t="s">
        <v>8576</v>
      </c>
      <c r="AG543" s="19" t="s">
        <v>8577</v>
      </c>
      <c r="AH543" s="19" t="s">
        <v>8578</v>
      </c>
      <c r="AI543" s="19" t="s">
        <v>111</v>
      </c>
      <c r="AJ543" s="19" t="s">
        <v>8579</v>
      </c>
      <c r="AK543" s="19"/>
      <c r="AL543" s="19"/>
      <c r="AM543" s="19" t="s">
        <v>8580</v>
      </c>
      <c r="AN543" s="19" t="s">
        <v>8581</v>
      </c>
      <c r="AO543" s="19" t="s">
        <v>8582</v>
      </c>
      <c r="AP543" s="19" t="s">
        <v>8583</v>
      </c>
      <c r="AQ543" s="19" t="s">
        <v>117</v>
      </c>
      <c r="AR543" s="19" t="s">
        <v>8584</v>
      </c>
      <c r="AS543" s="19" t="s">
        <v>8585</v>
      </c>
      <c r="AT543" s="19" t="s">
        <v>8586</v>
      </c>
      <c r="AU543" s="19" t="s">
        <v>8587</v>
      </c>
      <c r="AV543" s="19" t="s">
        <v>8588</v>
      </c>
      <c r="AW543" s="19" t="s">
        <v>5269</v>
      </c>
      <c r="AX543" s="19" t="s">
        <v>110</v>
      </c>
      <c r="AY543" s="19" t="s">
        <v>8589</v>
      </c>
      <c r="AZ543" s="19" t="s">
        <v>8590</v>
      </c>
      <c r="BA543" s="20">
        <v>44943</v>
      </c>
      <c r="BB543" s="19" t="s">
        <v>127</v>
      </c>
      <c r="BC543" s="19" t="s">
        <v>8591</v>
      </c>
      <c r="BD543" s="19" t="s">
        <v>8592</v>
      </c>
      <c r="BE543" s="19" t="s">
        <v>130</v>
      </c>
      <c r="BF543" s="19" t="s">
        <v>8593</v>
      </c>
      <c r="BG543" s="19"/>
      <c r="BH543" s="19" t="s">
        <v>8594</v>
      </c>
      <c r="BI543" s="19" t="s">
        <v>8594</v>
      </c>
      <c r="BJ543" s="19"/>
      <c r="BK543" s="19" t="s">
        <v>7377</v>
      </c>
      <c r="BL543" s="19" t="s">
        <v>7378</v>
      </c>
      <c r="BM543" s="19" t="s">
        <v>169</v>
      </c>
      <c r="BN543" s="21">
        <v>0</v>
      </c>
      <c r="BO543" s="21">
        <v>0</v>
      </c>
      <c r="BQ543" s="2"/>
      <c r="BR543" s="2"/>
      <c r="BS543" s="2"/>
      <c r="BT543" s="2"/>
      <c r="BU543" s="22"/>
      <c r="BV543" s="2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</row>
    <row r="544" spans="1:95" x14ac:dyDescent="0.25">
      <c r="A544" s="18">
        <v>541</v>
      </c>
      <c r="B544" s="19" t="s">
        <v>8595</v>
      </c>
      <c r="C544" s="19" t="s">
        <v>8596</v>
      </c>
      <c r="D544" s="20">
        <v>46015</v>
      </c>
      <c r="E544" s="20">
        <v>27225</v>
      </c>
      <c r="F544" s="19"/>
      <c r="G544" s="19"/>
      <c r="H544" s="19" t="s">
        <v>94</v>
      </c>
      <c r="I544" s="19"/>
      <c r="J544" s="19"/>
      <c r="K544" s="19"/>
      <c r="L544" s="19" t="s">
        <v>687</v>
      </c>
      <c r="M544" s="19" t="s">
        <v>688</v>
      </c>
      <c r="N544" s="19" t="s">
        <v>8597</v>
      </c>
      <c r="O544" s="19" t="s">
        <v>100</v>
      </c>
      <c r="P544" s="19"/>
      <c r="Q544" s="19"/>
      <c r="R544" s="19"/>
      <c r="S544" s="19"/>
      <c r="T544" s="19"/>
      <c r="U544" s="19"/>
      <c r="V544" s="19"/>
      <c r="W544" s="19"/>
      <c r="X544" s="19"/>
      <c r="Y544" s="19" t="s">
        <v>101</v>
      </c>
      <c r="Z544" s="19" t="s">
        <v>102</v>
      </c>
      <c r="AA544" s="19" t="s">
        <v>103</v>
      </c>
      <c r="AB544" s="19" t="s">
        <v>789</v>
      </c>
      <c r="AC544" s="19" t="s">
        <v>790</v>
      </c>
      <c r="AD544" s="19" t="s">
        <v>8598</v>
      </c>
      <c r="AE544" s="19" t="s">
        <v>8599</v>
      </c>
      <c r="AF544" s="19" t="s">
        <v>8600</v>
      </c>
      <c r="AG544" s="19" t="s">
        <v>4372</v>
      </c>
      <c r="AH544" s="19" t="s">
        <v>262</v>
      </c>
      <c r="AI544" s="19" t="s">
        <v>111</v>
      </c>
      <c r="AJ544" s="19" t="s">
        <v>8601</v>
      </c>
      <c r="AK544" s="19"/>
      <c r="AL544" s="19"/>
      <c r="AM544" s="19" t="s">
        <v>8602</v>
      </c>
      <c r="AN544" s="19" t="s">
        <v>8603</v>
      </c>
      <c r="AO544" s="19" t="s">
        <v>8604</v>
      </c>
      <c r="AP544" s="19" t="s">
        <v>8605</v>
      </c>
      <c r="AQ544" s="19" t="s">
        <v>117</v>
      </c>
      <c r="AR544" s="19" t="s">
        <v>8606</v>
      </c>
      <c r="AS544" s="19" t="s">
        <v>8607</v>
      </c>
      <c r="AT544" s="19" t="s">
        <v>8608</v>
      </c>
      <c r="AU544" s="19" t="s">
        <v>8609</v>
      </c>
      <c r="AV544" s="19" t="s">
        <v>186</v>
      </c>
      <c r="AW544" s="19" t="s">
        <v>8610</v>
      </c>
      <c r="AX544" s="19" t="s">
        <v>188</v>
      </c>
      <c r="AY544" s="19" t="s">
        <v>8611</v>
      </c>
      <c r="AZ544" s="19" t="s">
        <v>8612</v>
      </c>
      <c r="BA544" s="20">
        <v>44526</v>
      </c>
      <c r="BB544" s="19" t="s">
        <v>1002</v>
      </c>
      <c r="BC544" s="19" t="s">
        <v>8613</v>
      </c>
      <c r="BD544" s="19" t="s">
        <v>4372</v>
      </c>
      <c r="BE544" s="19" t="s">
        <v>130</v>
      </c>
      <c r="BF544" s="19" t="s">
        <v>8614</v>
      </c>
      <c r="BG544" s="19" t="s">
        <v>8615</v>
      </c>
      <c r="BH544" s="19" t="s">
        <v>8616</v>
      </c>
      <c r="BI544" s="19" t="s">
        <v>8616</v>
      </c>
      <c r="BJ544" s="19" t="s">
        <v>166</v>
      </c>
      <c r="BK544" s="19" t="s">
        <v>8617</v>
      </c>
      <c r="BL544" s="19" t="s">
        <v>6594</v>
      </c>
      <c r="BM544" s="19" t="s">
        <v>169</v>
      </c>
      <c r="BN544" s="21">
        <v>504.51600000000002</v>
      </c>
      <c r="BO544" s="21">
        <v>10019.687760000001</v>
      </c>
      <c r="BQ544" s="2"/>
      <c r="BR544" s="2"/>
      <c r="BS544" s="2"/>
      <c r="BT544" s="2"/>
      <c r="BU544" s="22"/>
      <c r="BV544" s="2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</row>
    <row r="545" spans="1:95" x14ac:dyDescent="0.25">
      <c r="A545" s="18">
        <v>542</v>
      </c>
      <c r="B545" s="19" t="s">
        <v>8618</v>
      </c>
      <c r="C545" s="19" t="s">
        <v>8619</v>
      </c>
      <c r="D545" s="20">
        <v>46020</v>
      </c>
      <c r="E545" s="20">
        <v>33276</v>
      </c>
      <c r="F545" s="19"/>
      <c r="G545" s="19"/>
      <c r="H545" s="19" t="s">
        <v>94</v>
      </c>
      <c r="I545" s="19"/>
      <c r="J545" s="19"/>
      <c r="K545" s="19"/>
      <c r="L545" s="19" t="s">
        <v>97</v>
      </c>
      <c r="M545" s="19" t="s">
        <v>98</v>
      </c>
      <c r="N545" s="19" t="s">
        <v>8620</v>
      </c>
      <c r="O545" s="19" t="s">
        <v>100</v>
      </c>
      <c r="P545" s="19"/>
      <c r="Q545" s="19"/>
      <c r="R545" s="19"/>
      <c r="S545" s="19"/>
      <c r="T545" s="19"/>
      <c r="U545" s="19"/>
      <c r="V545" s="19"/>
      <c r="W545" s="19"/>
      <c r="X545" s="19"/>
      <c r="Y545" s="19" t="s">
        <v>101</v>
      </c>
      <c r="Z545" s="19" t="s">
        <v>102</v>
      </c>
      <c r="AA545" s="19" t="s">
        <v>103</v>
      </c>
      <c r="AB545" s="19" t="s">
        <v>1744</v>
      </c>
      <c r="AC545" s="19" t="s">
        <v>1745</v>
      </c>
      <c r="AD545" s="19" t="s">
        <v>8621</v>
      </c>
      <c r="AE545" s="19" t="s">
        <v>8622</v>
      </c>
      <c r="AF545" s="19" t="s">
        <v>8623</v>
      </c>
      <c r="AG545" s="19" t="s">
        <v>8624</v>
      </c>
      <c r="AH545" s="19" t="s">
        <v>515</v>
      </c>
      <c r="AI545" s="19" t="s">
        <v>111</v>
      </c>
      <c r="AJ545" s="19" t="s">
        <v>8625</v>
      </c>
      <c r="AK545" s="19"/>
      <c r="AL545" s="19"/>
      <c r="AM545" s="19" t="s">
        <v>8626</v>
      </c>
      <c r="AN545" s="19" t="s">
        <v>8627</v>
      </c>
      <c r="AO545" s="19" t="s">
        <v>835</v>
      </c>
      <c r="AP545" s="19" t="s">
        <v>836</v>
      </c>
      <c r="AQ545" s="19" t="s">
        <v>117</v>
      </c>
      <c r="AR545" s="19" t="s">
        <v>837</v>
      </c>
      <c r="AS545" s="19" t="s">
        <v>838</v>
      </c>
      <c r="AT545" s="19" t="s">
        <v>839</v>
      </c>
      <c r="AU545" s="19" t="s">
        <v>840</v>
      </c>
      <c r="AV545" s="19" t="s">
        <v>841</v>
      </c>
      <c r="AW545" s="19"/>
      <c r="AX545" s="19" t="s">
        <v>707</v>
      </c>
      <c r="AY545" s="19" t="s">
        <v>842</v>
      </c>
      <c r="AZ545" s="19" t="s">
        <v>843</v>
      </c>
      <c r="BA545" s="20">
        <v>45453</v>
      </c>
      <c r="BB545" s="19" t="s">
        <v>444</v>
      </c>
      <c r="BC545" s="19" t="s">
        <v>8628</v>
      </c>
      <c r="BD545" s="19" t="s">
        <v>481</v>
      </c>
      <c r="BE545" s="19" t="s">
        <v>130</v>
      </c>
      <c r="BF545" s="19" t="s">
        <v>8629</v>
      </c>
      <c r="BG545" s="19"/>
      <c r="BH545" s="19" t="s">
        <v>8630</v>
      </c>
      <c r="BI545" s="19" t="s">
        <v>8630</v>
      </c>
      <c r="BJ545" s="19" t="s">
        <v>194</v>
      </c>
      <c r="BK545" s="19" t="s">
        <v>195</v>
      </c>
      <c r="BL545" s="19" t="s">
        <v>122</v>
      </c>
      <c r="BM545" s="19" t="s">
        <v>196</v>
      </c>
      <c r="BN545" s="21">
        <v>36.078000000000003</v>
      </c>
      <c r="BO545" s="21">
        <v>907.08389939999995</v>
      </c>
      <c r="BQ545" s="2"/>
      <c r="BR545" s="2"/>
      <c r="BS545" s="2"/>
      <c r="BT545" s="2"/>
      <c r="BU545" s="22"/>
      <c r="BV545" s="2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</row>
    <row r="546" spans="1:95" x14ac:dyDescent="0.25">
      <c r="A546" s="18">
        <v>543</v>
      </c>
      <c r="B546" s="19" t="s">
        <v>8631</v>
      </c>
      <c r="C546" s="19" t="s">
        <v>8632</v>
      </c>
      <c r="D546" s="20">
        <v>46015</v>
      </c>
      <c r="E546" s="20">
        <v>29076</v>
      </c>
      <c r="F546" s="19"/>
      <c r="G546" s="19"/>
      <c r="H546" s="19" t="s">
        <v>94</v>
      </c>
      <c r="I546" s="19"/>
      <c r="J546" s="19"/>
      <c r="K546" s="19"/>
      <c r="L546" s="19" t="s">
        <v>97</v>
      </c>
      <c r="M546" s="19" t="s">
        <v>98</v>
      </c>
      <c r="N546" s="19" t="s">
        <v>8633</v>
      </c>
      <c r="O546" s="19" t="s">
        <v>100</v>
      </c>
      <c r="P546" s="19"/>
      <c r="Q546" s="19"/>
      <c r="R546" s="19"/>
      <c r="S546" s="19"/>
      <c r="T546" s="19"/>
      <c r="U546" s="19"/>
      <c r="V546" s="19"/>
      <c r="W546" s="19"/>
      <c r="X546" s="19"/>
      <c r="Y546" s="19" t="s">
        <v>101</v>
      </c>
      <c r="Z546" s="19" t="s">
        <v>102</v>
      </c>
      <c r="AA546" s="19" t="s">
        <v>103</v>
      </c>
      <c r="AB546" s="19" t="s">
        <v>720</v>
      </c>
      <c r="AC546" s="19" t="s">
        <v>721</v>
      </c>
      <c r="AD546" s="19" t="s">
        <v>8634</v>
      </c>
      <c r="AE546" s="19" t="s">
        <v>8635</v>
      </c>
      <c r="AF546" s="19" t="s">
        <v>8636</v>
      </c>
      <c r="AG546" s="19" t="s">
        <v>514</v>
      </c>
      <c r="AH546" s="19" t="s">
        <v>515</v>
      </c>
      <c r="AI546" s="19" t="s">
        <v>111</v>
      </c>
      <c r="AJ546" s="19" t="s">
        <v>8637</v>
      </c>
      <c r="AK546" s="19"/>
      <c r="AL546" s="19"/>
      <c r="AM546" s="19" t="s">
        <v>8638</v>
      </c>
      <c r="AN546" s="19" t="s">
        <v>8639</v>
      </c>
      <c r="AO546" s="19" t="s">
        <v>8640</v>
      </c>
      <c r="AP546" s="19" t="s">
        <v>8641</v>
      </c>
      <c r="AQ546" s="19" t="s">
        <v>117</v>
      </c>
      <c r="AR546" s="19" t="s">
        <v>8642</v>
      </c>
      <c r="AS546" s="19" t="s">
        <v>8643</v>
      </c>
      <c r="AT546" s="19" t="s">
        <v>8644</v>
      </c>
      <c r="AU546" s="19" t="s">
        <v>8645</v>
      </c>
      <c r="AV546" s="19" t="s">
        <v>222</v>
      </c>
      <c r="AW546" s="19" t="s">
        <v>8257</v>
      </c>
      <c r="AX546" s="19" t="s">
        <v>515</v>
      </c>
      <c r="AY546" s="19" t="s">
        <v>8646</v>
      </c>
      <c r="AZ546" s="19" t="s">
        <v>8647</v>
      </c>
      <c r="BA546" s="20">
        <v>45082</v>
      </c>
      <c r="BB546" s="19" t="s">
        <v>444</v>
      </c>
      <c r="BC546" s="19" t="s">
        <v>8648</v>
      </c>
      <c r="BD546" s="19" t="s">
        <v>514</v>
      </c>
      <c r="BE546" s="19" t="s">
        <v>130</v>
      </c>
      <c r="BF546" s="19" t="s">
        <v>8649</v>
      </c>
      <c r="BG546" s="19"/>
      <c r="BH546" s="19" t="s">
        <v>8650</v>
      </c>
      <c r="BI546" s="19" t="s">
        <v>8650</v>
      </c>
      <c r="BJ546" s="19" t="s">
        <v>194</v>
      </c>
      <c r="BK546" s="19" t="s">
        <v>591</v>
      </c>
      <c r="BL546" s="19" t="s">
        <v>122</v>
      </c>
      <c r="BM546" s="19" t="s">
        <v>592</v>
      </c>
      <c r="BN546" s="21">
        <v>0</v>
      </c>
      <c r="BO546" s="21">
        <v>0</v>
      </c>
      <c r="BQ546" s="2"/>
      <c r="BR546" s="2"/>
      <c r="BS546" s="2"/>
      <c r="BT546" s="2"/>
      <c r="BU546" s="22"/>
      <c r="BV546" s="2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</row>
    <row r="547" spans="1:95" x14ac:dyDescent="0.25">
      <c r="A547" s="18">
        <v>544</v>
      </c>
      <c r="B547" s="19" t="s">
        <v>8651</v>
      </c>
      <c r="C547" s="19" t="s">
        <v>8652</v>
      </c>
      <c r="D547" s="20">
        <v>46020</v>
      </c>
      <c r="E547" s="20">
        <v>31408</v>
      </c>
      <c r="F547" s="19"/>
      <c r="G547" s="19"/>
      <c r="H547" s="19" t="s">
        <v>94</v>
      </c>
      <c r="I547" s="19"/>
      <c r="J547" s="19"/>
      <c r="K547" s="19"/>
      <c r="L547" s="19" t="s">
        <v>1150</v>
      </c>
      <c r="M547" s="19" t="s">
        <v>688</v>
      </c>
      <c r="N547" s="19" t="s">
        <v>8653</v>
      </c>
      <c r="O547" s="19" t="s">
        <v>100</v>
      </c>
      <c r="P547" s="19"/>
      <c r="Q547" s="19"/>
      <c r="R547" s="19"/>
      <c r="S547" s="19"/>
      <c r="T547" s="19"/>
      <c r="U547" s="19"/>
      <c r="V547" s="19"/>
      <c r="W547" s="19"/>
      <c r="X547" s="19"/>
      <c r="Y547" s="19" t="s">
        <v>101</v>
      </c>
      <c r="Z547" s="19" t="s">
        <v>102</v>
      </c>
      <c r="AA547" s="19" t="s">
        <v>103</v>
      </c>
      <c r="AB547" s="19" t="s">
        <v>3488</v>
      </c>
      <c r="AC547" s="19" t="s">
        <v>3489</v>
      </c>
      <c r="AD547" s="19" t="s">
        <v>8654</v>
      </c>
      <c r="AE547" s="19" t="s">
        <v>8655</v>
      </c>
      <c r="AF547" s="19"/>
      <c r="AG547" s="19" t="s">
        <v>8656</v>
      </c>
      <c r="AH547" s="19" t="s">
        <v>231</v>
      </c>
      <c r="AI547" s="19" t="s">
        <v>111</v>
      </c>
      <c r="AJ547" s="19" t="s">
        <v>8657</v>
      </c>
      <c r="AK547" s="19"/>
      <c r="AL547" s="19"/>
      <c r="AM547" s="19" t="s">
        <v>8658</v>
      </c>
      <c r="AN547" s="19" t="s">
        <v>8659</v>
      </c>
      <c r="AO547" s="19" t="s">
        <v>620</v>
      </c>
      <c r="AP547" s="19" t="s">
        <v>436</v>
      </c>
      <c r="AQ547" s="19" t="s">
        <v>94</v>
      </c>
      <c r="AR547" s="19" t="s">
        <v>437</v>
      </c>
      <c r="AS547" s="19" t="s">
        <v>438</v>
      </c>
      <c r="AT547" s="19" t="s">
        <v>439</v>
      </c>
      <c r="AU547" s="19" t="s">
        <v>440</v>
      </c>
      <c r="AV547" s="19" t="s">
        <v>148</v>
      </c>
      <c r="AW547" s="19" t="s">
        <v>441</v>
      </c>
      <c r="AX547" s="19" t="s">
        <v>149</v>
      </c>
      <c r="AY547" s="19" t="s">
        <v>442</v>
      </c>
      <c r="AZ547" s="19" t="s">
        <v>443</v>
      </c>
      <c r="BA547" s="20">
        <v>41415</v>
      </c>
      <c r="BB547" s="19" t="s">
        <v>8660</v>
      </c>
      <c r="BC547" s="19" t="s">
        <v>8661</v>
      </c>
      <c r="BD547" s="19" t="s">
        <v>148</v>
      </c>
      <c r="BE547" s="19" t="s">
        <v>130</v>
      </c>
      <c r="BF547" s="19" t="s">
        <v>8662</v>
      </c>
      <c r="BG547" s="19" t="s">
        <v>8663</v>
      </c>
      <c r="BH547" s="19" t="s">
        <v>8664</v>
      </c>
      <c r="BI547" s="19" t="s">
        <v>8664</v>
      </c>
      <c r="BJ547" s="19" t="s">
        <v>194</v>
      </c>
      <c r="BK547" s="19" t="s">
        <v>8665</v>
      </c>
      <c r="BL547" s="19" t="s">
        <v>8666</v>
      </c>
      <c r="BM547" s="19" t="s">
        <v>135</v>
      </c>
      <c r="BN547" s="21">
        <v>91.403000000000006</v>
      </c>
      <c r="BO547" s="21">
        <v>1002.3344383</v>
      </c>
      <c r="BQ547" s="2"/>
      <c r="BR547" s="2"/>
      <c r="BS547" s="2"/>
      <c r="BT547" s="2"/>
      <c r="BU547" s="22"/>
      <c r="BV547" s="2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</row>
    <row r="548" spans="1:95" x14ac:dyDescent="0.25">
      <c r="A548" s="18">
        <v>545</v>
      </c>
      <c r="B548" s="19" t="s">
        <v>8667</v>
      </c>
      <c r="C548" s="19" t="s">
        <v>8668</v>
      </c>
      <c r="D548" s="20">
        <v>46021</v>
      </c>
      <c r="E548" s="20">
        <v>31966</v>
      </c>
      <c r="F548" s="19"/>
      <c r="G548" s="19"/>
      <c r="H548" s="19" t="s">
        <v>94</v>
      </c>
      <c r="I548" s="19"/>
      <c r="J548" s="19" t="s">
        <v>287</v>
      </c>
      <c r="K548" s="19" t="s">
        <v>288</v>
      </c>
      <c r="L548" s="19" t="s">
        <v>2080</v>
      </c>
      <c r="M548" s="19" t="s">
        <v>141</v>
      </c>
      <c r="N548" s="19" t="s">
        <v>8669</v>
      </c>
      <c r="O548" s="19" t="s">
        <v>100</v>
      </c>
      <c r="P548" s="19"/>
      <c r="Q548" s="19"/>
      <c r="R548" s="19"/>
      <c r="S548" s="19"/>
      <c r="T548" s="19"/>
      <c r="U548" s="19"/>
      <c r="V548" s="19"/>
      <c r="W548" s="19"/>
      <c r="X548" s="19"/>
      <c r="Y548" s="19" t="s">
        <v>101</v>
      </c>
      <c r="Z548" s="19" t="s">
        <v>102</v>
      </c>
      <c r="AA548" s="19" t="s">
        <v>103</v>
      </c>
      <c r="AB548" s="19" t="s">
        <v>850</v>
      </c>
      <c r="AC548" s="19" t="s">
        <v>851</v>
      </c>
      <c r="AD548" s="19" t="s">
        <v>8670</v>
      </c>
      <c r="AE548" s="19" t="s">
        <v>8671</v>
      </c>
      <c r="AF548" s="19" t="s">
        <v>8672</v>
      </c>
      <c r="AG548" s="19" t="s">
        <v>3193</v>
      </c>
      <c r="AH548" s="19" t="s">
        <v>327</v>
      </c>
      <c r="AI548" s="19" t="s">
        <v>111</v>
      </c>
      <c r="AJ548" s="19" t="s">
        <v>3189</v>
      </c>
      <c r="AK548" s="19"/>
      <c r="AL548" s="19"/>
      <c r="AM548" s="19"/>
      <c r="AN548" s="19" t="s">
        <v>8673</v>
      </c>
      <c r="AO548" s="19" t="s">
        <v>4616</v>
      </c>
      <c r="AP548" s="19" t="s">
        <v>2089</v>
      </c>
      <c r="AQ548" s="19" t="s">
        <v>117</v>
      </c>
      <c r="AR548" s="19" t="s">
        <v>2090</v>
      </c>
      <c r="AS548" s="19" t="s">
        <v>2091</v>
      </c>
      <c r="AT548" s="19" t="s">
        <v>2092</v>
      </c>
      <c r="AU548" s="19" t="s">
        <v>2093</v>
      </c>
      <c r="AV548" s="19" t="s">
        <v>122</v>
      </c>
      <c r="AW548" s="19" t="s">
        <v>2094</v>
      </c>
      <c r="AX548" s="19" t="s">
        <v>901</v>
      </c>
      <c r="AY548" s="19" t="s">
        <v>2095</v>
      </c>
      <c r="AZ548" s="19" t="s">
        <v>2096</v>
      </c>
      <c r="BA548" s="20">
        <v>37075</v>
      </c>
      <c r="BB548" s="19" t="s">
        <v>4617</v>
      </c>
      <c r="BC548" s="19" t="s">
        <v>5929</v>
      </c>
      <c r="BD548" s="19" t="s">
        <v>3193</v>
      </c>
      <c r="BE548" s="19" t="s">
        <v>130</v>
      </c>
      <c r="BF548" s="19" t="s">
        <v>8674</v>
      </c>
      <c r="BG548" s="19" t="s">
        <v>8675</v>
      </c>
      <c r="BH548" s="19" t="s">
        <v>5931</v>
      </c>
      <c r="BI548" s="19" t="s">
        <v>5931</v>
      </c>
      <c r="BJ548" s="19" t="s">
        <v>166</v>
      </c>
      <c r="BK548" s="19" t="s">
        <v>5932</v>
      </c>
      <c r="BL548" s="19" t="s">
        <v>5933</v>
      </c>
      <c r="BM548" s="19" t="s">
        <v>1045</v>
      </c>
      <c r="BN548" s="21">
        <v>18.262</v>
      </c>
      <c r="BO548" s="21">
        <v>2008.6373799999999</v>
      </c>
      <c r="BQ548" s="2"/>
      <c r="BR548" s="2"/>
      <c r="BS548" s="2"/>
      <c r="BT548" s="2"/>
      <c r="BU548" s="22"/>
      <c r="BV548" s="2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</row>
    <row r="549" spans="1:95" x14ac:dyDescent="0.25">
      <c r="A549" s="18">
        <v>546</v>
      </c>
      <c r="B549" s="19" t="s">
        <v>8676</v>
      </c>
      <c r="C549" s="19" t="s">
        <v>8677</v>
      </c>
      <c r="D549" s="20">
        <v>46022</v>
      </c>
      <c r="E549" s="20">
        <v>24142</v>
      </c>
      <c r="F549" s="19"/>
      <c r="G549" s="19"/>
      <c r="H549" s="19" t="s">
        <v>94</v>
      </c>
      <c r="I549" s="19"/>
      <c r="J549" s="19" t="s">
        <v>2625</v>
      </c>
      <c r="K549" s="19" t="s">
        <v>2626</v>
      </c>
      <c r="L549" s="19" t="s">
        <v>97</v>
      </c>
      <c r="M549" s="19" t="s">
        <v>98</v>
      </c>
      <c r="N549" s="19" t="s">
        <v>8678</v>
      </c>
      <c r="O549" s="19" t="s">
        <v>100</v>
      </c>
      <c r="P549" s="19"/>
      <c r="Q549" s="19"/>
      <c r="R549" s="19"/>
      <c r="S549" s="19"/>
      <c r="T549" s="19"/>
      <c r="U549" s="19"/>
      <c r="V549" s="19"/>
      <c r="W549" s="19"/>
      <c r="X549" s="19"/>
      <c r="Y549" s="19" t="s">
        <v>101</v>
      </c>
      <c r="Z549" s="19" t="s">
        <v>102</v>
      </c>
      <c r="AA549" s="19" t="s">
        <v>103</v>
      </c>
      <c r="AB549" s="19" t="s">
        <v>1222</v>
      </c>
      <c r="AC549" s="19" t="s">
        <v>1223</v>
      </c>
      <c r="AD549" s="19" t="s">
        <v>8679</v>
      </c>
      <c r="AE549" s="19" t="s">
        <v>8680</v>
      </c>
      <c r="AF549" s="19"/>
      <c r="AG549" s="19" t="s">
        <v>1004</v>
      </c>
      <c r="AH549" s="19" t="s">
        <v>149</v>
      </c>
      <c r="AI549" s="19" t="s">
        <v>111</v>
      </c>
      <c r="AJ549" s="19" t="s">
        <v>8681</v>
      </c>
      <c r="AK549" s="19"/>
      <c r="AL549" s="19"/>
      <c r="AM549" s="19" t="s">
        <v>8682</v>
      </c>
      <c r="AN549" s="19" t="s">
        <v>8683</v>
      </c>
      <c r="AO549" s="19" t="s">
        <v>8684</v>
      </c>
      <c r="AP549" s="19" t="s">
        <v>8685</v>
      </c>
      <c r="AQ549" s="19" t="s">
        <v>117</v>
      </c>
      <c r="AR549" s="19" t="s">
        <v>8686</v>
      </c>
      <c r="AS549" s="19" t="s">
        <v>8687</v>
      </c>
      <c r="AT549" s="19" t="s">
        <v>8688</v>
      </c>
      <c r="AU549" s="19" t="s">
        <v>8689</v>
      </c>
      <c r="AV549" s="19" t="s">
        <v>616</v>
      </c>
      <c r="AW549" s="19" t="s">
        <v>7800</v>
      </c>
      <c r="AX549" s="19" t="s">
        <v>901</v>
      </c>
      <c r="AY549" s="19" t="s">
        <v>8690</v>
      </c>
      <c r="AZ549" s="19" t="s">
        <v>8691</v>
      </c>
      <c r="BA549" s="20">
        <v>43341</v>
      </c>
      <c r="BB549" s="19" t="s">
        <v>8692</v>
      </c>
      <c r="BC549" s="19" t="s">
        <v>8693</v>
      </c>
      <c r="BD549" s="19" t="s">
        <v>623</v>
      </c>
      <c r="BE549" s="19" t="s">
        <v>130</v>
      </c>
      <c r="BF549" s="19" t="s">
        <v>8694</v>
      </c>
      <c r="BG549" s="19"/>
      <c r="BH549" s="19" t="s">
        <v>8695</v>
      </c>
      <c r="BI549" s="19" t="s">
        <v>8695</v>
      </c>
      <c r="BJ549" s="19" t="s">
        <v>166</v>
      </c>
      <c r="BK549" s="19" t="s">
        <v>1007</v>
      </c>
      <c r="BL549" s="19" t="s">
        <v>989</v>
      </c>
      <c r="BM549" s="19" t="s">
        <v>196</v>
      </c>
      <c r="BN549" s="21">
        <v>0</v>
      </c>
      <c r="BO549" s="21">
        <v>0</v>
      </c>
      <c r="BQ549" s="2"/>
      <c r="BR549" s="2"/>
      <c r="BS549" s="2"/>
      <c r="BT549" s="2"/>
      <c r="BU549" s="22"/>
      <c r="BV549" s="2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</row>
    <row r="550" spans="1:95" x14ac:dyDescent="0.25">
      <c r="A550" s="18">
        <v>547</v>
      </c>
      <c r="B550" s="19" t="s">
        <v>8696</v>
      </c>
      <c r="C550" s="19" t="s">
        <v>8697</v>
      </c>
      <c r="D550" s="20">
        <v>46022</v>
      </c>
      <c r="E550" s="20">
        <v>36946</v>
      </c>
      <c r="F550" s="19" t="s">
        <v>8698</v>
      </c>
      <c r="G550" s="19" t="s">
        <v>139</v>
      </c>
      <c r="H550" s="19" t="s">
        <v>94</v>
      </c>
      <c r="I550" s="19"/>
      <c r="J550" s="19"/>
      <c r="K550" s="19"/>
      <c r="L550" s="19" t="s">
        <v>140</v>
      </c>
      <c r="M550" s="19" t="s">
        <v>141</v>
      </c>
      <c r="N550" s="19" t="s">
        <v>8699</v>
      </c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 t="s">
        <v>101</v>
      </c>
      <c r="Z550" s="19" t="s">
        <v>102</v>
      </c>
      <c r="AA550" s="19" t="s">
        <v>103</v>
      </c>
      <c r="AB550" s="19" t="s">
        <v>143</v>
      </c>
      <c r="AC550" s="19" t="s">
        <v>144</v>
      </c>
      <c r="AD550" s="19" t="s">
        <v>8700</v>
      </c>
      <c r="AE550" s="19" t="s">
        <v>8701</v>
      </c>
      <c r="AF550" s="19"/>
      <c r="AG550" s="19" t="s">
        <v>8701</v>
      </c>
      <c r="AH550" s="19" t="s">
        <v>3516</v>
      </c>
      <c r="AI550" s="19"/>
      <c r="AJ550" s="19" t="s">
        <v>8702</v>
      </c>
      <c r="AK550" s="19"/>
      <c r="AL550" s="19" t="s">
        <v>8703</v>
      </c>
      <c r="AM550" s="19" t="s">
        <v>8704</v>
      </c>
      <c r="AN550" s="19" t="s">
        <v>8705</v>
      </c>
      <c r="AO550" s="19" t="s">
        <v>154</v>
      </c>
      <c r="AP550" s="19" t="s">
        <v>155</v>
      </c>
      <c r="AQ550" s="19" t="s">
        <v>117</v>
      </c>
      <c r="AR550" s="19" t="s">
        <v>156</v>
      </c>
      <c r="AS550" s="19" t="s">
        <v>157</v>
      </c>
      <c r="AT550" s="19" t="s">
        <v>158</v>
      </c>
      <c r="AU550" s="19"/>
      <c r="AV550" s="19" t="s">
        <v>122</v>
      </c>
      <c r="AW550" s="19"/>
      <c r="AX550" s="19" t="s">
        <v>124</v>
      </c>
      <c r="AY550" s="19" t="s">
        <v>159</v>
      </c>
      <c r="AZ550" s="19" t="s">
        <v>160</v>
      </c>
      <c r="BA550" s="20">
        <v>44676</v>
      </c>
      <c r="BB550" s="19" t="s">
        <v>331</v>
      </c>
      <c r="BC550" s="19" t="s">
        <v>8706</v>
      </c>
      <c r="BD550" s="19" t="s">
        <v>8706</v>
      </c>
      <c r="BE550" s="19" t="s">
        <v>130</v>
      </c>
      <c r="BF550" s="19" t="s">
        <v>8707</v>
      </c>
      <c r="BG550" s="19"/>
      <c r="BH550" s="19" t="s">
        <v>8708</v>
      </c>
      <c r="BI550" s="19" t="s">
        <v>8708</v>
      </c>
      <c r="BJ550" s="19" t="s">
        <v>166</v>
      </c>
      <c r="BK550" s="19" t="s">
        <v>167</v>
      </c>
      <c r="BL550" s="19" t="s">
        <v>168</v>
      </c>
      <c r="BM550" s="19" t="s">
        <v>169</v>
      </c>
      <c r="BN550" s="21">
        <v>2.625</v>
      </c>
      <c r="BO550" s="21">
        <v>99.986249999999998</v>
      </c>
      <c r="BQ550" s="2"/>
      <c r="BR550" s="2"/>
      <c r="BS550" s="2"/>
      <c r="BT550" s="2"/>
      <c r="BU550" s="22"/>
      <c r="BV550" s="2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</row>
    <row r="551" spans="1:95" x14ac:dyDescent="0.25">
      <c r="A551" s="18">
        <v>548</v>
      </c>
      <c r="B551" s="19" t="s">
        <v>8709</v>
      </c>
      <c r="C551" s="19" t="s">
        <v>8710</v>
      </c>
      <c r="D551" s="20">
        <v>45999</v>
      </c>
      <c r="E551" s="20">
        <v>37785</v>
      </c>
      <c r="F551" s="19" t="s">
        <v>8711</v>
      </c>
      <c r="G551" s="19" t="s">
        <v>139</v>
      </c>
      <c r="H551" s="19" t="s">
        <v>117</v>
      </c>
      <c r="I551" s="19" t="s">
        <v>8712</v>
      </c>
      <c r="J551" s="19"/>
      <c r="K551" s="19"/>
      <c r="L551" s="19" t="s">
        <v>140</v>
      </c>
      <c r="M551" s="19" t="s">
        <v>141</v>
      </c>
      <c r="N551" s="19" t="s">
        <v>8713</v>
      </c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 t="s">
        <v>101</v>
      </c>
      <c r="Z551" s="19" t="s">
        <v>102</v>
      </c>
      <c r="AA551" s="19" t="s">
        <v>103</v>
      </c>
      <c r="AB551" s="19" t="s">
        <v>8714</v>
      </c>
      <c r="AC551" s="19" t="s">
        <v>8715</v>
      </c>
      <c r="AD551" s="19" t="s">
        <v>8716</v>
      </c>
      <c r="AE551" s="19" t="s">
        <v>8717</v>
      </c>
      <c r="AF551" s="19"/>
      <c r="AG551" s="19" t="s">
        <v>8718</v>
      </c>
      <c r="AH551" s="19" t="s">
        <v>1015</v>
      </c>
      <c r="AI551" s="19" t="s">
        <v>111</v>
      </c>
      <c r="AJ551" s="19" t="s">
        <v>8719</v>
      </c>
      <c r="AK551" s="19"/>
      <c r="AL551" s="19"/>
      <c r="AM551" s="19" t="s">
        <v>8720</v>
      </c>
      <c r="AN551" s="19" t="s">
        <v>8721</v>
      </c>
      <c r="AO551" s="19" t="s">
        <v>476</v>
      </c>
      <c r="AP551" s="19" t="s">
        <v>477</v>
      </c>
      <c r="AQ551" s="19" t="s">
        <v>117</v>
      </c>
      <c r="AR551" s="19" t="s">
        <v>478</v>
      </c>
      <c r="AS551" s="19"/>
      <c r="AT551" s="19"/>
      <c r="AU551" s="19"/>
      <c r="AV551" s="19"/>
      <c r="AW551" s="19"/>
      <c r="AX551" s="19"/>
      <c r="AY551" s="19"/>
      <c r="AZ551" s="19"/>
      <c r="BA551" s="20">
        <v>44452</v>
      </c>
      <c r="BB551" s="19" t="s">
        <v>331</v>
      </c>
      <c r="BC551" s="19" t="s">
        <v>8722</v>
      </c>
      <c r="BD551" s="19" t="s">
        <v>8723</v>
      </c>
      <c r="BE551" s="19" t="s">
        <v>130</v>
      </c>
      <c r="BF551" s="19" t="s">
        <v>8724</v>
      </c>
      <c r="BG551" s="19"/>
      <c r="BH551" s="19" t="s">
        <v>8725</v>
      </c>
      <c r="BI551" s="19" t="s">
        <v>8725</v>
      </c>
      <c r="BJ551" s="19" t="s">
        <v>166</v>
      </c>
      <c r="BK551" s="19" t="s">
        <v>167</v>
      </c>
      <c r="BL551" s="19" t="s">
        <v>168</v>
      </c>
      <c r="BM551" s="19" t="s">
        <v>169</v>
      </c>
      <c r="BN551" s="21">
        <v>33.456000000000003</v>
      </c>
      <c r="BO551" s="21">
        <v>1704.9244512</v>
      </c>
      <c r="BQ551" s="2"/>
      <c r="BR551" s="2"/>
      <c r="BS551" s="2"/>
      <c r="BT551" s="2"/>
      <c r="BU551" s="22"/>
      <c r="BV551" s="2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</row>
    <row r="552" spans="1:95" x14ac:dyDescent="0.25">
      <c r="A552" s="18">
        <v>549</v>
      </c>
      <c r="B552" s="19" t="s">
        <v>8726</v>
      </c>
      <c r="C552" s="19" t="s">
        <v>8727</v>
      </c>
      <c r="D552" s="20">
        <v>45992</v>
      </c>
      <c r="E552" s="20">
        <v>36090</v>
      </c>
      <c r="F552" s="19"/>
      <c r="G552" s="19"/>
      <c r="H552" s="19" t="s">
        <v>94</v>
      </c>
      <c r="I552" s="19"/>
      <c r="J552" s="19"/>
      <c r="K552" s="19"/>
      <c r="L552" s="19" t="s">
        <v>244</v>
      </c>
      <c r="M552" s="19" t="s">
        <v>245</v>
      </c>
      <c r="N552" s="19" t="s">
        <v>8728</v>
      </c>
      <c r="O552" s="19" t="s">
        <v>100</v>
      </c>
      <c r="P552" s="19"/>
      <c r="Q552" s="19"/>
      <c r="R552" s="19"/>
      <c r="S552" s="19"/>
      <c r="T552" s="19"/>
      <c r="U552" s="19"/>
      <c r="V552" s="19"/>
      <c r="W552" s="19"/>
      <c r="X552" s="19"/>
      <c r="Y552" s="19" t="s">
        <v>101</v>
      </c>
      <c r="Z552" s="19" t="s">
        <v>102</v>
      </c>
      <c r="AA552" s="19" t="s">
        <v>103</v>
      </c>
      <c r="AB552" s="19" t="s">
        <v>2543</v>
      </c>
      <c r="AC552" s="19" t="s">
        <v>2544</v>
      </c>
      <c r="AD552" s="19" t="s">
        <v>8729</v>
      </c>
      <c r="AE552" s="19" t="s">
        <v>8730</v>
      </c>
      <c r="AF552" s="19"/>
      <c r="AG552" s="19" t="s">
        <v>1140</v>
      </c>
      <c r="AH552" s="19" t="s">
        <v>327</v>
      </c>
      <c r="AI552" s="19" t="s">
        <v>111</v>
      </c>
      <c r="AJ552" s="19" t="s">
        <v>2759</v>
      </c>
      <c r="AK552" s="19"/>
      <c r="AL552" s="19"/>
      <c r="AM552" s="19" t="s">
        <v>8731</v>
      </c>
      <c r="AN552" s="19" t="s">
        <v>8732</v>
      </c>
      <c r="AO552" s="19" t="s">
        <v>255</v>
      </c>
      <c r="AP552" s="19" t="s">
        <v>256</v>
      </c>
      <c r="AQ552" s="19" t="s">
        <v>117</v>
      </c>
      <c r="AR552" s="19" t="s">
        <v>257</v>
      </c>
      <c r="AS552" s="19" t="s">
        <v>258</v>
      </c>
      <c r="AT552" s="19" t="s">
        <v>259</v>
      </c>
      <c r="AU552" s="19" t="s">
        <v>260</v>
      </c>
      <c r="AV552" s="19" t="s">
        <v>260</v>
      </c>
      <c r="AW552" s="19" t="s">
        <v>261</v>
      </c>
      <c r="AX552" s="19" t="s">
        <v>262</v>
      </c>
      <c r="AY552" s="19" t="s">
        <v>263</v>
      </c>
      <c r="AZ552" s="19" t="s">
        <v>264</v>
      </c>
      <c r="BA552" s="20">
        <v>43627</v>
      </c>
      <c r="BB552" s="19" t="s">
        <v>444</v>
      </c>
      <c r="BC552" s="19" t="s">
        <v>8733</v>
      </c>
      <c r="BD552" s="19" t="s">
        <v>365</v>
      </c>
      <c r="BE552" s="19" t="s">
        <v>130</v>
      </c>
      <c r="BF552" s="19" t="s">
        <v>8734</v>
      </c>
      <c r="BG552" s="19"/>
      <c r="BH552" s="19" t="s">
        <v>8735</v>
      </c>
      <c r="BI552" s="19" t="s">
        <v>8735</v>
      </c>
      <c r="BJ552" s="19" t="s">
        <v>194</v>
      </c>
      <c r="BK552" s="19" t="s">
        <v>195</v>
      </c>
      <c r="BL552" s="19" t="s">
        <v>122</v>
      </c>
      <c r="BM552" s="19" t="s">
        <v>196</v>
      </c>
      <c r="BN552" s="21">
        <v>36.853000000000002</v>
      </c>
      <c r="BO552" s="21">
        <v>9983.9088800999998</v>
      </c>
      <c r="BQ552" s="2"/>
      <c r="BR552" s="2"/>
      <c r="BS552" s="2"/>
      <c r="BT552" s="2"/>
      <c r="BU552" s="22"/>
      <c r="BV552" s="2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</row>
    <row r="553" spans="1:95" x14ac:dyDescent="0.25">
      <c r="A553" s="18">
        <v>550</v>
      </c>
      <c r="B553" s="19" t="s">
        <v>8736</v>
      </c>
      <c r="C553" s="19" t="s">
        <v>8737</v>
      </c>
      <c r="D553" s="20">
        <v>45992</v>
      </c>
      <c r="E553" s="20">
        <v>37149</v>
      </c>
      <c r="F553" s="19"/>
      <c r="G553" s="19"/>
      <c r="H553" s="19" t="s">
        <v>94</v>
      </c>
      <c r="I553" s="19"/>
      <c r="J553" s="19"/>
      <c r="K553" s="19"/>
      <c r="L553" s="19" t="s">
        <v>97</v>
      </c>
      <c r="M553" s="19" t="s">
        <v>98</v>
      </c>
      <c r="N553" s="19" t="s">
        <v>8738</v>
      </c>
      <c r="O553" s="19" t="s">
        <v>100</v>
      </c>
      <c r="P553" s="19"/>
      <c r="Q553" s="19"/>
      <c r="R553" s="19"/>
      <c r="S553" s="19"/>
      <c r="T553" s="19"/>
      <c r="U553" s="19"/>
      <c r="V553" s="19"/>
      <c r="W553" s="19"/>
      <c r="X553" s="19"/>
      <c r="Y553" s="19" t="s">
        <v>101</v>
      </c>
      <c r="Z553" s="19" t="s">
        <v>102</v>
      </c>
      <c r="AA553" s="19" t="s">
        <v>103</v>
      </c>
      <c r="AB553" s="19" t="s">
        <v>1744</v>
      </c>
      <c r="AC553" s="19" t="s">
        <v>1745</v>
      </c>
      <c r="AD553" s="19" t="s">
        <v>8739</v>
      </c>
      <c r="AE553" s="19" t="s">
        <v>8740</v>
      </c>
      <c r="AF553" s="19"/>
      <c r="AG553" s="19" t="s">
        <v>8426</v>
      </c>
      <c r="AH553" s="19" t="s">
        <v>1226</v>
      </c>
      <c r="AI553" s="19" t="s">
        <v>111</v>
      </c>
      <c r="AJ553" s="19" t="s">
        <v>8741</v>
      </c>
      <c r="AK553" s="19"/>
      <c r="AL553" s="19"/>
      <c r="AM553" s="19" t="s">
        <v>8742</v>
      </c>
      <c r="AN553" s="19" t="s">
        <v>8743</v>
      </c>
      <c r="AO553" s="19" t="s">
        <v>835</v>
      </c>
      <c r="AP553" s="19" t="s">
        <v>836</v>
      </c>
      <c r="AQ553" s="19" t="s">
        <v>117</v>
      </c>
      <c r="AR553" s="19" t="s">
        <v>837</v>
      </c>
      <c r="AS553" s="19" t="s">
        <v>838</v>
      </c>
      <c r="AT553" s="19" t="s">
        <v>839</v>
      </c>
      <c r="AU553" s="19" t="s">
        <v>840</v>
      </c>
      <c r="AV553" s="19" t="s">
        <v>841</v>
      </c>
      <c r="AW553" s="19"/>
      <c r="AX553" s="19" t="s">
        <v>707</v>
      </c>
      <c r="AY553" s="19" t="s">
        <v>842</v>
      </c>
      <c r="AZ553" s="19" t="s">
        <v>843</v>
      </c>
      <c r="BA553" s="20">
        <v>45453</v>
      </c>
      <c r="BB553" s="19" t="s">
        <v>331</v>
      </c>
      <c r="BC553" s="19" t="s">
        <v>8744</v>
      </c>
      <c r="BD553" s="19" t="s">
        <v>8745</v>
      </c>
      <c r="BE553" s="19" t="s">
        <v>130</v>
      </c>
      <c r="BF553" s="19" t="s">
        <v>8746</v>
      </c>
      <c r="BG553" s="19"/>
      <c r="BH553" s="19" t="s">
        <v>8747</v>
      </c>
      <c r="BI553" s="19" t="s">
        <v>8747</v>
      </c>
      <c r="BJ553" s="19" t="s">
        <v>194</v>
      </c>
      <c r="BK553" s="19" t="s">
        <v>195</v>
      </c>
      <c r="BL553" s="19" t="s">
        <v>122</v>
      </c>
      <c r="BM553" s="19" t="s">
        <v>196</v>
      </c>
      <c r="BN553" s="21">
        <v>11.875999999999999</v>
      </c>
      <c r="BO553" s="21">
        <v>298.58995479999999</v>
      </c>
      <c r="BQ553" s="2"/>
      <c r="BR553" s="2"/>
      <c r="BS553" s="2"/>
      <c r="BT553" s="2"/>
      <c r="BU553" s="22"/>
      <c r="BV553" s="2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</row>
    <row r="554" spans="1:95" x14ac:dyDescent="0.25">
      <c r="A554" s="18">
        <v>551</v>
      </c>
      <c r="B554" s="19" t="s">
        <v>8748</v>
      </c>
      <c r="C554" s="19" t="s">
        <v>8749</v>
      </c>
      <c r="D554" s="20">
        <v>46000</v>
      </c>
      <c r="E554" s="20">
        <v>38484</v>
      </c>
      <c r="F554" s="19" t="s">
        <v>8750</v>
      </c>
      <c r="G554" s="19" t="s">
        <v>139</v>
      </c>
      <c r="H554" s="19" t="s">
        <v>94</v>
      </c>
      <c r="I554" s="19"/>
      <c r="J554" s="19"/>
      <c r="K554" s="19"/>
      <c r="L554" s="19" t="s">
        <v>140</v>
      </c>
      <c r="M554" s="19" t="s">
        <v>141</v>
      </c>
      <c r="N554" s="19" t="s">
        <v>8751</v>
      </c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 t="s">
        <v>101</v>
      </c>
      <c r="Z554" s="19" t="s">
        <v>102</v>
      </c>
      <c r="AA554" s="19" t="s">
        <v>103</v>
      </c>
      <c r="AB554" s="19" t="s">
        <v>173</v>
      </c>
      <c r="AC554" s="19" t="s">
        <v>174</v>
      </c>
      <c r="AD554" s="19" t="s">
        <v>8752</v>
      </c>
      <c r="AE554" s="19"/>
      <c r="AF554" s="19"/>
      <c r="AG554" s="19" t="s">
        <v>8753</v>
      </c>
      <c r="AH554" s="19" t="s">
        <v>262</v>
      </c>
      <c r="AI554" s="19" t="s">
        <v>111</v>
      </c>
      <c r="AJ554" s="19" t="s">
        <v>8754</v>
      </c>
      <c r="AK554" s="19"/>
      <c r="AL554" s="19" t="s">
        <v>8755</v>
      </c>
      <c r="AM554" s="19" t="s">
        <v>8756</v>
      </c>
      <c r="AN554" s="19" t="s">
        <v>8757</v>
      </c>
      <c r="AO554" s="19" t="s">
        <v>154</v>
      </c>
      <c r="AP554" s="19" t="s">
        <v>155</v>
      </c>
      <c r="AQ554" s="19" t="s">
        <v>117</v>
      </c>
      <c r="AR554" s="19" t="s">
        <v>156</v>
      </c>
      <c r="AS554" s="19" t="s">
        <v>157</v>
      </c>
      <c r="AT554" s="19" t="s">
        <v>158</v>
      </c>
      <c r="AU554" s="19"/>
      <c r="AV554" s="19" t="s">
        <v>122</v>
      </c>
      <c r="AW554" s="19"/>
      <c r="AX554" s="19" t="s">
        <v>124</v>
      </c>
      <c r="AY554" s="19" t="s">
        <v>159</v>
      </c>
      <c r="AZ554" s="19" t="s">
        <v>160</v>
      </c>
      <c r="BA554" s="20">
        <v>44676</v>
      </c>
      <c r="BB554" s="19" t="s">
        <v>540</v>
      </c>
      <c r="BC554" s="19" t="s">
        <v>8758</v>
      </c>
      <c r="BD554" s="19" t="s">
        <v>8759</v>
      </c>
      <c r="BE554" s="19" t="s">
        <v>130</v>
      </c>
      <c r="BF554" s="19" t="s">
        <v>8760</v>
      </c>
      <c r="BG554" s="19"/>
      <c r="BH554" s="19" t="s">
        <v>8761</v>
      </c>
      <c r="BI554" s="19" t="s">
        <v>8761</v>
      </c>
      <c r="BJ554" s="19" t="s">
        <v>166</v>
      </c>
      <c r="BK554" s="19" t="s">
        <v>167</v>
      </c>
      <c r="BL554" s="19" t="s">
        <v>168</v>
      </c>
      <c r="BM554" s="19" t="s">
        <v>169</v>
      </c>
      <c r="BN554" s="21">
        <v>3.5720000000000001</v>
      </c>
      <c r="BO554" s="21">
        <v>126.5352424</v>
      </c>
      <c r="BQ554" s="2"/>
      <c r="BR554" s="2"/>
      <c r="BS554" s="2"/>
      <c r="BT554" s="2"/>
      <c r="BU554" s="22"/>
      <c r="BV554" s="2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</row>
    <row r="555" spans="1:95" x14ac:dyDescent="0.25">
      <c r="A555" s="18">
        <v>552</v>
      </c>
      <c r="B555" s="19" t="s">
        <v>8762</v>
      </c>
      <c r="C555" s="19" t="s">
        <v>8763</v>
      </c>
      <c r="D555" s="20">
        <v>45993</v>
      </c>
      <c r="E555" s="20">
        <v>36244</v>
      </c>
      <c r="F555" s="19"/>
      <c r="G555" s="19"/>
      <c r="H555" s="19" t="s">
        <v>94</v>
      </c>
      <c r="I555" s="19"/>
      <c r="J555" s="19"/>
      <c r="K555" s="19"/>
      <c r="L555" s="19" t="s">
        <v>101</v>
      </c>
      <c r="M555" s="19" t="s">
        <v>290</v>
      </c>
      <c r="N555" s="19" t="s">
        <v>8764</v>
      </c>
      <c r="O555" s="19" t="s">
        <v>100</v>
      </c>
      <c r="P555" s="19"/>
      <c r="Q555" s="19"/>
      <c r="R555" s="19"/>
      <c r="S555" s="19"/>
      <c r="T555" s="19"/>
      <c r="U555" s="19"/>
      <c r="V555" s="19"/>
      <c r="W555" s="19"/>
      <c r="X555" s="19"/>
      <c r="Y555" s="19" t="s">
        <v>101</v>
      </c>
      <c r="Z555" s="19" t="s">
        <v>102</v>
      </c>
      <c r="AA555" s="19" t="s">
        <v>103</v>
      </c>
      <c r="AB555" s="19" t="s">
        <v>3678</v>
      </c>
      <c r="AC555" s="19" t="s">
        <v>3679</v>
      </c>
      <c r="AD555" s="19" t="s">
        <v>8765</v>
      </c>
      <c r="AE555" s="19" t="s">
        <v>8766</v>
      </c>
      <c r="AF555" s="19" t="s">
        <v>8767</v>
      </c>
      <c r="AG555" s="19" t="s">
        <v>5447</v>
      </c>
      <c r="AH555" s="19" t="s">
        <v>110</v>
      </c>
      <c r="AI555" s="19" t="s">
        <v>111</v>
      </c>
      <c r="AJ555" s="19" t="s">
        <v>8768</v>
      </c>
      <c r="AK555" s="19"/>
      <c r="AL555" s="19"/>
      <c r="AM555" s="19" t="s">
        <v>8769</v>
      </c>
      <c r="AN555" s="19" t="s">
        <v>8770</v>
      </c>
      <c r="AO555" s="19" t="s">
        <v>1545</v>
      </c>
      <c r="AP555" s="19" t="s">
        <v>116</v>
      </c>
      <c r="AQ555" s="19" t="s">
        <v>94</v>
      </c>
      <c r="AR555" s="19" t="s">
        <v>118</v>
      </c>
      <c r="AS555" s="19" t="s">
        <v>119</v>
      </c>
      <c r="AT555" s="19" t="s">
        <v>120</v>
      </c>
      <c r="AU555" s="19" t="s">
        <v>121</v>
      </c>
      <c r="AV555" s="19" t="s">
        <v>122</v>
      </c>
      <c r="AW555" s="19" t="s">
        <v>123</v>
      </c>
      <c r="AX555" s="19" t="s">
        <v>124</v>
      </c>
      <c r="AY555" s="19" t="s">
        <v>125</v>
      </c>
      <c r="AZ555" s="19" t="s">
        <v>1546</v>
      </c>
      <c r="BA555" s="20">
        <v>45181</v>
      </c>
      <c r="BB555" s="19" t="s">
        <v>1547</v>
      </c>
      <c r="BC555" s="19" t="s">
        <v>8771</v>
      </c>
      <c r="BD555" s="19" t="s">
        <v>8771</v>
      </c>
      <c r="BE555" s="19" t="s">
        <v>130</v>
      </c>
      <c r="BF555" s="19" t="s">
        <v>8772</v>
      </c>
      <c r="BG555" s="19"/>
      <c r="BH555" s="19" t="s">
        <v>8773</v>
      </c>
      <c r="BI555" s="19" t="s">
        <v>8773</v>
      </c>
      <c r="BJ555" s="19" t="s">
        <v>133</v>
      </c>
      <c r="BK555" s="19" t="s">
        <v>195</v>
      </c>
      <c r="BL555" s="19" t="s">
        <v>122</v>
      </c>
      <c r="BM555" s="19" t="s">
        <v>196</v>
      </c>
      <c r="BN555" s="21">
        <v>100.39700000000001</v>
      </c>
      <c r="BO555" s="21">
        <v>1018.02558</v>
      </c>
      <c r="BQ555" s="2"/>
      <c r="BR555" s="2"/>
      <c r="BS555" s="2"/>
      <c r="BT555" s="2"/>
      <c r="BU555" s="22"/>
      <c r="BV555" s="2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</row>
    <row r="556" spans="1:95" x14ac:dyDescent="0.25">
      <c r="A556" s="18">
        <v>553</v>
      </c>
      <c r="B556" s="19" t="s">
        <v>8774</v>
      </c>
      <c r="C556" s="19" t="s">
        <v>8775</v>
      </c>
      <c r="D556" s="20">
        <v>45996</v>
      </c>
      <c r="E556" s="20">
        <v>28413</v>
      </c>
      <c r="F556" s="19"/>
      <c r="G556" s="19"/>
      <c r="H556" s="19" t="s">
        <v>94</v>
      </c>
      <c r="I556" s="19"/>
      <c r="J556" s="19"/>
      <c r="K556" s="19"/>
      <c r="L556" s="19" t="s">
        <v>244</v>
      </c>
      <c r="M556" s="19" t="s">
        <v>245</v>
      </c>
      <c r="N556" s="19" t="s">
        <v>8776</v>
      </c>
      <c r="O556" s="19" t="s">
        <v>100</v>
      </c>
      <c r="P556" s="19"/>
      <c r="Q556" s="19"/>
      <c r="R556" s="19"/>
      <c r="S556" s="19"/>
      <c r="T556" s="19"/>
      <c r="U556" s="19"/>
      <c r="V556" s="19"/>
      <c r="W556" s="19"/>
      <c r="X556" s="19"/>
      <c r="Y556" s="19" t="s">
        <v>101</v>
      </c>
      <c r="Z556" s="19" t="s">
        <v>102</v>
      </c>
      <c r="AA556" s="19" t="s">
        <v>103</v>
      </c>
      <c r="AB556" s="19" t="s">
        <v>612</v>
      </c>
      <c r="AC556" s="19" t="s">
        <v>613</v>
      </c>
      <c r="AD556" s="19" t="s">
        <v>8777</v>
      </c>
      <c r="AE556" s="19" t="s">
        <v>8778</v>
      </c>
      <c r="AF556" s="19" t="s">
        <v>8779</v>
      </c>
      <c r="AG556" s="19" t="s">
        <v>219</v>
      </c>
      <c r="AH556" s="19" t="s">
        <v>124</v>
      </c>
      <c r="AI556" s="19" t="s">
        <v>111</v>
      </c>
      <c r="AJ556" s="19" t="s">
        <v>3088</v>
      </c>
      <c r="AK556" s="19" t="s">
        <v>8780</v>
      </c>
      <c r="AL556" s="19"/>
      <c r="AM556" s="19" t="s">
        <v>8781</v>
      </c>
      <c r="AN556" s="19" t="s">
        <v>8782</v>
      </c>
      <c r="AO556" s="19" t="s">
        <v>2307</v>
      </c>
      <c r="AP556" s="19" t="s">
        <v>2308</v>
      </c>
      <c r="AQ556" s="19" t="s">
        <v>94</v>
      </c>
      <c r="AR556" s="19" t="s">
        <v>2309</v>
      </c>
      <c r="AS556" s="19" t="s">
        <v>2310</v>
      </c>
      <c r="AT556" s="19" t="s">
        <v>2311</v>
      </c>
      <c r="AU556" s="19" t="s">
        <v>2312</v>
      </c>
      <c r="AV556" s="19" t="s">
        <v>122</v>
      </c>
      <c r="AW556" s="19" t="s">
        <v>2313</v>
      </c>
      <c r="AX556" s="19" t="s">
        <v>901</v>
      </c>
      <c r="AY556" s="19" t="s">
        <v>2314</v>
      </c>
      <c r="AZ556" s="19" t="s">
        <v>2315</v>
      </c>
      <c r="BA556" s="20">
        <v>43194</v>
      </c>
      <c r="BB556" s="19" t="s">
        <v>2308</v>
      </c>
      <c r="BC556" s="19" t="s">
        <v>8783</v>
      </c>
      <c r="BD556" s="19" t="s">
        <v>122</v>
      </c>
      <c r="BE556" s="19" t="s">
        <v>130</v>
      </c>
      <c r="BF556" s="19" t="s">
        <v>8784</v>
      </c>
      <c r="BG556" s="19"/>
      <c r="BH556" s="19" t="s">
        <v>2319</v>
      </c>
      <c r="BI556" s="19" t="s">
        <v>2319</v>
      </c>
      <c r="BJ556" s="19" t="s">
        <v>166</v>
      </c>
      <c r="BK556" s="19" t="s">
        <v>195</v>
      </c>
      <c r="BL556" s="19" t="s">
        <v>122</v>
      </c>
      <c r="BM556" s="19" t="s">
        <v>196</v>
      </c>
      <c r="BN556" s="21">
        <v>13.672000000000001</v>
      </c>
      <c r="BO556" s="21">
        <v>7491.84584</v>
      </c>
      <c r="BQ556" s="2"/>
      <c r="BR556" s="2"/>
      <c r="BS556" s="2"/>
      <c r="BT556" s="2"/>
      <c r="BU556" s="22"/>
      <c r="BV556" s="2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</row>
    <row r="557" spans="1:95" x14ac:dyDescent="0.25">
      <c r="A557" s="18">
        <v>554</v>
      </c>
      <c r="B557" s="19" t="s">
        <v>8785</v>
      </c>
      <c r="C557" s="19" t="s">
        <v>8786</v>
      </c>
      <c r="D557" s="20">
        <v>45993</v>
      </c>
      <c r="E557" s="20">
        <v>35369</v>
      </c>
      <c r="F557" s="19"/>
      <c r="G557" s="19"/>
      <c r="H557" s="19" t="s">
        <v>94</v>
      </c>
      <c r="I557" s="19"/>
      <c r="J557" s="19"/>
      <c r="K557" s="19"/>
      <c r="L557" s="19" t="s">
        <v>244</v>
      </c>
      <c r="M557" s="19" t="s">
        <v>245</v>
      </c>
      <c r="N557" s="19" t="s">
        <v>8787</v>
      </c>
      <c r="O557" s="19" t="s">
        <v>100</v>
      </c>
      <c r="P557" s="19"/>
      <c r="Q557" s="19"/>
      <c r="R557" s="19"/>
      <c r="S557" s="19"/>
      <c r="T557" s="19"/>
      <c r="U557" s="19"/>
      <c r="V557" s="19"/>
      <c r="W557" s="19"/>
      <c r="X557" s="19"/>
      <c r="Y557" s="19" t="s">
        <v>101</v>
      </c>
      <c r="Z557" s="19" t="s">
        <v>102</v>
      </c>
      <c r="AA557" s="19" t="s">
        <v>103</v>
      </c>
      <c r="AB557" s="19" t="s">
        <v>5912</v>
      </c>
      <c r="AC557" s="19" t="s">
        <v>5913</v>
      </c>
      <c r="AD557" s="19" t="s">
        <v>8788</v>
      </c>
      <c r="AE557" s="19" t="s">
        <v>8789</v>
      </c>
      <c r="AF557" s="19"/>
      <c r="AG557" s="19" t="s">
        <v>3869</v>
      </c>
      <c r="AH557" s="19" t="s">
        <v>327</v>
      </c>
      <c r="AI557" s="19" t="s">
        <v>111</v>
      </c>
      <c r="AJ557" s="19" t="s">
        <v>8790</v>
      </c>
      <c r="AK557" s="19"/>
      <c r="AL557" s="19"/>
      <c r="AM557" s="19" t="s">
        <v>8791</v>
      </c>
      <c r="AN557" s="19" t="s">
        <v>8792</v>
      </c>
      <c r="AO557" s="19" t="s">
        <v>255</v>
      </c>
      <c r="AP557" s="19" t="s">
        <v>256</v>
      </c>
      <c r="AQ557" s="19" t="s">
        <v>117</v>
      </c>
      <c r="AR557" s="19" t="s">
        <v>257</v>
      </c>
      <c r="AS557" s="19" t="s">
        <v>258</v>
      </c>
      <c r="AT557" s="19" t="s">
        <v>259</v>
      </c>
      <c r="AU557" s="19" t="s">
        <v>260</v>
      </c>
      <c r="AV557" s="19" t="s">
        <v>260</v>
      </c>
      <c r="AW557" s="19" t="s">
        <v>261</v>
      </c>
      <c r="AX557" s="19" t="s">
        <v>262</v>
      </c>
      <c r="AY557" s="19" t="s">
        <v>263</v>
      </c>
      <c r="AZ557" s="19" t="s">
        <v>264</v>
      </c>
      <c r="BA557" s="20">
        <v>43627</v>
      </c>
      <c r="BB557" s="19" t="s">
        <v>444</v>
      </c>
      <c r="BC557" s="19" t="s">
        <v>1684</v>
      </c>
      <c r="BD557" s="19" t="s">
        <v>219</v>
      </c>
      <c r="BE557" s="19" t="s">
        <v>130</v>
      </c>
      <c r="BF557" s="19" t="s">
        <v>8793</v>
      </c>
      <c r="BG557" s="19"/>
      <c r="BH557" s="19" t="s">
        <v>1686</v>
      </c>
      <c r="BI557" s="19" t="s">
        <v>1686</v>
      </c>
      <c r="BJ557" s="19" t="s">
        <v>194</v>
      </c>
      <c r="BK557" s="19" t="s">
        <v>195</v>
      </c>
      <c r="BL557" s="19" t="s">
        <v>122</v>
      </c>
      <c r="BM557" s="19" t="s">
        <v>196</v>
      </c>
      <c r="BN557" s="21">
        <v>195.44800000000001</v>
      </c>
      <c r="BO557" s="21">
        <v>5010.2117559999997</v>
      </c>
      <c r="BQ557" s="2"/>
      <c r="BR557" s="2"/>
      <c r="BS557" s="2"/>
      <c r="BT557" s="2"/>
      <c r="BU557" s="22"/>
      <c r="BV557" s="2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</row>
    <row r="558" spans="1:95" x14ac:dyDescent="0.25">
      <c r="A558" s="18">
        <v>555</v>
      </c>
      <c r="B558" s="19" t="s">
        <v>8794</v>
      </c>
      <c r="C558" s="19" t="s">
        <v>8795</v>
      </c>
      <c r="D558" s="20">
        <v>45994</v>
      </c>
      <c r="E558" s="20">
        <v>37516</v>
      </c>
      <c r="F558" s="19" t="s">
        <v>8796</v>
      </c>
      <c r="G558" s="19" t="s">
        <v>139</v>
      </c>
      <c r="H558" s="19" t="s">
        <v>94</v>
      </c>
      <c r="I558" s="19"/>
      <c r="J558" s="19"/>
      <c r="K558" s="19"/>
      <c r="L558" s="19" t="s">
        <v>244</v>
      </c>
      <c r="M558" s="19" t="s">
        <v>245</v>
      </c>
      <c r="N558" s="19" t="s">
        <v>8797</v>
      </c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 t="s">
        <v>101</v>
      </c>
      <c r="Z558" s="19" t="s">
        <v>102</v>
      </c>
      <c r="AA558" s="19" t="s">
        <v>103</v>
      </c>
      <c r="AB558" s="19" t="s">
        <v>1306</v>
      </c>
      <c r="AC558" s="19" t="s">
        <v>1307</v>
      </c>
      <c r="AD558" s="19" t="s">
        <v>8798</v>
      </c>
      <c r="AE558" s="19" t="s">
        <v>8799</v>
      </c>
      <c r="AF558" s="19" t="s">
        <v>8800</v>
      </c>
      <c r="AG558" s="19" t="s">
        <v>1300</v>
      </c>
      <c r="AH558" s="19" t="s">
        <v>1808</v>
      </c>
      <c r="AI558" s="19" t="s">
        <v>111</v>
      </c>
      <c r="AJ558" s="19" t="s">
        <v>8801</v>
      </c>
      <c r="AK558" s="19"/>
      <c r="AL558" s="19"/>
      <c r="AM558" s="19" t="s">
        <v>8802</v>
      </c>
      <c r="AN558" s="19" t="s">
        <v>8803</v>
      </c>
      <c r="AO558" s="19" t="s">
        <v>255</v>
      </c>
      <c r="AP558" s="19" t="s">
        <v>256</v>
      </c>
      <c r="AQ558" s="19" t="s">
        <v>117</v>
      </c>
      <c r="AR558" s="19" t="s">
        <v>257</v>
      </c>
      <c r="AS558" s="19" t="s">
        <v>258</v>
      </c>
      <c r="AT558" s="19" t="s">
        <v>259</v>
      </c>
      <c r="AU558" s="19" t="s">
        <v>260</v>
      </c>
      <c r="AV558" s="19" t="s">
        <v>260</v>
      </c>
      <c r="AW558" s="19" t="s">
        <v>261</v>
      </c>
      <c r="AX558" s="19" t="s">
        <v>262</v>
      </c>
      <c r="AY558" s="19" t="s">
        <v>263</v>
      </c>
      <c r="AZ558" s="19" t="s">
        <v>264</v>
      </c>
      <c r="BA558" s="20">
        <v>43627</v>
      </c>
      <c r="BB558" s="19" t="s">
        <v>2877</v>
      </c>
      <c r="BC558" s="19" t="s">
        <v>8804</v>
      </c>
      <c r="BD558" s="19" t="s">
        <v>1300</v>
      </c>
      <c r="BE558" s="19" t="s">
        <v>130</v>
      </c>
      <c r="BF558" s="19" t="s">
        <v>8805</v>
      </c>
      <c r="BG558" s="19"/>
      <c r="BH558" s="19" t="s">
        <v>8806</v>
      </c>
      <c r="BI558" s="19" t="s">
        <v>8806</v>
      </c>
      <c r="BJ558" s="19" t="s">
        <v>166</v>
      </c>
      <c r="BK558" s="19" t="s">
        <v>167</v>
      </c>
      <c r="BL558" s="19" t="s">
        <v>168</v>
      </c>
      <c r="BM558" s="19" t="s">
        <v>169</v>
      </c>
      <c r="BN558" s="21">
        <v>470.01400000000001</v>
      </c>
      <c r="BO558" s="21">
        <v>25026.177438399998</v>
      </c>
      <c r="BQ558" s="2"/>
      <c r="BR558" s="2"/>
      <c r="BS558" s="2"/>
      <c r="BT558" s="2"/>
      <c r="BU558" s="22"/>
      <c r="BV558" s="2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</row>
    <row r="559" spans="1:95" x14ac:dyDescent="0.25">
      <c r="A559" s="18">
        <v>556</v>
      </c>
      <c r="B559" s="19" t="s">
        <v>8807</v>
      </c>
      <c r="C559" s="19" t="s">
        <v>8808</v>
      </c>
      <c r="D559" s="20">
        <v>45994</v>
      </c>
      <c r="E559" s="20">
        <v>38903</v>
      </c>
      <c r="F559" s="19" t="s">
        <v>8809</v>
      </c>
      <c r="G559" s="19" t="s">
        <v>139</v>
      </c>
      <c r="H559" s="19" t="s">
        <v>94</v>
      </c>
      <c r="I559" s="19"/>
      <c r="J559" s="19"/>
      <c r="K559" s="19"/>
      <c r="L559" s="19" t="s">
        <v>244</v>
      </c>
      <c r="M559" s="19" t="s">
        <v>245</v>
      </c>
      <c r="N559" s="19" t="s">
        <v>8810</v>
      </c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 t="s">
        <v>101</v>
      </c>
      <c r="Z559" s="19" t="s">
        <v>102</v>
      </c>
      <c r="AA559" s="19" t="s">
        <v>103</v>
      </c>
      <c r="AB559" s="19" t="s">
        <v>1450</v>
      </c>
      <c r="AC559" s="19" t="s">
        <v>1451</v>
      </c>
      <c r="AD559" s="19" t="s">
        <v>8811</v>
      </c>
      <c r="AE559" s="19" t="s">
        <v>8812</v>
      </c>
      <c r="AF559" s="19" t="s">
        <v>8813</v>
      </c>
      <c r="AG559" s="19" t="s">
        <v>8814</v>
      </c>
      <c r="AH559" s="19" t="s">
        <v>327</v>
      </c>
      <c r="AI559" s="19" t="s">
        <v>111</v>
      </c>
      <c r="AJ559" s="19" t="s">
        <v>8815</v>
      </c>
      <c r="AK559" s="19"/>
      <c r="AL559" s="19"/>
      <c r="AM559" s="19" t="s">
        <v>8816</v>
      </c>
      <c r="AN559" s="19" t="s">
        <v>8817</v>
      </c>
      <c r="AO559" s="19" t="s">
        <v>255</v>
      </c>
      <c r="AP559" s="19" t="s">
        <v>256</v>
      </c>
      <c r="AQ559" s="19" t="s">
        <v>117</v>
      </c>
      <c r="AR559" s="19" t="s">
        <v>257</v>
      </c>
      <c r="AS559" s="19" t="s">
        <v>258</v>
      </c>
      <c r="AT559" s="19" t="s">
        <v>259</v>
      </c>
      <c r="AU559" s="19" t="s">
        <v>260</v>
      </c>
      <c r="AV559" s="19" t="s">
        <v>260</v>
      </c>
      <c r="AW559" s="19" t="s">
        <v>261</v>
      </c>
      <c r="AX559" s="19" t="s">
        <v>262</v>
      </c>
      <c r="AY559" s="19" t="s">
        <v>263</v>
      </c>
      <c r="AZ559" s="19" t="s">
        <v>264</v>
      </c>
      <c r="BA559" s="20">
        <v>43627</v>
      </c>
      <c r="BB559" s="19" t="s">
        <v>1002</v>
      </c>
      <c r="BC559" s="19" t="s">
        <v>1896</v>
      </c>
      <c r="BD559" s="19" t="s">
        <v>260</v>
      </c>
      <c r="BE559" s="19" t="s">
        <v>130</v>
      </c>
      <c r="BF559" s="19" t="s">
        <v>8818</v>
      </c>
      <c r="BG559" s="19"/>
      <c r="BH559" s="19" t="s">
        <v>1898</v>
      </c>
      <c r="BI559" s="19" t="s">
        <v>1898</v>
      </c>
      <c r="BJ559" s="19" t="s">
        <v>166</v>
      </c>
      <c r="BK559" s="19" t="s">
        <v>167</v>
      </c>
      <c r="BL559" s="19" t="s">
        <v>168</v>
      </c>
      <c r="BM559" s="19" t="s">
        <v>169</v>
      </c>
      <c r="BN559" s="21">
        <v>41.44</v>
      </c>
      <c r="BO559" s="21">
        <v>25170.241600000001</v>
      </c>
      <c r="BQ559" s="2"/>
      <c r="BR559" s="2"/>
      <c r="BS559" s="2"/>
      <c r="BT559" s="2"/>
      <c r="BU559" s="22"/>
      <c r="BV559" s="2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</row>
    <row r="560" spans="1:95" x14ac:dyDescent="0.25">
      <c r="A560" s="18">
        <v>557</v>
      </c>
      <c r="B560" s="19" t="s">
        <v>8819</v>
      </c>
      <c r="C560" s="19" t="s">
        <v>8820</v>
      </c>
      <c r="D560" s="20">
        <v>46000</v>
      </c>
      <c r="E560" s="20">
        <v>27825</v>
      </c>
      <c r="F560" s="19" t="s">
        <v>8821</v>
      </c>
      <c r="G560" s="19" t="s">
        <v>139</v>
      </c>
      <c r="H560" s="19" t="s">
        <v>94</v>
      </c>
      <c r="I560" s="19"/>
      <c r="J560" s="19"/>
      <c r="K560" s="19"/>
      <c r="L560" s="19" t="s">
        <v>140</v>
      </c>
      <c r="M560" s="19" t="s">
        <v>141</v>
      </c>
      <c r="N560" s="19" t="s">
        <v>8822</v>
      </c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 t="s">
        <v>101</v>
      </c>
      <c r="Z560" s="19" t="s">
        <v>102</v>
      </c>
      <c r="AA560" s="19" t="s">
        <v>103</v>
      </c>
      <c r="AB560" s="19" t="s">
        <v>1450</v>
      </c>
      <c r="AC560" s="19" t="s">
        <v>1451</v>
      </c>
      <c r="AD560" s="19" t="s">
        <v>8823</v>
      </c>
      <c r="AE560" s="19"/>
      <c r="AF560" s="19"/>
      <c r="AG560" s="19" t="s">
        <v>8824</v>
      </c>
      <c r="AH560" s="19" t="s">
        <v>757</v>
      </c>
      <c r="AI560" s="19" t="s">
        <v>111</v>
      </c>
      <c r="AJ560" s="19" t="s">
        <v>8825</v>
      </c>
      <c r="AK560" s="19"/>
      <c r="AL560" s="19" t="s">
        <v>8826</v>
      </c>
      <c r="AM560" s="19" t="s">
        <v>8827</v>
      </c>
      <c r="AN560" s="19" t="s">
        <v>8828</v>
      </c>
      <c r="AO560" s="19" t="s">
        <v>2705</v>
      </c>
      <c r="AP560" s="19" t="s">
        <v>2706</v>
      </c>
      <c r="AQ560" s="19" t="s">
        <v>117</v>
      </c>
      <c r="AR560" s="19"/>
      <c r="AS560" s="19"/>
      <c r="AT560" s="19"/>
      <c r="AU560" s="19"/>
      <c r="AV560" s="19"/>
      <c r="AW560" s="19"/>
      <c r="AX560" s="19"/>
      <c r="AY560" s="19"/>
      <c r="AZ560" s="19" t="s">
        <v>2707</v>
      </c>
      <c r="BA560" s="20">
        <v>45363</v>
      </c>
      <c r="BB560" s="19" t="s">
        <v>1388</v>
      </c>
      <c r="BC560" s="19" t="s">
        <v>8829</v>
      </c>
      <c r="BD560" s="19" t="s">
        <v>8829</v>
      </c>
      <c r="BE560" s="19" t="s">
        <v>130</v>
      </c>
      <c r="BF560" s="19" t="s">
        <v>8830</v>
      </c>
      <c r="BG560" s="19"/>
      <c r="BH560" s="19" t="s">
        <v>8831</v>
      </c>
      <c r="BI560" s="19" t="s">
        <v>8831</v>
      </c>
      <c r="BJ560" s="19" t="s">
        <v>166</v>
      </c>
      <c r="BK560" s="19" t="s">
        <v>167</v>
      </c>
      <c r="BL560" s="19" t="s">
        <v>168</v>
      </c>
      <c r="BM560" s="19" t="s">
        <v>169</v>
      </c>
      <c r="BN560" s="21">
        <v>0.83199999999999996</v>
      </c>
      <c r="BO560" s="21">
        <v>505.34848</v>
      </c>
      <c r="BQ560" s="2"/>
      <c r="BR560" s="2"/>
      <c r="BS560" s="2"/>
      <c r="BT560" s="2"/>
      <c r="BU560" s="22"/>
      <c r="BV560" s="2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</row>
    <row r="561" spans="1:95" x14ac:dyDescent="0.25">
      <c r="A561" s="18">
        <v>558</v>
      </c>
      <c r="B561" s="19" t="s">
        <v>8832</v>
      </c>
      <c r="C561" s="19" t="s">
        <v>8833</v>
      </c>
      <c r="D561" s="20">
        <v>45996</v>
      </c>
      <c r="E561" s="20">
        <v>36049</v>
      </c>
      <c r="F561" s="19"/>
      <c r="G561" s="19"/>
      <c r="H561" s="19" t="s">
        <v>94</v>
      </c>
      <c r="I561" s="19"/>
      <c r="J561" s="19"/>
      <c r="K561" s="19"/>
      <c r="L561" s="19" t="s">
        <v>1368</v>
      </c>
      <c r="M561" s="19" t="s">
        <v>468</v>
      </c>
      <c r="N561" s="19" t="s">
        <v>8834</v>
      </c>
      <c r="O561" s="19" t="s">
        <v>100</v>
      </c>
      <c r="P561" s="19"/>
      <c r="Q561" s="19"/>
      <c r="R561" s="19"/>
      <c r="S561" s="19"/>
      <c r="T561" s="19"/>
      <c r="U561" s="19"/>
      <c r="V561" s="19"/>
      <c r="W561" s="19"/>
      <c r="X561" s="19"/>
      <c r="Y561" s="19" t="s">
        <v>8835</v>
      </c>
      <c r="Z561" s="19" t="s">
        <v>8836</v>
      </c>
      <c r="AA561" s="19" t="s">
        <v>719</v>
      </c>
      <c r="AB561" s="19" t="s">
        <v>612</v>
      </c>
      <c r="AC561" s="19" t="s">
        <v>613</v>
      </c>
      <c r="AD561" s="19" t="s">
        <v>8837</v>
      </c>
      <c r="AE561" s="19" t="s">
        <v>8838</v>
      </c>
      <c r="AF561" s="19"/>
      <c r="AG561" s="19" t="s">
        <v>122</v>
      </c>
      <c r="AH561" s="19" t="s">
        <v>124</v>
      </c>
      <c r="AI561" s="19" t="s">
        <v>111</v>
      </c>
      <c r="AJ561" s="19" t="s">
        <v>8839</v>
      </c>
      <c r="AK561" s="19"/>
      <c r="AL561" s="19"/>
      <c r="AM561" s="19" t="s">
        <v>8840</v>
      </c>
      <c r="AN561" s="19" t="s">
        <v>8841</v>
      </c>
      <c r="AO561" s="19" t="s">
        <v>7474</v>
      </c>
      <c r="AP561" s="19" t="s">
        <v>7475</v>
      </c>
      <c r="AQ561" s="19" t="s">
        <v>94</v>
      </c>
      <c r="AR561" s="19" t="s">
        <v>7476</v>
      </c>
      <c r="AS561" s="19" t="s">
        <v>7477</v>
      </c>
      <c r="AT561" s="19" t="s">
        <v>7478</v>
      </c>
      <c r="AU561" s="19" t="s">
        <v>7479</v>
      </c>
      <c r="AV561" s="19" t="s">
        <v>122</v>
      </c>
      <c r="AW561" s="19" t="s">
        <v>7480</v>
      </c>
      <c r="AX561" s="19" t="s">
        <v>124</v>
      </c>
      <c r="AY561" s="19" t="s">
        <v>7481</v>
      </c>
      <c r="AZ561" s="19" t="s">
        <v>7482</v>
      </c>
      <c r="BA561" s="20">
        <v>37428</v>
      </c>
      <c r="BB561" s="19" t="s">
        <v>127</v>
      </c>
      <c r="BC561" s="19" t="s">
        <v>1286</v>
      </c>
      <c r="BD561" s="19" t="s">
        <v>219</v>
      </c>
      <c r="BE561" s="19" t="s">
        <v>130</v>
      </c>
      <c r="BF561" s="19" t="s">
        <v>8842</v>
      </c>
      <c r="BG561" s="19" t="s">
        <v>8843</v>
      </c>
      <c r="BH561" s="19" t="s">
        <v>1289</v>
      </c>
      <c r="BI561" s="19" t="s">
        <v>1289</v>
      </c>
      <c r="BJ561" s="19" t="s">
        <v>133</v>
      </c>
      <c r="BK561" s="19" t="s">
        <v>195</v>
      </c>
      <c r="BL561" s="19" t="s">
        <v>122</v>
      </c>
      <c r="BM561" s="19" t="s">
        <v>196</v>
      </c>
      <c r="BN561" s="21">
        <v>17198.679</v>
      </c>
      <c r="BO561" s="21">
        <v>9424360.1316299997</v>
      </c>
      <c r="BQ561" s="2"/>
      <c r="BR561" s="2"/>
      <c r="BS561" s="2"/>
      <c r="BT561" s="2"/>
      <c r="BU561" s="22"/>
      <c r="BV561" s="2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</row>
    <row r="562" spans="1:95" x14ac:dyDescent="0.25">
      <c r="A562" s="18">
        <v>559</v>
      </c>
      <c r="B562" s="19" t="s">
        <v>8844</v>
      </c>
      <c r="C562" s="19" t="s">
        <v>8845</v>
      </c>
      <c r="D562" s="20">
        <v>45995</v>
      </c>
      <c r="E562" s="20">
        <v>36133</v>
      </c>
      <c r="F562" s="19" t="s">
        <v>8846</v>
      </c>
      <c r="G562" s="19" t="s">
        <v>139</v>
      </c>
      <c r="H562" s="19" t="s">
        <v>94</v>
      </c>
      <c r="I562" s="19"/>
      <c r="J562" s="19"/>
      <c r="K562" s="19"/>
      <c r="L562" s="19" t="s">
        <v>244</v>
      </c>
      <c r="M562" s="19" t="s">
        <v>245</v>
      </c>
      <c r="N562" s="19" t="s">
        <v>8847</v>
      </c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 t="s">
        <v>101</v>
      </c>
      <c r="Z562" s="19" t="s">
        <v>102</v>
      </c>
      <c r="AA562" s="19" t="s">
        <v>103</v>
      </c>
      <c r="AB562" s="19" t="s">
        <v>247</v>
      </c>
      <c r="AC562" s="19" t="s">
        <v>248</v>
      </c>
      <c r="AD562" s="19" t="s">
        <v>8848</v>
      </c>
      <c r="AE562" s="19" t="s">
        <v>8849</v>
      </c>
      <c r="AF562" s="19" t="s">
        <v>8850</v>
      </c>
      <c r="AG562" s="19" t="s">
        <v>1960</v>
      </c>
      <c r="AH562" s="19" t="s">
        <v>262</v>
      </c>
      <c r="AI562" s="19" t="s">
        <v>111</v>
      </c>
      <c r="AJ562" s="19" t="s">
        <v>8851</v>
      </c>
      <c r="AK562" s="19"/>
      <c r="AL562" s="19"/>
      <c r="AM562" s="19" t="s">
        <v>8852</v>
      </c>
      <c r="AN562" s="19" t="s">
        <v>8853</v>
      </c>
      <c r="AO562" s="19" t="s">
        <v>255</v>
      </c>
      <c r="AP562" s="19" t="s">
        <v>256</v>
      </c>
      <c r="AQ562" s="19" t="s">
        <v>117</v>
      </c>
      <c r="AR562" s="19" t="s">
        <v>257</v>
      </c>
      <c r="AS562" s="19" t="s">
        <v>258</v>
      </c>
      <c r="AT562" s="19" t="s">
        <v>259</v>
      </c>
      <c r="AU562" s="19" t="s">
        <v>260</v>
      </c>
      <c r="AV562" s="19" t="s">
        <v>260</v>
      </c>
      <c r="AW562" s="19" t="s">
        <v>261</v>
      </c>
      <c r="AX562" s="19" t="s">
        <v>262</v>
      </c>
      <c r="AY562" s="19" t="s">
        <v>263</v>
      </c>
      <c r="AZ562" s="19" t="s">
        <v>264</v>
      </c>
      <c r="BA562" s="20">
        <v>43627</v>
      </c>
      <c r="BB562" s="19" t="s">
        <v>444</v>
      </c>
      <c r="BC562" s="19" t="s">
        <v>8854</v>
      </c>
      <c r="BD562" s="19" t="s">
        <v>260</v>
      </c>
      <c r="BE562" s="19" t="s">
        <v>130</v>
      </c>
      <c r="BF562" s="19" t="s">
        <v>8855</v>
      </c>
      <c r="BG562" s="19"/>
      <c r="BH562" s="19" t="s">
        <v>8856</v>
      </c>
      <c r="BI562" s="19" t="s">
        <v>8856</v>
      </c>
      <c r="BJ562" s="19" t="s">
        <v>166</v>
      </c>
      <c r="BK562" s="19" t="s">
        <v>167</v>
      </c>
      <c r="BL562" s="19" t="s">
        <v>168</v>
      </c>
      <c r="BM562" s="19" t="s">
        <v>169</v>
      </c>
      <c r="BN562" s="21">
        <v>1374.357</v>
      </c>
      <c r="BO562" s="21">
        <v>602672.58652679995</v>
      </c>
      <c r="BQ562" s="2"/>
      <c r="BR562" s="2"/>
      <c r="BS562" s="2"/>
      <c r="BT562" s="2"/>
      <c r="BU562" s="22"/>
      <c r="BV562" s="2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</row>
    <row r="563" spans="1:95" x14ac:dyDescent="0.25">
      <c r="A563" s="18">
        <v>560</v>
      </c>
      <c r="B563" s="19" t="s">
        <v>8857</v>
      </c>
      <c r="C563" s="19" t="s">
        <v>8858</v>
      </c>
      <c r="D563" s="20">
        <v>45996</v>
      </c>
      <c r="E563" s="20">
        <v>27089</v>
      </c>
      <c r="F563" s="19"/>
      <c r="G563" s="19"/>
      <c r="H563" s="19" t="s">
        <v>94</v>
      </c>
      <c r="I563" s="19"/>
      <c r="J563" s="19"/>
      <c r="K563" s="19"/>
      <c r="L563" s="19" t="s">
        <v>140</v>
      </c>
      <c r="M563" s="19" t="s">
        <v>141</v>
      </c>
      <c r="N563" s="19" t="s">
        <v>8859</v>
      </c>
      <c r="O563" s="19" t="s">
        <v>100</v>
      </c>
      <c r="P563" s="19"/>
      <c r="Q563" s="19"/>
      <c r="R563" s="19"/>
      <c r="S563" s="19"/>
      <c r="T563" s="19"/>
      <c r="U563" s="19"/>
      <c r="V563" s="19"/>
      <c r="W563" s="19"/>
      <c r="X563" s="19"/>
      <c r="Y563" s="19" t="s">
        <v>101</v>
      </c>
      <c r="Z563" s="19" t="s">
        <v>102</v>
      </c>
      <c r="AA563" s="19" t="s">
        <v>103</v>
      </c>
      <c r="AB563" s="19" t="s">
        <v>812</v>
      </c>
      <c r="AC563" s="19" t="s">
        <v>813</v>
      </c>
      <c r="AD563" s="19" t="s">
        <v>8860</v>
      </c>
      <c r="AE563" s="19" t="s">
        <v>8861</v>
      </c>
      <c r="AF563" s="19" t="s">
        <v>4042</v>
      </c>
      <c r="AG563" s="19" t="s">
        <v>8862</v>
      </c>
      <c r="AH563" s="19" t="s">
        <v>110</v>
      </c>
      <c r="AI563" s="19" t="s">
        <v>111</v>
      </c>
      <c r="AJ563" s="19" t="s">
        <v>8863</v>
      </c>
      <c r="AK563" s="19"/>
      <c r="AL563" s="19"/>
      <c r="AM563" s="19" t="s">
        <v>8864</v>
      </c>
      <c r="AN563" s="19" t="s">
        <v>8865</v>
      </c>
      <c r="AO563" s="19" t="s">
        <v>579</v>
      </c>
      <c r="AP563" s="19" t="s">
        <v>580</v>
      </c>
      <c r="AQ563" s="19" t="s">
        <v>117</v>
      </c>
      <c r="AR563" s="19" t="s">
        <v>581</v>
      </c>
      <c r="AS563" s="19" t="s">
        <v>582</v>
      </c>
      <c r="AT563" s="19" t="s">
        <v>583</v>
      </c>
      <c r="AU563" s="19" t="s">
        <v>584</v>
      </c>
      <c r="AV563" s="19" t="s">
        <v>168</v>
      </c>
      <c r="AW563" s="19" t="s">
        <v>585</v>
      </c>
      <c r="AX563" s="19" t="s">
        <v>262</v>
      </c>
      <c r="AY563" s="19" t="s">
        <v>586</v>
      </c>
      <c r="AZ563" s="19" t="s">
        <v>587</v>
      </c>
      <c r="BA563" s="20">
        <v>44494</v>
      </c>
      <c r="BB563" s="19" t="s">
        <v>331</v>
      </c>
      <c r="BC563" s="19" t="s">
        <v>8866</v>
      </c>
      <c r="BD563" s="19" t="s">
        <v>8866</v>
      </c>
      <c r="BE563" s="19" t="s">
        <v>130</v>
      </c>
      <c r="BF563" s="19" t="s">
        <v>8867</v>
      </c>
      <c r="BG563" s="19"/>
      <c r="BH563" s="19" t="s">
        <v>8868</v>
      </c>
      <c r="BI563" s="19" t="s">
        <v>8868</v>
      </c>
      <c r="BJ563" s="19" t="s">
        <v>194</v>
      </c>
      <c r="BK563" s="19" t="s">
        <v>591</v>
      </c>
      <c r="BL563" s="19" t="s">
        <v>122</v>
      </c>
      <c r="BM563" s="19" t="s">
        <v>592</v>
      </c>
      <c r="BN563" s="21">
        <v>0</v>
      </c>
      <c r="BO563" s="21">
        <v>0</v>
      </c>
      <c r="BQ563" s="2"/>
      <c r="BR563" s="2"/>
      <c r="BS563" s="2"/>
      <c r="BT563" s="2"/>
      <c r="BU563" s="22"/>
      <c r="BV563" s="2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</row>
    <row r="564" spans="1:95" x14ac:dyDescent="0.25">
      <c r="A564" s="18">
        <v>561</v>
      </c>
      <c r="B564" s="19" t="s">
        <v>8869</v>
      </c>
      <c r="C564" s="19" t="s">
        <v>8870</v>
      </c>
      <c r="D564" s="20">
        <v>46006</v>
      </c>
      <c r="E564" s="20">
        <v>31593</v>
      </c>
      <c r="F564" s="19" t="s">
        <v>8871</v>
      </c>
      <c r="G564" s="19" t="s">
        <v>1248</v>
      </c>
      <c r="H564" s="19" t="s">
        <v>94</v>
      </c>
      <c r="I564" s="19"/>
      <c r="J564" s="19"/>
      <c r="K564" s="19"/>
      <c r="L564" s="19" t="s">
        <v>140</v>
      </c>
      <c r="M564" s="19" t="s">
        <v>141</v>
      </c>
      <c r="N564" s="19" t="s">
        <v>8872</v>
      </c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 t="s">
        <v>101</v>
      </c>
      <c r="Z564" s="19" t="s">
        <v>102</v>
      </c>
      <c r="AA564" s="19" t="s">
        <v>103</v>
      </c>
      <c r="AB564" s="19" t="s">
        <v>487</v>
      </c>
      <c r="AC564" s="19" t="s">
        <v>488</v>
      </c>
      <c r="AD564" s="19" t="s">
        <v>8873</v>
      </c>
      <c r="AE564" s="19" t="s">
        <v>8874</v>
      </c>
      <c r="AF564" s="19" t="s">
        <v>8875</v>
      </c>
      <c r="AG564" s="19" t="s">
        <v>219</v>
      </c>
      <c r="AH564" s="19" t="s">
        <v>124</v>
      </c>
      <c r="AI564" s="19" t="s">
        <v>111</v>
      </c>
      <c r="AJ564" s="19" t="s">
        <v>8876</v>
      </c>
      <c r="AK564" s="19"/>
      <c r="AL564" s="19"/>
      <c r="AM564" s="19" t="s">
        <v>8877</v>
      </c>
      <c r="AN564" s="19" t="s">
        <v>8878</v>
      </c>
      <c r="AO564" s="19" t="s">
        <v>1095</v>
      </c>
      <c r="AP564" s="19" t="s">
        <v>1096</v>
      </c>
      <c r="AQ564" s="19" t="s">
        <v>117</v>
      </c>
      <c r="AR564" s="19" t="s">
        <v>1097</v>
      </c>
      <c r="AS564" s="19" t="s">
        <v>1098</v>
      </c>
      <c r="AT564" s="19" t="s">
        <v>1099</v>
      </c>
      <c r="AU564" s="19" t="s">
        <v>1100</v>
      </c>
      <c r="AV564" s="19" t="s">
        <v>219</v>
      </c>
      <c r="AW564" s="19" t="s">
        <v>1101</v>
      </c>
      <c r="AX564" s="19" t="s">
        <v>124</v>
      </c>
      <c r="AY564" s="19"/>
      <c r="AZ564" s="19" t="s">
        <v>1102</v>
      </c>
      <c r="BA564" s="20">
        <v>40110</v>
      </c>
      <c r="BB564" s="19" t="s">
        <v>444</v>
      </c>
      <c r="BC564" s="19" t="s">
        <v>8879</v>
      </c>
      <c r="BD564" s="19" t="s">
        <v>219</v>
      </c>
      <c r="BE564" s="19" t="s">
        <v>130</v>
      </c>
      <c r="BF564" s="19" t="s">
        <v>8880</v>
      </c>
      <c r="BG564" s="19"/>
      <c r="BH564" s="19" t="s">
        <v>5499</v>
      </c>
      <c r="BI564" s="19" t="s">
        <v>5499</v>
      </c>
      <c r="BJ564" s="19" t="s">
        <v>1259</v>
      </c>
      <c r="BK564" s="19" t="s">
        <v>591</v>
      </c>
      <c r="BL564" s="19" t="s">
        <v>122</v>
      </c>
      <c r="BM564" s="19" t="s">
        <v>592</v>
      </c>
      <c r="BN564" s="21">
        <v>115.785</v>
      </c>
      <c r="BO564" s="21">
        <v>50135.692338000001</v>
      </c>
      <c r="BQ564" s="2"/>
      <c r="BR564" s="2"/>
      <c r="BS564" s="2"/>
      <c r="BT564" s="2"/>
      <c r="BU564" s="22"/>
      <c r="BV564" s="2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</row>
    <row r="565" spans="1:95" x14ac:dyDescent="0.25">
      <c r="A565" s="18">
        <v>562</v>
      </c>
      <c r="B565" s="19" t="s">
        <v>8881</v>
      </c>
      <c r="C565" s="19" t="s">
        <v>8882</v>
      </c>
      <c r="D565" s="20">
        <v>46013</v>
      </c>
      <c r="E565" s="20">
        <v>32095</v>
      </c>
      <c r="F565" s="19" t="s">
        <v>8883</v>
      </c>
      <c r="G565" s="19" t="s">
        <v>139</v>
      </c>
      <c r="H565" s="19" t="s">
        <v>94</v>
      </c>
      <c r="I565" s="19"/>
      <c r="J565" s="19"/>
      <c r="K565" s="19"/>
      <c r="L565" s="19" t="s">
        <v>101</v>
      </c>
      <c r="M565" s="19" t="s">
        <v>290</v>
      </c>
      <c r="N565" s="19" t="s">
        <v>8884</v>
      </c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 t="s">
        <v>101</v>
      </c>
      <c r="Z565" s="19" t="s">
        <v>102</v>
      </c>
      <c r="AA565" s="19" t="s">
        <v>103</v>
      </c>
      <c r="AB565" s="19" t="s">
        <v>2051</v>
      </c>
      <c r="AC565" s="19" t="s">
        <v>2052</v>
      </c>
      <c r="AD565" s="19" t="s">
        <v>8885</v>
      </c>
      <c r="AE565" s="19" t="s">
        <v>8886</v>
      </c>
      <c r="AF565" s="19" t="s">
        <v>8887</v>
      </c>
      <c r="AG565" s="19" t="s">
        <v>148</v>
      </c>
      <c r="AH565" s="19" t="s">
        <v>149</v>
      </c>
      <c r="AI565" s="19" t="s">
        <v>111</v>
      </c>
      <c r="AJ565" s="19" t="s">
        <v>8888</v>
      </c>
      <c r="AK565" s="19"/>
      <c r="AL565" s="19"/>
      <c r="AM565" s="19" t="s">
        <v>8889</v>
      </c>
      <c r="AN565" s="19" t="s">
        <v>8890</v>
      </c>
      <c r="AO565" s="19" t="s">
        <v>476</v>
      </c>
      <c r="AP565" s="19" t="s">
        <v>477</v>
      </c>
      <c r="AQ565" s="19" t="s">
        <v>117</v>
      </c>
      <c r="AR565" s="19" t="s">
        <v>478</v>
      </c>
      <c r="AS565" s="19"/>
      <c r="AT565" s="19"/>
      <c r="AU565" s="19"/>
      <c r="AV565" s="19"/>
      <c r="AW565" s="19"/>
      <c r="AX565" s="19"/>
      <c r="AY565" s="19"/>
      <c r="AZ565" s="19"/>
      <c r="BA565" s="20">
        <v>44452</v>
      </c>
      <c r="BB565" s="19" t="s">
        <v>161</v>
      </c>
      <c r="BC565" s="19" t="s">
        <v>8891</v>
      </c>
      <c r="BD565" s="19" t="s">
        <v>148</v>
      </c>
      <c r="BE565" s="19" t="s">
        <v>130</v>
      </c>
      <c r="BF565" s="19" t="s">
        <v>8892</v>
      </c>
      <c r="BG565" s="19"/>
      <c r="BH565" s="19" t="s">
        <v>8893</v>
      </c>
      <c r="BI565" s="19" t="s">
        <v>8893</v>
      </c>
      <c r="BJ565" s="19" t="s">
        <v>166</v>
      </c>
      <c r="BK565" s="19" t="s">
        <v>167</v>
      </c>
      <c r="BL565" s="19" t="s">
        <v>168</v>
      </c>
      <c r="BM565" s="19" t="s">
        <v>169</v>
      </c>
      <c r="BN565" s="21">
        <v>450.93200000000002</v>
      </c>
      <c r="BO565" s="21">
        <v>4994.2973659999998</v>
      </c>
      <c r="BQ565" s="2"/>
      <c r="BR565" s="2"/>
      <c r="BS565" s="2"/>
      <c r="BT565" s="2"/>
      <c r="BU565" s="22"/>
      <c r="BV565" s="2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</row>
    <row r="566" spans="1:95" x14ac:dyDescent="0.25">
      <c r="A566" s="18">
        <v>563</v>
      </c>
      <c r="B566" s="19" t="s">
        <v>8894</v>
      </c>
      <c r="C566" s="19" t="s">
        <v>8895</v>
      </c>
      <c r="D566" s="20">
        <v>46008</v>
      </c>
      <c r="E566" s="20">
        <v>32784</v>
      </c>
      <c r="F566" s="19"/>
      <c r="G566" s="19"/>
      <c r="H566" s="19" t="s">
        <v>94</v>
      </c>
      <c r="I566" s="19"/>
      <c r="J566" s="19"/>
      <c r="K566" s="19"/>
      <c r="L566" s="19" t="s">
        <v>97</v>
      </c>
      <c r="M566" s="19" t="s">
        <v>98</v>
      </c>
      <c r="N566" s="19" t="s">
        <v>8896</v>
      </c>
      <c r="O566" s="19" t="s">
        <v>100</v>
      </c>
      <c r="P566" s="19"/>
      <c r="Q566" s="19"/>
      <c r="R566" s="19"/>
      <c r="S566" s="19"/>
      <c r="T566" s="19"/>
      <c r="U566" s="19"/>
      <c r="V566" s="19"/>
      <c r="W566" s="19"/>
      <c r="X566" s="19"/>
      <c r="Y566" s="19" t="s">
        <v>101</v>
      </c>
      <c r="Z566" s="19" t="s">
        <v>102</v>
      </c>
      <c r="AA566" s="19" t="s">
        <v>103</v>
      </c>
      <c r="AB566" s="19" t="s">
        <v>8897</v>
      </c>
      <c r="AC566" s="19" t="s">
        <v>8898</v>
      </c>
      <c r="AD566" s="19" t="s">
        <v>8899</v>
      </c>
      <c r="AE566" s="19" t="s">
        <v>8900</v>
      </c>
      <c r="AF566" s="19" t="s">
        <v>8901</v>
      </c>
      <c r="AG566" s="19" t="s">
        <v>219</v>
      </c>
      <c r="AH566" s="19" t="s">
        <v>124</v>
      </c>
      <c r="AI566" s="19" t="s">
        <v>111</v>
      </c>
      <c r="AJ566" s="19" t="s">
        <v>8902</v>
      </c>
      <c r="AK566" s="19"/>
      <c r="AL566" s="19"/>
      <c r="AM566" s="19" t="s">
        <v>8903</v>
      </c>
      <c r="AN566" s="19" t="s">
        <v>8904</v>
      </c>
      <c r="AO566" s="19" t="s">
        <v>2797</v>
      </c>
      <c r="AP566" s="19" t="s">
        <v>1034</v>
      </c>
      <c r="AQ566" s="19" t="s">
        <v>94</v>
      </c>
      <c r="AR566" s="19" t="s">
        <v>1035</v>
      </c>
      <c r="AS566" s="19" t="s">
        <v>2798</v>
      </c>
      <c r="AT566" s="19" t="s">
        <v>2799</v>
      </c>
      <c r="AU566" s="19" t="s">
        <v>2800</v>
      </c>
      <c r="AV566" s="19" t="s">
        <v>2800</v>
      </c>
      <c r="AW566" s="19" t="s">
        <v>1755</v>
      </c>
      <c r="AX566" s="19" t="s">
        <v>188</v>
      </c>
      <c r="AY566" s="19" t="s">
        <v>2801</v>
      </c>
      <c r="AZ566" s="19" t="s">
        <v>2802</v>
      </c>
      <c r="BA566" s="20">
        <v>45467</v>
      </c>
      <c r="BB566" s="19" t="s">
        <v>444</v>
      </c>
      <c r="BC566" s="19" t="s">
        <v>8905</v>
      </c>
      <c r="BD566" s="19" t="s">
        <v>219</v>
      </c>
      <c r="BE566" s="19" t="s">
        <v>130</v>
      </c>
      <c r="BF566" s="19" t="s">
        <v>8906</v>
      </c>
      <c r="BG566" s="19"/>
      <c r="BH566" s="19" t="s">
        <v>8907</v>
      </c>
      <c r="BI566" s="19" t="s">
        <v>8907</v>
      </c>
      <c r="BJ566" s="19" t="s">
        <v>194</v>
      </c>
      <c r="BK566" s="19" t="s">
        <v>1043</v>
      </c>
      <c r="BL566" s="19" t="s">
        <v>1044</v>
      </c>
      <c r="BM566" s="19" t="s">
        <v>1045</v>
      </c>
      <c r="BN566" s="21">
        <v>118.62</v>
      </c>
      <c r="BO566" s="21">
        <v>2036.64609</v>
      </c>
      <c r="BQ566" s="2"/>
      <c r="BR566" s="2"/>
      <c r="BS566" s="2"/>
      <c r="BT566" s="2"/>
      <c r="BU566" s="22"/>
      <c r="BV566" s="2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</row>
    <row r="567" spans="1:95" x14ac:dyDescent="0.25">
      <c r="A567" s="18">
        <v>564</v>
      </c>
      <c r="B567" s="19" t="s">
        <v>8908</v>
      </c>
      <c r="C567" s="19" t="s">
        <v>8909</v>
      </c>
      <c r="D567" s="20">
        <v>46008</v>
      </c>
      <c r="E567" s="20">
        <v>19238</v>
      </c>
      <c r="F567" s="19"/>
      <c r="G567" s="19"/>
      <c r="H567" s="19" t="s">
        <v>94</v>
      </c>
      <c r="I567" s="19"/>
      <c r="J567" s="19"/>
      <c r="K567" s="19"/>
      <c r="L567" s="19" t="s">
        <v>467</v>
      </c>
      <c r="M567" s="19" t="s">
        <v>468</v>
      </c>
      <c r="N567" s="19" t="s">
        <v>8910</v>
      </c>
      <c r="O567" s="19" t="s">
        <v>100</v>
      </c>
      <c r="P567" s="19"/>
      <c r="Q567" s="19"/>
      <c r="R567" s="19"/>
      <c r="S567" s="19" t="s">
        <v>8911</v>
      </c>
      <c r="T567" s="19" t="s">
        <v>8912</v>
      </c>
      <c r="U567" s="19" t="s">
        <v>100</v>
      </c>
      <c r="V567" s="19"/>
      <c r="W567" s="19"/>
      <c r="X567" s="19"/>
      <c r="Y567" s="19" t="s">
        <v>101</v>
      </c>
      <c r="Z567" s="19" t="s">
        <v>102</v>
      </c>
      <c r="AA567" s="19" t="s">
        <v>103</v>
      </c>
      <c r="AB567" s="19" t="s">
        <v>789</v>
      </c>
      <c r="AC567" s="19" t="s">
        <v>790</v>
      </c>
      <c r="AD567" s="19" t="s">
        <v>8913</v>
      </c>
      <c r="AE567" s="19" t="s">
        <v>8914</v>
      </c>
      <c r="AF567" s="19" t="s">
        <v>8915</v>
      </c>
      <c r="AG567" s="19" t="s">
        <v>6652</v>
      </c>
      <c r="AH567" s="19" t="s">
        <v>327</v>
      </c>
      <c r="AI567" s="19" t="s">
        <v>111</v>
      </c>
      <c r="AJ567" s="19" t="s">
        <v>747</v>
      </c>
      <c r="AK567" s="19"/>
      <c r="AL567" s="19"/>
      <c r="AM567" s="19" t="s">
        <v>8916</v>
      </c>
      <c r="AN567" s="19"/>
      <c r="AO567" s="19" t="s">
        <v>8917</v>
      </c>
      <c r="AP567" s="19" t="s">
        <v>8918</v>
      </c>
      <c r="AQ567" s="19" t="s">
        <v>117</v>
      </c>
      <c r="AR567" s="19" t="s">
        <v>8919</v>
      </c>
      <c r="AS567" s="19" t="s">
        <v>8920</v>
      </c>
      <c r="AT567" s="19" t="s">
        <v>8921</v>
      </c>
      <c r="AU567" s="19" t="s">
        <v>8017</v>
      </c>
      <c r="AV567" s="19" t="s">
        <v>6652</v>
      </c>
      <c r="AW567" s="19" t="s">
        <v>747</v>
      </c>
      <c r="AX567" s="19" t="s">
        <v>327</v>
      </c>
      <c r="AY567" s="19" t="s">
        <v>8922</v>
      </c>
      <c r="AZ567" s="19" t="s">
        <v>8923</v>
      </c>
      <c r="BA567" s="20">
        <v>38285</v>
      </c>
      <c r="BB567" s="19" t="s">
        <v>349</v>
      </c>
      <c r="BC567" s="19" t="s">
        <v>8924</v>
      </c>
      <c r="BD567" s="19" t="s">
        <v>6652</v>
      </c>
      <c r="BE567" s="19" t="s">
        <v>130</v>
      </c>
      <c r="BF567" s="19" t="s">
        <v>8925</v>
      </c>
      <c r="BG567" s="19"/>
      <c r="BH567" s="19" t="s">
        <v>8926</v>
      </c>
      <c r="BI567" s="19" t="s">
        <v>8926</v>
      </c>
      <c r="BJ567" s="19" t="s">
        <v>194</v>
      </c>
      <c r="BK567" s="19" t="s">
        <v>591</v>
      </c>
      <c r="BL567" s="19" t="s">
        <v>122</v>
      </c>
      <c r="BM567" s="19" t="s">
        <v>592</v>
      </c>
      <c r="BN567" s="21">
        <v>127.22</v>
      </c>
      <c r="BO567" s="21">
        <v>2526.5891999999999</v>
      </c>
      <c r="BQ567" s="2"/>
      <c r="BR567" s="2"/>
      <c r="BS567" s="2"/>
      <c r="BT567" s="2"/>
      <c r="BU567" s="22"/>
      <c r="BV567" s="2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</row>
    <row r="568" spans="1:95" x14ac:dyDescent="0.25">
      <c r="A568" s="18">
        <v>565</v>
      </c>
      <c r="B568" s="19" t="s">
        <v>8927</v>
      </c>
      <c r="C568" s="19" t="s">
        <v>8928</v>
      </c>
      <c r="D568" s="20">
        <v>46013</v>
      </c>
      <c r="E568" s="20">
        <v>37196</v>
      </c>
      <c r="F568" s="19" t="s">
        <v>8929</v>
      </c>
      <c r="G568" s="19" t="s">
        <v>139</v>
      </c>
      <c r="H568" s="19" t="s">
        <v>94</v>
      </c>
      <c r="I568" s="19"/>
      <c r="J568" s="19"/>
      <c r="K568" s="19"/>
      <c r="L568" s="19" t="s">
        <v>244</v>
      </c>
      <c r="M568" s="19" t="s">
        <v>245</v>
      </c>
      <c r="N568" s="19" t="s">
        <v>8930</v>
      </c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 t="s">
        <v>101</v>
      </c>
      <c r="Z568" s="19" t="s">
        <v>102</v>
      </c>
      <c r="AA568" s="19" t="s">
        <v>103</v>
      </c>
      <c r="AB568" s="19" t="s">
        <v>173</v>
      </c>
      <c r="AC568" s="19" t="s">
        <v>174</v>
      </c>
      <c r="AD568" s="19" t="s">
        <v>8931</v>
      </c>
      <c r="AE568" s="19" t="s">
        <v>8932</v>
      </c>
      <c r="AF568" s="19"/>
      <c r="AG568" s="19" t="s">
        <v>4714</v>
      </c>
      <c r="AH568" s="19" t="s">
        <v>327</v>
      </c>
      <c r="AI568" s="19" t="s">
        <v>111</v>
      </c>
      <c r="AJ568" s="19" t="s">
        <v>8933</v>
      </c>
      <c r="AK568" s="19"/>
      <c r="AL568" s="19"/>
      <c r="AM568" s="19" t="s">
        <v>8934</v>
      </c>
      <c r="AN568" s="19" t="s">
        <v>8935</v>
      </c>
      <c r="AO568" s="19" t="s">
        <v>255</v>
      </c>
      <c r="AP568" s="19" t="s">
        <v>256</v>
      </c>
      <c r="AQ568" s="19" t="s">
        <v>117</v>
      </c>
      <c r="AR568" s="19" t="s">
        <v>257</v>
      </c>
      <c r="AS568" s="19" t="s">
        <v>258</v>
      </c>
      <c r="AT568" s="19" t="s">
        <v>259</v>
      </c>
      <c r="AU568" s="19" t="s">
        <v>260</v>
      </c>
      <c r="AV568" s="19" t="s">
        <v>260</v>
      </c>
      <c r="AW568" s="19" t="s">
        <v>261</v>
      </c>
      <c r="AX568" s="19" t="s">
        <v>262</v>
      </c>
      <c r="AY568" s="19" t="s">
        <v>263</v>
      </c>
      <c r="AZ568" s="19" t="s">
        <v>264</v>
      </c>
      <c r="BA568" s="20">
        <v>43627</v>
      </c>
      <c r="BB568" s="19" t="s">
        <v>363</v>
      </c>
      <c r="BC568" s="19" t="s">
        <v>8936</v>
      </c>
      <c r="BD568" s="19" t="s">
        <v>8936</v>
      </c>
      <c r="BE568" s="19" t="s">
        <v>130</v>
      </c>
      <c r="BF568" s="19" t="s">
        <v>8937</v>
      </c>
      <c r="BG568" s="19"/>
      <c r="BH568" s="19" t="s">
        <v>8938</v>
      </c>
      <c r="BI568" s="19" t="s">
        <v>8938</v>
      </c>
      <c r="BJ568" s="19" t="s">
        <v>166</v>
      </c>
      <c r="BK568" s="19" t="s">
        <v>167</v>
      </c>
      <c r="BL568" s="19" t="s">
        <v>168</v>
      </c>
      <c r="BM568" s="19" t="s">
        <v>169</v>
      </c>
      <c r="BN568" s="21">
        <v>183.173</v>
      </c>
      <c r="BO568" s="21">
        <v>6488.7569866000003</v>
      </c>
      <c r="BQ568" s="2"/>
      <c r="BR568" s="2"/>
      <c r="BS568" s="2"/>
      <c r="BT568" s="2"/>
      <c r="BU568" s="22"/>
      <c r="BV568" s="2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</row>
    <row r="569" spans="1:95" x14ac:dyDescent="0.25">
      <c r="A569" s="18">
        <v>566</v>
      </c>
      <c r="B569" s="19" t="s">
        <v>8939</v>
      </c>
      <c r="C569" s="19" t="s">
        <v>8940</v>
      </c>
      <c r="D569" s="20">
        <v>46013</v>
      </c>
      <c r="E569" s="20">
        <v>34622</v>
      </c>
      <c r="F569" s="19"/>
      <c r="G569" s="19"/>
      <c r="H569" s="19" t="s">
        <v>94</v>
      </c>
      <c r="I569" s="19"/>
      <c r="J569" s="19"/>
      <c r="K569" s="19"/>
      <c r="L569" s="19" t="s">
        <v>140</v>
      </c>
      <c r="M569" s="19" t="s">
        <v>141</v>
      </c>
      <c r="N569" s="19" t="s">
        <v>8941</v>
      </c>
      <c r="O569" s="19" t="s">
        <v>100</v>
      </c>
      <c r="P569" s="19"/>
      <c r="Q569" s="19"/>
      <c r="R569" s="19"/>
      <c r="S569" s="19"/>
      <c r="T569" s="19"/>
      <c r="U569" s="19"/>
      <c r="V569" s="19"/>
      <c r="W569" s="19"/>
      <c r="X569" s="19"/>
      <c r="Y569" s="19" t="s">
        <v>101</v>
      </c>
      <c r="Z569" s="19" t="s">
        <v>102</v>
      </c>
      <c r="AA569" s="19" t="s">
        <v>103</v>
      </c>
      <c r="AB569" s="19" t="s">
        <v>1025</v>
      </c>
      <c r="AC569" s="19" t="s">
        <v>1026</v>
      </c>
      <c r="AD569" s="19" t="s">
        <v>8942</v>
      </c>
      <c r="AE569" s="19" t="s">
        <v>8943</v>
      </c>
      <c r="AF569" s="19"/>
      <c r="AG569" s="19" t="s">
        <v>326</v>
      </c>
      <c r="AH569" s="19" t="s">
        <v>327</v>
      </c>
      <c r="AI569" s="19" t="s">
        <v>111</v>
      </c>
      <c r="AJ569" s="19" t="s">
        <v>8944</v>
      </c>
      <c r="AK569" s="19"/>
      <c r="AL569" s="19"/>
      <c r="AM569" s="19" t="s">
        <v>8945</v>
      </c>
      <c r="AN569" s="19" t="s">
        <v>8946</v>
      </c>
      <c r="AO569" s="19" t="s">
        <v>579</v>
      </c>
      <c r="AP569" s="19" t="s">
        <v>580</v>
      </c>
      <c r="AQ569" s="19" t="s">
        <v>117</v>
      </c>
      <c r="AR569" s="19" t="s">
        <v>581</v>
      </c>
      <c r="AS569" s="19" t="s">
        <v>582</v>
      </c>
      <c r="AT569" s="19" t="s">
        <v>583</v>
      </c>
      <c r="AU569" s="19" t="s">
        <v>584</v>
      </c>
      <c r="AV569" s="19" t="s">
        <v>168</v>
      </c>
      <c r="AW569" s="19" t="s">
        <v>585</v>
      </c>
      <c r="AX569" s="19" t="s">
        <v>262</v>
      </c>
      <c r="AY569" s="19" t="s">
        <v>586</v>
      </c>
      <c r="AZ569" s="19" t="s">
        <v>587</v>
      </c>
      <c r="BA569" s="20">
        <v>44494</v>
      </c>
      <c r="BB569" s="19" t="s">
        <v>331</v>
      </c>
      <c r="BC569" s="19" t="s">
        <v>8947</v>
      </c>
      <c r="BD569" s="19" t="s">
        <v>4714</v>
      </c>
      <c r="BE569" s="19" t="s">
        <v>130</v>
      </c>
      <c r="BF569" s="19" t="s">
        <v>8948</v>
      </c>
      <c r="BG569" s="19"/>
      <c r="BH569" s="19" t="s">
        <v>8949</v>
      </c>
      <c r="BI569" s="19" t="s">
        <v>8949</v>
      </c>
      <c r="BJ569" s="19" t="s">
        <v>194</v>
      </c>
      <c r="BK569" s="19" t="s">
        <v>591</v>
      </c>
      <c r="BL569" s="19" t="s">
        <v>122</v>
      </c>
      <c r="BM569" s="19" t="s">
        <v>592</v>
      </c>
      <c r="BN569" s="21">
        <v>6.2169999999999996</v>
      </c>
      <c r="BO569" s="21">
        <v>216.2571016</v>
      </c>
      <c r="BQ569" s="2"/>
      <c r="BR569" s="2"/>
      <c r="BS569" s="2"/>
      <c r="BT569" s="2"/>
      <c r="BU569" s="22"/>
      <c r="BV569" s="2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</row>
    <row r="570" spans="1:95" x14ac:dyDescent="0.25">
      <c r="A570" s="18">
        <v>567</v>
      </c>
      <c r="B570" s="19" t="s">
        <v>8950</v>
      </c>
      <c r="C570" s="19" t="s">
        <v>8951</v>
      </c>
      <c r="D570" s="20">
        <v>46009</v>
      </c>
      <c r="E570" s="20">
        <v>38325</v>
      </c>
      <c r="F570" s="19" t="s">
        <v>8952</v>
      </c>
      <c r="G570" s="19" t="s">
        <v>139</v>
      </c>
      <c r="H570" s="19" t="s">
        <v>117</v>
      </c>
      <c r="I570" s="19" t="s">
        <v>8953</v>
      </c>
      <c r="J570" s="19"/>
      <c r="K570" s="19"/>
      <c r="L570" s="19" t="s">
        <v>101</v>
      </c>
      <c r="M570" s="19" t="s">
        <v>290</v>
      </c>
      <c r="N570" s="19" t="s">
        <v>8954</v>
      </c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 t="s">
        <v>101</v>
      </c>
      <c r="Z570" s="19" t="s">
        <v>102</v>
      </c>
      <c r="AA570" s="19" t="s">
        <v>103</v>
      </c>
      <c r="AB570" s="19" t="s">
        <v>402</v>
      </c>
      <c r="AC570" s="19" t="s">
        <v>403</v>
      </c>
      <c r="AD570" s="19" t="s">
        <v>8955</v>
      </c>
      <c r="AE570" s="19" t="s">
        <v>8956</v>
      </c>
      <c r="AF570" s="19" t="s">
        <v>8957</v>
      </c>
      <c r="AG570" s="19" t="s">
        <v>8958</v>
      </c>
      <c r="AH570" s="19" t="s">
        <v>149</v>
      </c>
      <c r="AI570" s="19"/>
      <c r="AJ570" s="19" t="s">
        <v>8959</v>
      </c>
      <c r="AK570" s="19"/>
      <c r="AL570" s="19"/>
      <c r="AM570" s="19" t="s">
        <v>8960</v>
      </c>
      <c r="AN570" s="19" t="s">
        <v>8961</v>
      </c>
      <c r="AO570" s="19" t="s">
        <v>4174</v>
      </c>
      <c r="AP570" s="19" t="s">
        <v>4175</v>
      </c>
      <c r="AQ570" s="19" t="s">
        <v>117</v>
      </c>
      <c r="AR570" s="19" t="s">
        <v>4176</v>
      </c>
      <c r="AS570" s="19" t="s">
        <v>4177</v>
      </c>
      <c r="AT570" s="19" t="s">
        <v>4178</v>
      </c>
      <c r="AU570" s="19" t="s">
        <v>4179</v>
      </c>
      <c r="AV570" s="19" t="s">
        <v>3837</v>
      </c>
      <c r="AW570" s="19" t="s">
        <v>4180</v>
      </c>
      <c r="AX570" s="19" t="s">
        <v>149</v>
      </c>
      <c r="AY570" s="19" t="s">
        <v>4181</v>
      </c>
      <c r="AZ570" s="19" t="s">
        <v>4182</v>
      </c>
      <c r="BA570" s="20">
        <v>39037</v>
      </c>
      <c r="BB570" s="19" t="s">
        <v>265</v>
      </c>
      <c r="BC570" s="19" t="s">
        <v>8958</v>
      </c>
      <c r="BD570" s="19" t="s">
        <v>8962</v>
      </c>
      <c r="BE570" s="19" t="s">
        <v>130</v>
      </c>
      <c r="BF570" s="19" t="s">
        <v>8963</v>
      </c>
      <c r="BG570" s="19"/>
      <c r="BH570" s="19" t="s">
        <v>8964</v>
      </c>
      <c r="BI570" s="19" t="s">
        <v>8964</v>
      </c>
      <c r="BJ570" s="19" t="s">
        <v>166</v>
      </c>
      <c r="BK570" s="19" t="s">
        <v>907</v>
      </c>
      <c r="BL570" s="19" t="s">
        <v>122</v>
      </c>
      <c r="BM570" s="19" t="s">
        <v>592</v>
      </c>
      <c r="BN570" s="21">
        <v>0.53500000000000003</v>
      </c>
      <c r="BO570" s="21">
        <v>1012.93155</v>
      </c>
      <c r="BQ570" s="2"/>
      <c r="BR570" s="2"/>
      <c r="BS570" s="2"/>
      <c r="BT570" s="2"/>
      <c r="BU570" s="22"/>
      <c r="BV570" s="2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</row>
    <row r="571" spans="1:95" x14ac:dyDescent="0.25">
      <c r="A571" s="18">
        <v>568</v>
      </c>
      <c r="B571" s="19" t="s">
        <v>8965</v>
      </c>
      <c r="C571" s="19" t="s">
        <v>8966</v>
      </c>
      <c r="D571" s="20">
        <v>46013</v>
      </c>
      <c r="E571" s="20">
        <v>25736</v>
      </c>
      <c r="F571" s="19" t="s">
        <v>8967</v>
      </c>
      <c r="G571" s="19" t="s">
        <v>139</v>
      </c>
      <c r="H571" s="19" t="s">
        <v>94</v>
      </c>
      <c r="I571" s="19"/>
      <c r="J571" s="19"/>
      <c r="K571" s="19"/>
      <c r="L571" s="19" t="s">
        <v>244</v>
      </c>
      <c r="M571" s="19" t="s">
        <v>245</v>
      </c>
      <c r="N571" s="19" t="s">
        <v>8968</v>
      </c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 t="s">
        <v>101</v>
      </c>
      <c r="Z571" s="19" t="s">
        <v>102</v>
      </c>
      <c r="AA571" s="19" t="s">
        <v>103</v>
      </c>
      <c r="AB571" s="19" t="s">
        <v>671</v>
      </c>
      <c r="AC571" s="19" t="s">
        <v>672</v>
      </c>
      <c r="AD571" s="19" t="s">
        <v>8969</v>
      </c>
      <c r="AE571" s="19" t="s">
        <v>8970</v>
      </c>
      <c r="AF571" s="19" t="s">
        <v>8971</v>
      </c>
      <c r="AG571" s="19" t="s">
        <v>1174</v>
      </c>
      <c r="AH571" s="19" t="s">
        <v>1015</v>
      </c>
      <c r="AI571" s="19"/>
      <c r="AJ571" s="19" t="s">
        <v>8972</v>
      </c>
      <c r="AK571" s="19"/>
      <c r="AL571" s="19"/>
      <c r="AM571" s="19" t="s">
        <v>8973</v>
      </c>
      <c r="AN571" s="19" t="s">
        <v>8974</v>
      </c>
      <c r="AO571" s="19" t="s">
        <v>255</v>
      </c>
      <c r="AP571" s="19" t="s">
        <v>256</v>
      </c>
      <c r="AQ571" s="19" t="s">
        <v>117</v>
      </c>
      <c r="AR571" s="19" t="s">
        <v>257</v>
      </c>
      <c r="AS571" s="19" t="s">
        <v>258</v>
      </c>
      <c r="AT571" s="19" t="s">
        <v>259</v>
      </c>
      <c r="AU571" s="19" t="s">
        <v>260</v>
      </c>
      <c r="AV571" s="19" t="s">
        <v>260</v>
      </c>
      <c r="AW571" s="19" t="s">
        <v>261</v>
      </c>
      <c r="AX571" s="19" t="s">
        <v>262</v>
      </c>
      <c r="AY571" s="19" t="s">
        <v>263</v>
      </c>
      <c r="AZ571" s="19" t="s">
        <v>264</v>
      </c>
      <c r="BA571" s="20">
        <v>43627</v>
      </c>
      <c r="BB571" s="19" t="s">
        <v>331</v>
      </c>
      <c r="BC571" s="19" t="s">
        <v>8975</v>
      </c>
      <c r="BD571" s="19" t="s">
        <v>1174</v>
      </c>
      <c r="BE571" s="19" t="s">
        <v>130</v>
      </c>
      <c r="BF571" s="19" t="s">
        <v>8976</v>
      </c>
      <c r="BG571" s="19"/>
      <c r="BH571" s="19" t="s">
        <v>8977</v>
      </c>
      <c r="BI571" s="19" t="s">
        <v>8977</v>
      </c>
      <c r="BJ571" s="19" t="s">
        <v>166</v>
      </c>
      <c r="BK571" s="19" t="s">
        <v>167</v>
      </c>
      <c r="BL571" s="19" t="s">
        <v>168</v>
      </c>
      <c r="BM571" s="19" t="s">
        <v>169</v>
      </c>
      <c r="BN571" s="21">
        <v>223.19</v>
      </c>
      <c r="BO571" s="21">
        <v>10044.844502</v>
      </c>
      <c r="BQ571" s="2"/>
      <c r="BR571" s="2"/>
      <c r="BS571" s="2"/>
      <c r="BT571" s="2"/>
      <c r="BU571" s="22"/>
      <c r="BV571" s="2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</row>
    <row r="572" spans="1:95" x14ac:dyDescent="0.25">
      <c r="A572" s="18">
        <v>569</v>
      </c>
      <c r="B572" s="19" t="s">
        <v>8978</v>
      </c>
      <c r="C572" s="19" t="s">
        <v>8979</v>
      </c>
      <c r="D572" s="20">
        <v>46010</v>
      </c>
      <c r="E572" s="20">
        <v>37757</v>
      </c>
      <c r="F572" s="19" t="s">
        <v>8980</v>
      </c>
      <c r="G572" s="19" t="s">
        <v>139</v>
      </c>
      <c r="H572" s="19" t="s">
        <v>94</v>
      </c>
      <c r="I572" s="19"/>
      <c r="J572" s="19"/>
      <c r="K572" s="19"/>
      <c r="L572" s="19" t="s">
        <v>244</v>
      </c>
      <c r="M572" s="19" t="s">
        <v>245</v>
      </c>
      <c r="N572" s="19" t="s">
        <v>8981</v>
      </c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 t="s">
        <v>101</v>
      </c>
      <c r="Z572" s="19" t="s">
        <v>102</v>
      </c>
      <c r="AA572" s="19" t="s">
        <v>103</v>
      </c>
      <c r="AB572" s="19" t="s">
        <v>143</v>
      </c>
      <c r="AC572" s="19" t="s">
        <v>144</v>
      </c>
      <c r="AD572" s="19" t="s">
        <v>8982</v>
      </c>
      <c r="AE572" s="19" t="s">
        <v>8983</v>
      </c>
      <c r="AF572" s="19"/>
      <c r="AG572" s="19" t="s">
        <v>746</v>
      </c>
      <c r="AH572" s="19" t="s">
        <v>327</v>
      </c>
      <c r="AI572" s="19" t="s">
        <v>111</v>
      </c>
      <c r="AJ572" s="19" t="s">
        <v>8984</v>
      </c>
      <c r="AK572" s="19"/>
      <c r="AL572" s="19"/>
      <c r="AM572" s="19" t="s">
        <v>8985</v>
      </c>
      <c r="AN572" s="19" t="s">
        <v>8986</v>
      </c>
      <c r="AO572" s="19" t="s">
        <v>255</v>
      </c>
      <c r="AP572" s="19" t="s">
        <v>256</v>
      </c>
      <c r="AQ572" s="19" t="s">
        <v>117</v>
      </c>
      <c r="AR572" s="19" t="s">
        <v>257</v>
      </c>
      <c r="AS572" s="19" t="s">
        <v>258</v>
      </c>
      <c r="AT572" s="19" t="s">
        <v>259</v>
      </c>
      <c r="AU572" s="19" t="s">
        <v>260</v>
      </c>
      <c r="AV572" s="19" t="s">
        <v>260</v>
      </c>
      <c r="AW572" s="19" t="s">
        <v>261</v>
      </c>
      <c r="AX572" s="19" t="s">
        <v>262</v>
      </c>
      <c r="AY572" s="19" t="s">
        <v>263</v>
      </c>
      <c r="AZ572" s="19" t="s">
        <v>264</v>
      </c>
      <c r="BA572" s="20">
        <v>43627</v>
      </c>
      <c r="BB572" s="19" t="s">
        <v>161</v>
      </c>
      <c r="BC572" s="19" t="s">
        <v>6652</v>
      </c>
      <c r="BD572" s="19" t="s">
        <v>6652</v>
      </c>
      <c r="BE572" s="19" t="s">
        <v>130</v>
      </c>
      <c r="BF572" s="19" t="s">
        <v>8987</v>
      </c>
      <c r="BG572" s="19"/>
      <c r="BH572" s="19" t="s">
        <v>8988</v>
      </c>
      <c r="BI572" s="19" t="s">
        <v>8988</v>
      </c>
      <c r="BJ572" s="19" t="s">
        <v>166</v>
      </c>
      <c r="BK572" s="19" t="s">
        <v>167</v>
      </c>
      <c r="BL572" s="19" t="s">
        <v>168</v>
      </c>
      <c r="BM572" s="19" t="s">
        <v>169</v>
      </c>
      <c r="BN572" s="21">
        <v>13.458</v>
      </c>
      <c r="BO572" s="21">
        <v>512.61522000000002</v>
      </c>
      <c r="BQ572" s="2"/>
      <c r="BR572" s="2"/>
      <c r="BS572" s="2"/>
      <c r="BT572" s="2"/>
      <c r="BU572" s="22"/>
      <c r="BV572" s="2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</row>
    <row r="573" spans="1:95" x14ac:dyDescent="0.25">
      <c r="A573" s="18">
        <v>570</v>
      </c>
      <c r="B573" s="19" t="s">
        <v>8989</v>
      </c>
      <c r="C573" s="19" t="s">
        <v>8990</v>
      </c>
      <c r="D573" s="20">
        <v>46010</v>
      </c>
      <c r="E573" s="20">
        <v>37930</v>
      </c>
      <c r="F573" s="19"/>
      <c r="G573" s="19"/>
      <c r="H573" s="19" t="s">
        <v>94</v>
      </c>
      <c r="I573" s="19"/>
      <c r="J573" s="19" t="s">
        <v>287</v>
      </c>
      <c r="K573" s="19" t="s">
        <v>288</v>
      </c>
      <c r="L573" s="19" t="s">
        <v>467</v>
      </c>
      <c r="M573" s="19" t="s">
        <v>468</v>
      </c>
      <c r="N573" s="19" t="s">
        <v>8991</v>
      </c>
      <c r="O573" s="19" t="s">
        <v>100</v>
      </c>
      <c r="P573" s="19"/>
      <c r="Q573" s="19"/>
      <c r="R573" s="19"/>
      <c r="S573" s="19"/>
      <c r="T573" s="19"/>
      <c r="U573" s="19"/>
      <c r="V573" s="19"/>
      <c r="W573" s="19"/>
      <c r="X573" s="19"/>
      <c r="Y573" s="19" t="s">
        <v>101</v>
      </c>
      <c r="Z573" s="19" t="s">
        <v>102</v>
      </c>
      <c r="AA573" s="19" t="s">
        <v>103</v>
      </c>
      <c r="AB573" s="19" t="s">
        <v>402</v>
      </c>
      <c r="AC573" s="19" t="s">
        <v>403</v>
      </c>
      <c r="AD573" s="19" t="s">
        <v>8992</v>
      </c>
      <c r="AE573" s="19" t="s">
        <v>8993</v>
      </c>
      <c r="AF573" s="19"/>
      <c r="AG573" s="19" t="s">
        <v>8994</v>
      </c>
      <c r="AH573" s="19" t="s">
        <v>757</v>
      </c>
      <c r="AI573" s="19" t="s">
        <v>111</v>
      </c>
      <c r="AJ573" s="19" t="s">
        <v>8995</v>
      </c>
      <c r="AK573" s="19"/>
      <c r="AL573" s="19"/>
      <c r="AM573" s="19" t="s">
        <v>8996</v>
      </c>
      <c r="AN573" s="19" t="s">
        <v>8997</v>
      </c>
      <c r="AO573" s="19" t="s">
        <v>8998</v>
      </c>
      <c r="AP573" s="19" t="s">
        <v>8999</v>
      </c>
      <c r="AQ573" s="19" t="s">
        <v>117</v>
      </c>
      <c r="AR573" s="19" t="s">
        <v>9000</v>
      </c>
      <c r="AS573" s="19" t="s">
        <v>9001</v>
      </c>
      <c r="AT573" s="19" t="s">
        <v>9002</v>
      </c>
      <c r="AU573" s="19" t="s">
        <v>9003</v>
      </c>
      <c r="AV573" s="19" t="s">
        <v>8994</v>
      </c>
      <c r="AW573" s="19" t="s">
        <v>8995</v>
      </c>
      <c r="AX573" s="19" t="s">
        <v>757</v>
      </c>
      <c r="AY573" s="19" t="s">
        <v>9004</v>
      </c>
      <c r="AZ573" s="19" t="s">
        <v>9005</v>
      </c>
      <c r="BA573" s="20">
        <v>45560</v>
      </c>
      <c r="BB573" s="19" t="s">
        <v>312</v>
      </c>
      <c r="BC573" s="19" t="s">
        <v>9006</v>
      </c>
      <c r="BD573" s="19" t="s">
        <v>8994</v>
      </c>
      <c r="BE573" s="19" t="s">
        <v>130</v>
      </c>
      <c r="BF573" s="19" t="s">
        <v>9007</v>
      </c>
      <c r="BG573" s="19" t="s">
        <v>9008</v>
      </c>
      <c r="BH573" s="19" t="s">
        <v>9009</v>
      </c>
      <c r="BI573" s="19" t="s">
        <v>9009</v>
      </c>
      <c r="BJ573" s="19" t="s">
        <v>166</v>
      </c>
      <c r="BK573" s="19" t="s">
        <v>9010</v>
      </c>
      <c r="BL573" s="19" t="s">
        <v>8994</v>
      </c>
      <c r="BM573" s="19" t="s">
        <v>1045</v>
      </c>
      <c r="BN573" s="21">
        <v>1.0529999999999999</v>
      </c>
      <c r="BO573" s="21">
        <v>1993.6764900000001</v>
      </c>
      <c r="BQ573" s="2"/>
      <c r="BR573" s="2"/>
      <c r="BS573" s="2"/>
      <c r="BT573" s="2"/>
      <c r="BU573" s="22"/>
      <c r="BV573" s="2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</row>
    <row r="574" spans="1:95" x14ac:dyDescent="0.25">
      <c r="A574" s="18">
        <v>571</v>
      </c>
      <c r="B574" s="19" t="s">
        <v>9011</v>
      </c>
      <c r="C574" s="19" t="s">
        <v>9012</v>
      </c>
      <c r="D574" s="20">
        <v>46013</v>
      </c>
      <c r="E574" s="20">
        <v>33116</v>
      </c>
      <c r="F574" s="19"/>
      <c r="G574" s="19"/>
      <c r="H574" s="19" t="s">
        <v>94</v>
      </c>
      <c r="I574" s="19"/>
      <c r="J574" s="19"/>
      <c r="K574" s="19"/>
      <c r="L574" s="19" t="s">
        <v>101</v>
      </c>
      <c r="M574" s="19" t="s">
        <v>290</v>
      </c>
      <c r="N574" s="19" t="s">
        <v>9013</v>
      </c>
      <c r="O574" s="19" t="s">
        <v>100</v>
      </c>
      <c r="P574" s="19"/>
      <c r="Q574" s="19"/>
      <c r="R574" s="19"/>
      <c r="S574" s="19"/>
      <c r="T574" s="19"/>
      <c r="U574" s="19"/>
      <c r="V574" s="19"/>
      <c r="W574" s="19"/>
      <c r="X574" s="19"/>
      <c r="Y574" s="19" t="s">
        <v>101</v>
      </c>
      <c r="Z574" s="19" t="s">
        <v>102</v>
      </c>
      <c r="AA574" s="19" t="s">
        <v>103</v>
      </c>
      <c r="AB574" s="19" t="s">
        <v>1555</v>
      </c>
      <c r="AC574" s="19" t="s">
        <v>1556</v>
      </c>
      <c r="AD574" s="19" t="s">
        <v>9014</v>
      </c>
      <c r="AE574" s="19" t="s">
        <v>9015</v>
      </c>
      <c r="AF574" s="19"/>
      <c r="AG574" s="19" t="s">
        <v>9016</v>
      </c>
      <c r="AH574" s="19" t="s">
        <v>515</v>
      </c>
      <c r="AI574" s="19" t="s">
        <v>111</v>
      </c>
      <c r="AJ574" s="19" t="s">
        <v>9017</v>
      </c>
      <c r="AK574" s="19"/>
      <c r="AL574" s="19"/>
      <c r="AM574" s="19" t="s">
        <v>9018</v>
      </c>
      <c r="AN574" s="19" t="s">
        <v>9019</v>
      </c>
      <c r="AO574" s="19" t="s">
        <v>9020</v>
      </c>
      <c r="AP574" s="19" t="s">
        <v>9021</v>
      </c>
      <c r="AQ574" s="19" t="s">
        <v>117</v>
      </c>
      <c r="AR574" s="19" t="s">
        <v>9022</v>
      </c>
      <c r="AS574" s="19" t="s">
        <v>9023</v>
      </c>
      <c r="AT574" s="19" t="s">
        <v>9024</v>
      </c>
      <c r="AU574" s="19" t="s">
        <v>9025</v>
      </c>
      <c r="AV574" s="19" t="s">
        <v>9016</v>
      </c>
      <c r="AW574" s="19" t="s">
        <v>9026</v>
      </c>
      <c r="AX574" s="19" t="s">
        <v>515</v>
      </c>
      <c r="AY574" s="19" t="s">
        <v>9027</v>
      </c>
      <c r="AZ574" s="19" t="s">
        <v>9028</v>
      </c>
      <c r="BA574" s="20">
        <v>42251</v>
      </c>
      <c r="BB574" s="19" t="s">
        <v>1002</v>
      </c>
      <c r="BC574" s="19" t="s">
        <v>9029</v>
      </c>
      <c r="BD574" s="19" t="s">
        <v>9030</v>
      </c>
      <c r="BE574" s="19" t="s">
        <v>130</v>
      </c>
      <c r="BF574" s="19" t="s">
        <v>9031</v>
      </c>
      <c r="BG574" s="19"/>
      <c r="BH574" s="19" t="s">
        <v>9032</v>
      </c>
      <c r="BI574" s="19" t="s">
        <v>9032</v>
      </c>
      <c r="BJ574" s="19" t="s">
        <v>194</v>
      </c>
      <c r="BK574" s="19" t="s">
        <v>591</v>
      </c>
      <c r="BL574" s="19" t="s">
        <v>122</v>
      </c>
      <c r="BM574" s="19" t="s">
        <v>592</v>
      </c>
      <c r="BN574" s="21">
        <v>3.72</v>
      </c>
      <c r="BO574" s="21">
        <v>2991.5124000000001</v>
      </c>
      <c r="BQ574" s="2"/>
      <c r="BR574" s="2"/>
      <c r="BS574" s="2"/>
      <c r="BT574" s="2"/>
      <c r="BU574" s="22"/>
      <c r="BV574" s="2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</row>
    <row r="575" spans="1:95" x14ac:dyDescent="0.25">
      <c r="A575" s="18">
        <v>572</v>
      </c>
      <c r="B575" s="19" t="s">
        <v>9033</v>
      </c>
      <c r="C575" s="19" t="s">
        <v>9034</v>
      </c>
      <c r="D575" s="20">
        <v>46013</v>
      </c>
      <c r="E575" s="20">
        <v>32688</v>
      </c>
      <c r="F575" s="19"/>
      <c r="G575" s="19"/>
      <c r="H575" s="19" t="s">
        <v>94</v>
      </c>
      <c r="I575" s="19"/>
      <c r="J575" s="19"/>
      <c r="K575" s="19"/>
      <c r="L575" s="19" t="s">
        <v>244</v>
      </c>
      <c r="M575" s="19" t="s">
        <v>245</v>
      </c>
      <c r="N575" s="19" t="s">
        <v>9035</v>
      </c>
      <c r="O575" s="19" t="s">
        <v>100</v>
      </c>
      <c r="P575" s="19"/>
      <c r="Q575" s="19"/>
      <c r="R575" s="19"/>
      <c r="S575" s="19"/>
      <c r="T575" s="19"/>
      <c r="U575" s="19"/>
      <c r="V575" s="19"/>
      <c r="W575" s="19"/>
      <c r="X575" s="19"/>
      <c r="Y575" s="19" t="s">
        <v>101</v>
      </c>
      <c r="Z575" s="19" t="s">
        <v>102</v>
      </c>
      <c r="AA575" s="19" t="s">
        <v>103</v>
      </c>
      <c r="AB575" s="19" t="s">
        <v>850</v>
      </c>
      <c r="AC575" s="19" t="s">
        <v>851</v>
      </c>
      <c r="AD575" s="19" t="s">
        <v>9036</v>
      </c>
      <c r="AE575" s="19" t="s">
        <v>9037</v>
      </c>
      <c r="AF575" s="19" t="s">
        <v>9038</v>
      </c>
      <c r="AG575" s="19" t="s">
        <v>122</v>
      </c>
      <c r="AH575" s="19" t="s">
        <v>124</v>
      </c>
      <c r="AI575" s="19" t="s">
        <v>111</v>
      </c>
      <c r="AJ575" s="19" t="s">
        <v>9039</v>
      </c>
      <c r="AK575" s="19"/>
      <c r="AL575" s="19"/>
      <c r="AM575" s="19" t="s">
        <v>9040</v>
      </c>
      <c r="AN575" s="19" t="s">
        <v>9041</v>
      </c>
      <c r="AO575" s="19" t="s">
        <v>208</v>
      </c>
      <c r="AP575" s="19" t="s">
        <v>209</v>
      </c>
      <c r="AQ575" s="19" t="s">
        <v>117</v>
      </c>
      <c r="AR575" s="19" t="s">
        <v>210</v>
      </c>
      <c r="AS575" s="19" t="s">
        <v>211</v>
      </c>
      <c r="AT575" s="19" t="s">
        <v>212</v>
      </c>
      <c r="AU575" s="19" t="s">
        <v>213</v>
      </c>
      <c r="AV575" s="19" t="s">
        <v>214</v>
      </c>
      <c r="AW575" s="19" t="s">
        <v>215</v>
      </c>
      <c r="AX575" s="19" t="s">
        <v>149</v>
      </c>
      <c r="AY575" s="19" t="s">
        <v>216</v>
      </c>
      <c r="AZ575" s="19" t="s">
        <v>217</v>
      </c>
      <c r="BA575" s="20">
        <v>35521</v>
      </c>
      <c r="BB575" s="19" t="s">
        <v>444</v>
      </c>
      <c r="BC575" s="19" t="s">
        <v>9042</v>
      </c>
      <c r="BD575" s="19" t="s">
        <v>219</v>
      </c>
      <c r="BE575" s="19" t="s">
        <v>130</v>
      </c>
      <c r="BF575" s="19" t="s">
        <v>9043</v>
      </c>
      <c r="BG575" s="19"/>
      <c r="BH575" s="19" t="s">
        <v>9044</v>
      </c>
      <c r="BI575" s="19" t="s">
        <v>9044</v>
      </c>
      <c r="BJ575" s="19" t="s">
        <v>1259</v>
      </c>
      <c r="BK575" s="19" t="s">
        <v>1491</v>
      </c>
      <c r="BL575" s="19" t="s">
        <v>122</v>
      </c>
      <c r="BM575" s="19" t="s">
        <v>196</v>
      </c>
      <c r="BN575" s="21">
        <v>18.152999999999999</v>
      </c>
      <c r="BO575" s="21">
        <v>1996.6484700000001</v>
      </c>
      <c r="BQ575" s="2"/>
      <c r="BR575" s="2"/>
      <c r="BS575" s="2"/>
      <c r="BT575" s="2"/>
      <c r="BU575" s="22"/>
      <c r="BV575" s="2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</row>
    <row r="576" spans="1:95" x14ac:dyDescent="0.25">
      <c r="A576" s="18">
        <v>573</v>
      </c>
      <c r="B576" s="19" t="s">
        <v>9045</v>
      </c>
      <c r="C576" s="19" t="s">
        <v>4203</v>
      </c>
      <c r="D576" s="20">
        <v>46013</v>
      </c>
      <c r="E576" s="20">
        <v>38763</v>
      </c>
      <c r="F576" s="19"/>
      <c r="G576" s="19"/>
      <c r="H576" s="19" t="s">
        <v>94</v>
      </c>
      <c r="I576" s="19"/>
      <c r="J576" s="19"/>
      <c r="K576" s="19"/>
      <c r="L576" s="19" t="s">
        <v>244</v>
      </c>
      <c r="M576" s="19" t="s">
        <v>245</v>
      </c>
      <c r="N576" s="19" t="s">
        <v>9046</v>
      </c>
      <c r="O576" s="19" t="s">
        <v>100</v>
      </c>
      <c r="P576" s="19"/>
      <c r="Q576" s="19"/>
      <c r="R576" s="19"/>
      <c r="S576" s="19"/>
      <c r="T576" s="19"/>
      <c r="U576" s="19"/>
      <c r="V576" s="19"/>
      <c r="W576" s="19"/>
      <c r="X576" s="19"/>
      <c r="Y576" s="19" t="s">
        <v>101</v>
      </c>
      <c r="Z576" s="19" t="s">
        <v>102</v>
      </c>
      <c r="AA576" s="19" t="s">
        <v>103</v>
      </c>
      <c r="AB576" s="19" t="s">
        <v>1940</v>
      </c>
      <c r="AC576" s="19" t="s">
        <v>1941</v>
      </c>
      <c r="AD576" s="19" t="s">
        <v>9047</v>
      </c>
      <c r="AE576" s="19" t="s">
        <v>9048</v>
      </c>
      <c r="AF576" s="19" t="s">
        <v>9049</v>
      </c>
      <c r="AG576" s="19" t="s">
        <v>4512</v>
      </c>
      <c r="AH576" s="19" t="s">
        <v>298</v>
      </c>
      <c r="AI576" s="19" t="s">
        <v>111</v>
      </c>
      <c r="AJ576" s="19" t="s">
        <v>4513</v>
      </c>
      <c r="AK576" s="19"/>
      <c r="AL576" s="19"/>
      <c r="AM576" s="19" t="s">
        <v>9050</v>
      </c>
      <c r="AN576" s="19" t="s">
        <v>9051</v>
      </c>
      <c r="AO576" s="19" t="s">
        <v>9052</v>
      </c>
      <c r="AP576" s="19" t="s">
        <v>9053</v>
      </c>
      <c r="AQ576" s="19" t="s">
        <v>117</v>
      </c>
      <c r="AR576" s="19" t="s">
        <v>9054</v>
      </c>
      <c r="AS576" s="19" t="s">
        <v>9055</v>
      </c>
      <c r="AT576" s="19" t="s">
        <v>9056</v>
      </c>
      <c r="AU576" s="19" t="s">
        <v>9057</v>
      </c>
      <c r="AV576" s="19" t="s">
        <v>3988</v>
      </c>
      <c r="AW576" s="19" t="s">
        <v>9058</v>
      </c>
      <c r="AX576" s="19" t="s">
        <v>231</v>
      </c>
      <c r="AY576" s="19" t="s">
        <v>9059</v>
      </c>
      <c r="AZ576" s="19" t="s">
        <v>9060</v>
      </c>
      <c r="BA576" s="20">
        <v>45516</v>
      </c>
      <c r="BB576" s="19" t="s">
        <v>265</v>
      </c>
      <c r="BC576" s="19" t="s">
        <v>9061</v>
      </c>
      <c r="BD576" s="19" t="s">
        <v>4294</v>
      </c>
      <c r="BE576" s="19" t="s">
        <v>130</v>
      </c>
      <c r="BF576" s="19" t="s">
        <v>9062</v>
      </c>
      <c r="BG576" s="19"/>
      <c r="BH576" s="19" t="s">
        <v>9063</v>
      </c>
      <c r="BI576" s="19" t="s">
        <v>9063</v>
      </c>
      <c r="BJ576" s="19" t="s">
        <v>166</v>
      </c>
      <c r="BK576" s="19" t="s">
        <v>221</v>
      </c>
      <c r="BL576" s="19" t="s">
        <v>222</v>
      </c>
      <c r="BM576" s="19" t="s">
        <v>169</v>
      </c>
      <c r="BN576" s="21">
        <v>4.4429999999999996</v>
      </c>
      <c r="BO576" s="21">
        <v>3004.9546277999998</v>
      </c>
      <c r="BQ576" s="2"/>
      <c r="BR576" s="2"/>
      <c r="BS576" s="2"/>
      <c r="BT576" s="2"/>
      <c r="BU576" s="22"/>
      <c r="BV576" s="2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</row>
    <row r="577" spans="1:95" x14ac:dyDescent="0.25">
      <c r="A577" s="18">
        <v>574</v>
      </c>
      <c r="B577" s="19" t="s">
        <v>9064</v>
      </c>
      <c r="C577" s="19" t="s">
        <v>9065</v>
      </c>
      <c r="D577" s="20">
        <v>46013</v>
      </c>
      <c r="E577" s="20">
        <v>21478</v>
      </c>
      <c r="F577" s="19"/>
      <c r="G577" s="19"/>
      <c r="H577" s="19" t="s">
        <v>94</v>
      </c>
      <c r="I577" s="19"/>
      <c r="J577" s="19"/>
      <c r="K577" s="19"/>
      <c r="L577" s="19" t="s">
        <v>244</v>
      </c>
      <c r="M577" s="19" t="s">
        <v>245</v>
      </c>
      <c r="N577" s="19" t="s">
        <v>9066</v>
      </c>
      <c r="O577" s="19" t="s">
        <v>100</v>
      </c>
      <c r="P577" s="19"/>
      <c r="Q577" s="19"/>
      <c r="R577" s="19"/>
      <c r="S577" s="19"/>
      <c r="T577" s="19"/>
      <c r="U577" s="19"/>
      <c r="V577" s="19"/>
      <c r="W577" s="19"/>
      <c r="X577" s="19"/>
      <c r="Y577" s="19" t="s">
        <v>101</v>
      </c>
      <c r="Z577" s="19" t="s">
        <v>102</v>
      </c>
      <c r="AA577" s="19" t="s">
        <v>103</v>
      </c>
      <c r="AB577" s="19" t="s">
        <v>247</v>
      </c>
      <c r="AC577" s="19" t="s">
        <v>248</v>
      </c>
      <c r="AD577" s="19" t="s">
        <v>9067</v>
      </c>
      <c r="AE577" s="19" t="s">
        <v>9068</v>
      </c>
      <c r="AF577" s="19" t="s">
        <v>5383</v>
      </c>
      <c r="AG577" s="19" t="s">
        <v>365</v>
      </c>
      <c r="AH577" s="19" t="s">
        <v>188</v>
      </c>
      <c r="AI577" s="19" t="s">
        <v>111</v>
      </c>
      <c r="AJ577" s="19" t="s">
        <v>8610</v>
      </c>
      <c r="AK577" s="19"/>
      <c r="AL577" s="19"/>
      <c r="AM577" s="19" t="s">
        <v>9069</v>
      </c>
      <c r="AN577" s="19" t="s">
        <v>9070</v>
      </c>
      <c r="AO577" s="19" t="s">
        <v>255</v>
      </c>
      <c r="AP577" s="19" t="s">
        <v>256</v>
      </c>
      <c r="AQ577" s="19" t="s">
        <v>117</v>
      </c>
      <c r="AR577" s="19" t="s">
        <v>257</v>
      </c>
      <c r="AS577" s="19" t="s">
        <v>258</v>
      </c>
      <c r="AT577" s="19" t="s">
        <v>259</v>
      </c>
      <c r="AU577" s="19" t="s">
        <v>260</v>
      </c>
      <c r="AV577" s="19" t="s">
        <v>260</v>
      </c>
      <c r="AW577" s="19" t="s">
        <v>261</v>
      </c>
      <c r="AX577" s="19" t="s">
        <v>262</v>
      </c>
      <c r="AY577" s="19" t="s">
        <v>263</v>
      </c>
      <c r="AZ577" s="19" t="s">
        <v>264</v>
      </c>
      <c r="BA577" s="20">
        <v>43627</v>
      </c>
      <c r="BB577" s="19" t="s">
        <v>444</v>
      </c>
      <c r="BC577" s="19" t="s">
        <v>9071</v>
      </c>
      <c r="BD577" s="19" t="s">
        <v>148</v>
      </c>
      <c r="BE577" s="19" t="s">
        <v>130</v>
      </c>
      <c r="BF577" s="19" t="s">
        <v>9072</v>
      </c>
      <c r="BG577" s="19"/>
      <c r="BH577" s="19" t="s">
        <v>9073</v>
      </c>
      <c r="BI577" s="19" t="s">
        <v>9073</v>
      </c>
      <c r="BJ577" s="19" t="s">
        <v>194</v>
      </c>
      <c r="BK577" s="19" t="s">
        <v>195</v>
      </c>
      <c r="BL577" s="19" t="s">
        <v>122</v>
      </c>
      <c r="BM577" s="19" t="s">
        <v>196</v>
      </c>
      <c r="BN577" s="21">
        <v>22.841999999999999</v>
      </c>
      <c r="BO577" s="21">
        <v>10016.5002408</v>
      </c>
      <c r="BQ577" s="2"/>
      <c r="BR577" s="2"/>
      <c r="BS577" s="2"/>
      <c r="BT577" s="2"/>
      <c r="BU577" s="22"/>
      <c r="BV577" s="2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</row>
    <row r="578" spans="1:95" x14ac:dyDescent="0.25">
      <c r="A578" s="18">
        <v>575</v>
      </c>
      <c r="B578" s="19" t="s">
        <v>9074</v>
      </c>
      <c r="C578" s="19" t="s">
        <v>9075</v>
      </c>
      <c r="D578" s="20">
        <v>46014</v>
      </c>
      <c r="E578" s="20">
        <v>30246</v>
      </c>
      <c r="F578" s="19"/>
      <c r="G578" s="19"/>
      <c r="H578" s="19" t="s">
        <v>94</v>
      </c>
      <c r="I578" s="19"/>
      <c r="J578" s="19" t="s">
        <v>95</v>
      </c>
      <c r="K578" s="19" t="s">
        <v>96</v>
      </c>
      <c r="L578" s="19" t="s">
        <v>687</v>
      </c>
      <c r="M578" s="19" t="s">
        <v>688</v>
      </c>
      <c r="N578" s="19" t="s">
        <v>9076</v>
      </c>
      <c r="O578" s="19" t="s">
        <v>100</v>
      </c>
      <c r="P578" s="19"/>
      <c r="Q578" s="19"/>
      <c r="R578" s="19"/>
      <c r="S578" s="19"/>
      <c r="T578" s="19"/>
      <c r="U578" s="19"/>
      <c r="V578" s="19"/>
      <c r="W578" s="19"/>
      <c r="X578" s="19"/>
      <c r="Y578" s="19" t="s">
        <v>101</v>
      </c>
      <c r="Z578" s="19" t="s">
        <v>102</v>
      </c>
      <c r="AA578" s="19" t="s">
        <v>103</v>
      </c>
      <c r="AB578" s="19" t="s">
        <v>402</v>
      </c>
      <c r="AC578" s="19" t="s">
        <v>403</v>
      </c>
      <c r="AD578" s="19" t="s">
        <v>9077</v>
      </c>
      <c r="AE578" s="19" t="s">
        <v>9078</v>
      </c>
      <c r="AF578" s="19" t="s">
        <v>9079</v>
      </c>
      <c r="AG578" s="19" t="s">
        <v>9080</v>
      </c>
      <c r="AH578" s="19" t="s">
        <v>1560</v>
      </c>
      <c r="AI578" s="19" t="s">
        <v>111</v>
      </c>
      <c r="AJ578" s="19" t="s">
        <v>9081</v>
      </c>
      <c r="AK578" s="19"/>
      <c r="AL578" s="19"/>
      <c r="AM578" s="19" t="s">
        <v>9082</v>
      </c>
      <c r="AN578" s="19" t="s">
        <v>9083</v>
      </c>
      <c r="AO578" s="19" t="s">
        <v>9084</v>
      </c>
      <c r="AP578" s="19" t="s">
        <v>9085</v>
      </c>
      <c r="AQ578" s="19" t="s">
        <v>117</v>
      </c>
      <c r="AR578" s="19" t="s">
        <v>9086</v>
      </c>
      <c r="AS578" s="19" t="s">
        <v>9087</v>
      </c>
      <c r="AT578" s="19" t="s">
        <v>9088</v>
      </c>
      <c r="AU578" s="19"/>
      <c r="AV578" s="19" t="s">
        <v>9089</v>
      </c>
      <c r="AW578" s="19" t="s">
        <v>9081</v>
      </c>
      <c r="AX578" s="19" t="s">
        <v>1560</v>
      </c>
      <c r="AY578" s="19" t="s">
        <v>9090</v>
      </c>
      <c r="AZ578" s="19" t="s">
        <v>9091</v>
      </c>
      <c r="BA578" s="20">
        <v>44636</v>
      </c>
      <c r="BB578" s="19" t="s">
        <v>7510</v>
      </c>
      <c r="BC578" s="19" t="s">
        <v>9092</v>
      </c>
      <c r="BD578" s="19" t="s">
        <v>9080</v>
      </c>
      <c r="BE578" s="19" t="s">
        <v>130</v>
      </c>
      <c r="BF578" s="19" t="s">
        <v>9093</v>
      </c>
      <c r="BG578" s="19"/>
      <c r="BH578" s="19" t="s">
        <v>9094</v>
      </c>
      <c r="BI578" s="19" t="s">
        <v>9094</v>
      </c>
      <c r="BJ578" s="19" t="s">
        <v>166</v>
      </c>
      <c r="BK578" s="19" t="s">
        <v>221</v>
      </c>
      <c r="BL578" s="19" t="s">
        <v>222</v>
      </c>
      <c r="BM578" s="19" t="s">
        <v>169</v>
      </c>
      <c r="BN578" s="21">
        <v>1.0609999999999999</v>
      </c>
      <c r="BO578" s="21">
        <v>2008.82313</v>
      </c>
      <c r="BQ578" s="2"/>
      <c r="BR578" s="2"/>
      <c r="BS578" s="2"/>
      <c r="BT578" s="2"/>
      <c r="BU578" s="22"/>
      <c r="BV578" s="2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</row>
    <row r="579" spans="1:95" x14ac:dyDescent="0.25">
      <c r="A579" s="18">
        <v>576</v>
      </c>
      <c r="B579" s="19" t="s">
        <v>9095</v>
      </c>
      <c r="C579" s="19" t="s">
        <v>9096</v>
      </c>
      <c r="D579" s="20">
        <v>46017</v>
      </c>
      <c r="E579" s="20">
        <v>31958</v>
      </c>
      <c r="F579" s="19" t="s">
        <v>9097</v>
      </c>
      <c r="G579" s="19" t="s">
        <v>139</v>
      </c>
      <c r="H579" s="19" t="s">
        <v>94</v>
      </c>
      <c r="I579" s="19"/>
      <c r="J579" s="19"/>
      <c r="K579" s="19"/>
      <c r="L579" s="19" t="s">
        <v>101</v>
      </c>
      <c r="M579" s="19" t="s">
        <v>290</v>
      </c>
      <c r="N579" s="19" t="s">
        <v>9098</v>
      </c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 t="s">
        <v>101</v>
      </c>
      <c r="Z579" s="19" t="s">
        <v>102</v>
      </c>
      <c r="AA579" s="19" t="s">
        <v>103</v>
      </c>
      <c r="AB579" s="19" t="s">
        <v>173</v>
      </c>
      <c r="AC579" s="19" t="s">
        <v>174</v>
      </c>
      <c r="AD579" s="19" t="s">
        <v>9099</v>
      </c>
      <c r="AE579" s="19" t="s">
        <v>9100</v>
      </c>
      <c r="AF579" s="19"/>
      <c r="AG579" s="19" t="s">
        <v>1585</v>
      </c>
      <c r="AH579" s="19" t="s">
        <v>262</v>
      </c>
      <c r="AI579" s="19" t="s">
        <v>111</v>
      </c>
      <c r="AJ579" s="19" t="s">
        <v>9101</v>
      </c>
      <c r="AK579" s="19"/>
      <c r="AL579" s="19" t="s">
        <v>9102</v>
      </c>
      <c r="AM579" s="19" t="s">
        <v>9103</v>
      </c>
      <c r="AN579" s="19" t="s">
        <v>9104</v>
      </c>
      <c r="AO579" s="19" t="s">
        <v>154</v>
      </c>
      <c r="AP579" s="19" t="s">
        <v>155</v>
      </c>
      <c r="AQ579" s="19" t="s">
        <v>117</v>
      </c>
      <c r="AR579" s="19" t="s">
        <v>156</v>
      </c>
      <c r="AS579" s="19" t="s">
        <v>157</v>
      </c>
      <c r="AT579" s="19" t="s">
        <v>158</v>
      </c>
      <c r="AU579" s="19"/>
      <c r="AV579" s="19" t="s">
        <v>122</v>
      </c>
      <c r="AW579" s="19"/>
      <c r="AX579" s="19" t="s">
        <v>124</v>
      </c>
      <c r="AY579" s="19" t="s">
        <v>159</v>
      </c>
      <c r="AZ579" s="19" t="s">
        <v>160</v>
      </c>
      <c r="BA579" s="20">
        <v>44676</v>
      </c>
      <c r="BB579" s="19" t="s">
        <v>444</v>
      </c>
      <c r="BC579" s="19" t="s">
        <v>9105</v>
      </c>
      <c r="BD579" s="19" t="s">
        <v>260</v>
      </c>
      <c r="BE579" s="19" t="s">
        <v>130</v>
      </c>
      <c r="BF579" s="19" t="s">
        <v>9106</v>
      </c>
      <c r="BG579" s="19"/>
      <c r="BH579" s="19" t="s">
        <v>9107</v>
      </c>
      <c r="BI579" s="19" t="s">
        <v>9107</v>
      </c>
      <c r="BJ579" s="19" t="s">
        <v>166</v>
      </c>
      <c r="BK579" s="19" t="s">
        <v>167</v>
      </c>
      <c r="BL579" s="19" t="s">
        <v>168</v>
      </c>
      <c r="BM579" s="19" t="s">
        <v>169</v>
      </c>
      <c r="BN579" s="21">
        <v>306.72300000000001</v>
      </c>
      <c r="BO579" s="21">
        <v>10865.4168966</v>
      </c>
      <c r="BQ579" s="2"/>
      <c r="BR579" s="2"/>
      <c r="BS579" s="2"/>
      <c r="BT579" s="2"/>
      <c r="BU579" s="22"/>
      <c r="BV579" s="2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</row>
    <row r="580" spans="1:95" x14ac:dyDescent="0.25">
      <c r="A580" s="18">
        <v>577</v>
      </c>
      <c r="B580" s="19" t="s">
        <v>9108</v>
      </c>
      <c r="C580" s="19" t="s">
        <v>9109</v>
      </c>
      <c r="D580" s="20">
        <v>46017</v>
      </c>
      <c r="E580" s="20">
        <v>36373</v>
      </c>
      <c r="F580" s="19" t="s">
        <v>9110</v>
      </c>
      <c r="G580" s="19" t="s">
        <v>139</v>
      </c>
      <c r="H580" s="19" t="s">
        <v>94</v>
      </c>
      <c r="I580" s="19"/>
      <c r="J580" s="19"/>
      <c r="K580" s="19"/>
      <c r="L580" s="19" t="s">
        <v>1262</v>
      </c>
      <c r="M580" s="19" t="s">
        <v>1263</v>
      </c>
      <c r="N580" s="19" t="s">
        <v>9111</v>
      </c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 t="s">
        <v>101</v>
      </c>
      <c r="Z580" s="19" t="s">
        <v>102</v>
      </c>
      <c r="AA580" s="19" t="s">
        <v>103</v>
      </c>
      <c r="AB580" s="19" t="s">
        <v>2051</v>
      </c>
      <c r="AC580" s="19" t="s">
        <v>2052</v>
      </c>
      <c r="AD580" s="19" t="s">
        <v>9112</v>
      </c>
      <c r="AE580" s="19" t="s">
        <v>9113</v>
      </c>
      <c r="AF580" s="19"/>
      <c r="AG580" s="19" t="s">
        <v>3865</v>
      </c>
      <c r="AH580" s="19" t="s">
        <v>327</v>
      </c>
      <c r="AI580" s="19"/>
      <c r="AJ580" s="19" t="s">
        <v>9114</v>
      </c>
      <c r="AK580" s="19"/>
      <c r="AL580" s="19"/>
      <c r="AM580" s="19" t="s">
        <v>9115</v>
      </c>
      <c r="AN580" s="19" t="s">
        <v>9116</v>
      </c>
      <c r="AO580" s="19" t="s">
        <v>476</v>
      </c>
      <c r="AP580" s="19" t="s">
        <v>477</v>
      </c>
      <c r="AQ580" s="19" t="s">
        <v>117</v>
      </c>
      <c r="AR580" s="19" t="s">
        <v>478</v>
      </c>
      <c r="AS580" s="19"/>
      <c r="AT580" s="19"/>
      <c r="AU580" s="19"/>
      <c r="AV580" s="19"/>
      <c r="AW580" s="19"/>
      <c r="AX580" s="19"/>
      <c r="AY580" s="19"/>
      <c r="AZ580" s="19"/>
      <c r="BA580" s="20">
        <v>44452</v>
      </c>
      <c r="BB580" s="19" t="s">
        <v>444</v>
      </c>
      <c r="BC580" s="19" t="s">
        <v>9117</v>
      </c>
      <c r="BD580" s="19" t="s">
        <v>9117</v>
      </c>
      <c r="BE580" s="19" t="s">
        <v>130</v>
      </c>
      <c r="BF580" s="19" t="s">
        <v>9118</v>
      </c>
      <c r="BG580" s="19"/>
      <c r="BH580" s="19" t="s">
        <v>9119</v>
      </c>
      <c r="BI580" s="19" t="s">
        <v>9119</v>
      </c>
      <c r="BJ580" s="19" t="s">
        <v>166</v>
      </c>
      <c r="BK580" s="19" t="s">
        <v>167</v>
      </c>
      <c r="BL580" s="19" t="s">
        <v>168</v>
      </c>
      <c r="BM580" s="19" t="s">
        <v>169</v>
      </c>
      <c r="BN580" s="21">
        <v>272.964</v>
      </c>
      <c r="BO580" s="21">
        <v>3023.2127820000001</v>
      </c>
      <c r="BQ580" s="2"/>
      <c r="BR580" s="2"/>
      <c r="BS580" s="2"/>
      <c r="BT580" s="2"/>
      <c r="BU580" s="22"/>
      <c r="BV580" s="2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</row>
    <row r="581" spans="1:95" x14ac:dyDescent="0.25">
      <c r="A581" s="18">
        <v>578</v>
      </c>
      <c r="B581" s="19" t="s">
        <v>9120</v>
      </c>
      <c r="C581" s="19" t="s">
        <v>9121</v>
      </c>
      <c r="D581" s="20">
        <v>45999</v>
      </c>
      <c r="E581" s="20">
        <v>29782</v>
      </c>
      <c r="F581" s="19" t="s">
        <v>9122</v>
      </c>
      <c r="G581" s="19" t="s">
        <v>139</v>
      </c>
      <c r="H581" s="19" t="s">
        <v>94</v>
      </c>
      <c r="I581" s="19"/>
      <c r="J581" s="19"/>
      <c r="K581" s="19"/>
      <c r="L581" s="19" t="s">
        <v>244</v>
      </c>
      <c r="M581" s="19" t="s">
        <v>245</v>
      </c>
      <c r="N581" s="19" t="s">
        <v>9123</v>
      </c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 t="s">
        <v>101</v>
      </c>
      <c r="Z581" s="19" t="s">
        <v>102</v>
      </c>
      <c r="AA581" s="19" t="s">
        <v>103</v>
      </c>
      <c r="AB581" s="19" t="s">
        <v>173</v>
      </c>
      <c r="AC581" s="19" t="s">
        <v>174</v>
      </c>
      <c r="AD581" s="19" t="s">
        <v>9124</v>
      </c>
      <c r="AE581" s="19" t="s">
        <v>9125</v>
      </c>
      <c r="AF581" s="19" t="s">
        <v>971</v>
      </c>
      <c r="AG581" s="19" t="s">
        <v>9126</v>
      </c>
      <c r="AH581" s="19" t="s">
        <v>262</v>
      </c>
      <c r="AI581" s="19" t="s">
        <v>111</v>
      </c>
      <c r="AJ581" s="19" t="s">
        <v>9127</v>
      </c>
      <c r="AK581" s="19"/>
      <c r="AL581" s="19" t="s">
        <v>9128</v>
      </c>
      <c r="AM581" s="19" t="s">
        <v>9129</v>
      </c>
      <c r="AN581" s="19" t="s">
        <v>9130</v>
      </c>
      <c r="AO581" s="19" t="s">
        <v>154</v>
      </c>
      <c r="AP581" s="19" t="s">
        <v>155</v>
      </c>
      <c r="AQ581" s="19" t="s">
        <v>117</v>
      </c>
      <c r="AR581" s="19" t="s">
        <v>156</v>
      </c>
      <c r="AS581" s="19" t="s">
        <v>157</v>
      </c>
      <c r="AT581" s="19" t="s">
        <v>158</v>
      </c>
      <c r="AU581" s="19"/>
      <c r="AV581" s="19" t="s">
        <v>122</v>
      </c>
      <c r="AW581" s="19"/>
      <c r="AX581" s="19" t="s">
        <v>124</v>
      </c>
      <c r="AY581" s="19" t="s">
        <v>159</v>
      </c>
      <c r="AZ581" s="19" t="s">
        <v>160</v>
      </c>
      <c r="BA581" s="20">
        <v>44676</v>
      </c>
      <c r="BB581" s="19" t="s">
        <v>479</v>
      </c>
      <c r="BC581" s="19" t="s">
        <v>9131</v>
      </c>
      <c r="BD581" s="19" t="s">
        <v>260</v>
      </c>
      <c r="BE581" s="19" t="s">
        <v>130</v>
      </c>
      <c r="BF581" s="19" t="s">
        <v>9132</v>
      </c>
      <c r="BG581" s="19"/>
      <c r="BH581" s="19" t="s">
        <v>9133</v>
      </c>
      <c r="BI581" s="19" t="s">
        <v>9133</v>
      </c>
      <c r="BJ581" s="19" t="s">
        <v>166</v>
      </c>
      <c r="BK581" s="19" t="s">
        <v>167</v>
      </c>
      <c r="BL581" s="19" t="s">
        <v>168</v>
      </c>
      <c r="BM581" s="19" t="s">
        <v>169</v>
      </c>
      <c r="BN581" s="21">
        <v>1788.9090000000001</v>
      </c>
      <c r="BO581" s="21">
        <v>63370.670197799998</v>
      </c>
      <c r="BQ581" s="2"/>
      <c r="BR581" s="2"/>
      <c r="BS581" s="2"/>
      <c r="BT581" s="2"/>
      <c r="BU581" s="22"/>
      <c r="BV581" s="2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</row>
    <row r="582" spans="1:95" x14ac:dyDescent="0.25">
      <c r="A582" s="18">
        <v>579</v>
      </c>
      <c r="B582" s="19" t="s">
        <v>9134</v>
      </c>
      <c r="C582" s="19" t="s">
        <v>9135</v>
      </c>
      <c r="D582" s="20">
        <v>46013</v>
      </c>
      <c r="E582" s="20">
        <v>33361</v>
      </c>
      <c r="F582" s="19"/>
      <c r="G582" s="19"/>
      <c r="H582" s="19" t="s">
        <v>94</v>
      </c>
      <c r="I582" s="19"/>
      <c r="J582" s="19"/>
      <c r="K582" s="19"/>
      <c r="L582" s="19" t="s">
        <v>140</v>
      </c>
      <c r="M582" s="19" t="s">
        <v>141</v>
      </c>
      <c r="N582" s="19" t="s">
        <v>9136</v>
      </c>
      <c r="O582" s="19" t="s">
        <v>100</v>
      </c>
      <c r="P582" s="19"/>
      <c r="Q582" s="19"/>
      <c r="R582" s="19"/>
      <c r="S582" s="19"/>
      <c r="T582" s="19"/>
      <c r="U582" s="19"/>
      <c r="V582" s="19"/>
      <c r="W582" s="19"/>
      <c r="X582" s="19"/>
      <c r="Y582" s="19" t="s">
        <v>101</v>
      </c>
      <c r="Z582" s="19" t="s">
        <v>102</v>
      </c>
      <c r="AA582" s="19" t="s">
        <v>103</v>
      </c>
      <c r="AB582" s="19" t="s">
        <v>1622</v>
      </c>
      <c r="AC582" s="19" t="s">
        <v>1623</v>
      </c>
      <c r="AD582" s="19" t="s">
        <v>9137</v>
      </c>
      <c r="AE582" s="19" t="s">
        <v>9138</v>
      </c>
      <c r="AF582" s="19"/>
      <c r="AG582" s="19" t="s">
        <v>9139</v>
      </c>
      <c r="AH582" s="19" t="s">
        <v>757</v>
      </c>
      <c r="AI582" s="19" t="s">
        <v>111</v>
      </c>
      <c r="AJ582" s="19" t="s">
        <v>9140</v>
      </c>
      <c r="AK582" s="19"/>
      <c r="AL582" s="19"/>
      <c r="AM582" s="19" t="s">
        <v>9141</v>
      </c>
      <c r="AN582" s="19" t="s">
        <v>9142</v>
      </c>
      <c r="AO582" s="19" t="s">
        <v>579</v>
      </c>
      <c r="AP582" s="19" t="s">
        <v>580</v>
      </c>
      <c r="AQ582" s="19" t="s">
        <v>117</v>
      </c>
      <c r="AR582" s="19" t="s">
        <v>581</v>
      </c>
      <c r="AS582" s="19" t="s">
        <v>582</v>
      </c>
      <c r="AT582" s="19" t="s">
        <v>583</v>
      </c>
      <c r="AU582" s="19" t="s">
        <v>584</v>
      </c>
      <c r="AV582" s="19" t="s">
        <v>168</v>
      </c>
      <c r="AW582" s="19" t="s">
        <v>585</v>
      </c>
      <c r="AX582" s="19" t="s">
        <v>262</v>
      </c>
      <c r="AY582" s="19" t="s">
        <v>586</v>
      </c>
      <c r="AZ582" s="19" t="s">
        <v>587</v>
      </c>
      <c r="BA582" s="20">
        <v>44494</v>
      </c>
      <c r="BB582" s="19" t="s">
        <v>363</v>
      </c>
      <c r="BC582" s="19" t="s">
        <v>9139</v>
      </c>
      <c r="BD582" s="19" t="s">
        <v>9139</v>
      </c>
      <c r="BE582" s="19" t="s">
        <v>130</v>
      </c>
      <c r="BF582" s="19" t="s">
        <v>9143</v>
      </c>
      <c r="BG582" s="19"/>
      <c r="BH582" s="19" t="s">
        <v>9144</v>
      </c>
      <c r="BI582" s="19" t="s">
        <v>9144</v>
      </c>
      <c r="BJ582" s="19" t="s">
        <v>194</v>
      </c>
      <c r="BK582" s="19" t="s">
        <v>591</v>
      </c>
      <c r="BL582" s="19" t="s">
        <v>122</v>
      </c>
      <c r="BM582" s="19" t="s">
        <v>592</v>
      </c>
      <c r="BN582" s="21">
        <v>0</v>
      </c>
      <c r="BO582" s="21">
        <v>0</v>
      </c>
      <c r="BQ582" s="2"/>
      <c r="BR582" s="2"/>
      <c r="BS582" s="2"/>
      <c r="BT582" s="2"/>
      <c r="BU582" s="22"/>
      <c r="BV582" s="2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</row>
    <row r="583" spans="1:95" x14ac:dyDescent="0.25">
      <c r="A583" s="18">
        <v>580</v>
      </c>
      <c r="B583" s="19" t="s">
        <v>9145</v>
      </c>
      <c r="C583" s="19" t="s">
        <v>9146</v>
      </c>
      <c r="D583" s="20">
        <v>45999</v>
      </c>
      <c r="E583" s="20">
        <v>35016</v>
      </c>
      <c r="F583" s="19" t="s">
        <v>9147</v>
      </c>
      <c r="G583" s="19" t="s">
        <v>139</v>
      </c>
      <c r="H583" s="19" t="s">
        <v>94</v>
      </c>
      <c r="I583" s="19"/>
      <c r="J583" s="19"/>
      <c r="K583" s="19"/>
      <c r="L583" s="19" t="s">
        <v>244</v>
      </c>
      <c r="M583" s="19" t="s">
        <v>245</v>
      </c>
      <c r="N583" s="19" t="s">
        <v>9148</v>
      </c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 t="s">
        <v>101</v>
      </c>
      <c r="Z583" s="19" t="s">
        <v>102</v>
      </c>
      <c r="AA583" s="19" t="s">
        <v>103</v>
      </c>
      <c r="AB583" s="19" t="s">
        <v>173</v>
      </c>
      <c r="AC583" s="19" t="s">
        <v>174</v>
      </c>
      <c r="AD583" s="19" t="s">
        <v>9149</v>
      </c>
      <c r="AE583" s="19" t="s">
        <v>9150</v>
      </c>
      <c r="AF583" s="19" t="s">
        <v>9151</v>
      </c>
      <c r="AG583" s="19" t="s">
        <v>9152</v>
      </c>
      <c r="AH583" s="19" t="s">
        <v>1808</v>
      </c>
      <c r="AI583" s="19" t="s">
        <v>111</v>
      </c>
      <c r="AJ583" s="19" t="s">
        <v>9153</v>
      </c>
      <c r="AK583" s="19"/>
      <c r="AL583" s="19" t="s">
        <v>9154</v>
      </c>
      <c r="AM583" s="19" t="s">
        <v>9155</v>
      </c>
      <c r="AN583" s="19" t="s">
        <v>9156</v>
      </c>
      <c r="AO583" s="19" t="s">
        <v>154</v>
      </c>
      <c r="AP583" s="19" t="s">
        <v>155</v>
      </c>
      <c r="AQ583" s="19" t="s">
        <v>117</v>
      </c>
      <c r="AR583" s="19" t="s">
        <v>156</v>
      </c>
      <c r="AS583" s="19" t="s">
        <v>157</v>
      </c>
      <c r="AT583" s="19" t="s">
        <v>158</v>
      </c>
      <c r="AU583" s="19"/>
      <c r="AV583" s="19" t="s">
        <v>122</v>
      </c>
      <c r="AW583" s="19"/>
      <c r="AX583" s="19" t="s">
        <v>124</v>
      </c>
      <c r="AY583" s="19" t="s">
        <v>159</v>
      </c>
      <c r="AZ583" s="19" t="s">
        <v>160</v>
      </c>
      <c r="BA583" s="20">
        <v>44676</v>
      </c>
      <c r="BB583" s="19" t="s">
        <v>1796</v>
      </c>
      <c r="BC583" s="19" t="s">
        <v>9152</v>
      </c>
      <c r="BD583" s="19" t="s">
        <v>9152</v>
      </c>
      <c r="BE583" s="19" t="s">
        <v>130</v>
      </c>
      <c r="BF583" s="19" t="s">
        <v>9157</v>
      </c>
      <c r="BG583" s="19"/>
      <c r="BH583" s="19" t="s">
        <v>9158</v>
      </c>
      <c r="BI583" s="19" t="s">
        <v>9158</v>
      </c>
      <c r="BJ583" s="19" t="s">
        <v>166</v>
      </c>
      <c r="BK583" s="19" t="s">
        <v>167</v>
      </c>
      <c r="BL583" s="19" t="s">
        <v>168</v>
      </c>
      <c r="BM583" s="19" t="s">
        <v>169</v>
      </c>
      <c r="BN583" s="21">
        <v>7.1559999999999997</v>
      </c>
      <c r="BO583" s="21">
        <v>253.49557519999999</v>
      </c>
      <c r="BQ583" s="2"/>
      <c r="BR583" s="2"/>
      <c r="BS583" s="2"/>
      <c r="BT583" s="2"/>
      <c r="BU583" s="22"/>
      <c r="BV583" s="2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</row>
    <row r="584" spans="1:95" x14ac:dyDescent="0.25">
      <c r="A584" s="18">
        <v>581</v>
      </c>
      <c r="B584" s="19" t="s">
        <v>9159</v>
      </c>
      <c r="C584" s="19" t="s">
        <v>9160</v>
      </c>
      <c r="D584" s="20">
        <v>45999</v>
      </c>
      <c r="E584" s="20">
        <v>37712</v>
      </c>
      <c r="F584" s="19"/>
      <c r="G584" s="19"/>
      <c r="H584" s="19" t="s">
        <v>94</v>
      </c>
      <c r="I584" s="19"/>
      <c r="J584" s="19"/>
      <c r="K584" s="19"/>
      <c r="L584" s="19" t="s">
        <v>3821</v>
      </c>
      <c r="M584" s="19" t="s">
        <v>3822</v>
      </c>
      <c r="N584" s="19" t="s">
        <v>9161</v>
      </c>
      <c r="O584" s="19" t="s">
        <v>100</v>
      </c>
      <c r="P584" s="19"/>
      <c r="Q584" s="19"/>
      <c r="R584" s="19"/>
      <c r="S584" s="19"/>
      <c r="T584" s="19"/>
      <c r="U584" s="19"/>
      <c r="V584" s="19"/>
      <c r="W584" s="19"/>
      <c r="X584" s="19"/>
      <c r="Y584" s="19" t="s">
        <v>101</v>
      </c>
      <c r="Z584" s="19" t="s">
        <v>102</v>
      </c>
      <c r="AA584" s="19" t="s">
        <v>103</v>
      </c>
      <c r="AB584" s="19" t="s">
        <v>402</v>
      </c>
      <c r="AC584" s="19" t="s">
        <v>403</v>
      </c>
      <c r="AD584" s="19" t="s">
        <v>9162</v>
      </c>
      <c r="AE584" s="19" t="s">
        <v>9163</v>
      </c>
      <c r="AF584" s="19" t="s">
        <v>9164</v>
      </c>
      <c r="AG584" s="19" t="s">
        <v>9165</v>
      </c>
      <c r="AH584" s="19" t="s">
        <v>1202</v>
      </c>
      <c r="AI584" s="19" t="s">
        <v>111</v>
      </c>
      <c r="AJ584" s="19" t="s">
        <v>9166</v>
      </c>
      <c r="AK584" s="19"/>
      <c r="AL584" s="19"/>
      <c r="AM584" s="19" t="s">
        <v>9167</v>
      </c>
      <c r="AN584" s="19" t="s">
        <v>9168</v>
      </c>
      <c r="AO584" s="19" t="s">
        <v>1206</v>
      </c>
      <c r="AP584" s="19" t="s">
        <v>1207</v>
      </c>
      <c r="AQ584" s="19" t="s">
        <v>117</v>
      </c>
      <c r="AR584" s="19" t="s">
        <v>1208</v>
      </c>
      <c r="AS584" s="19" t="s">
        <v>1209</v>
      </c>
      <c r="AT584" s="19" t="s">
        <v>1210</v>
      </c>
      <c r="AU584" s="19" t="s">
        <v>1211</v>
      </c>
      <c r="AV584" s="19" t="s">
        <v>219</v>
      </c>
      <c r="AW584" s="19" t="s">
        <v>1212</v>
      </c>
      <c r="AX584" s="19" t="s">
        <v>124</v>
      </c>
      <c r="AY584" s="19" t="s">
        <v>1213</v>
      </c>
      <c r="AZ584" s="19" t="s">
        <v>1214</v>
      </c>
      <c r="BA584" s="20">
        <v>37560</v>
      </c>
      <c r="BB584" s="19" t="s">
        <v>161</v>
      </c>
      <c r="BC584" s="19" t="s">
        <v>9169</v>
      </c>
      <c r="BD584" s="19" t="s">
        <v>9170</v>
      </c>
      <c r="BE584" s="19" t="s">
        <v>130</v>
      </c>
      <c r="BF584" s="19" t="s">
        <v>9171</v>
      </c>
      <c r="BG584" s="19"/>
      <c r="BH584" s="19" t="s">
        <v>9172</v>
      </c>
      <c r="BI584" s="19" t="s">
        <v>9172</v>
      </c>
      <c r="BJ584" s="19" t="s">
        <v>194</v>
      </c>
      <c r="BK584" s="19" t="s">
        <v>591</v>
      </c>
      <c r="BL584" s="19" t="s">
        <v>122</v>
      </c>
      <c r="BM584" s="19" t="s">
        <v>592</v>
      </c>
      <c r="BN584" s="21">
        <v>2.677</v>
      </c>
      <c r="BO584" s="21">
        <v>5068.4444100000001</v>
      </c>
      <c r="BQ584" s="2"/>
      <c r="BR584" s="2"/>
      <c r="BS584" s="2"/>
      <c r="BT584" s="2"/>
      <c r="BU584" s="22"/>
      <c r="BV584" s="2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</row>
    <row r="585" spans="1:95" x14ac:dyDescent="0.25">
      <c r="A585" s="18">
        <v>582</v>
      </c>
      <c r="B585" s="19" t="s">
        <v>9173</v>
      </c>
      <c r="C585" s="19" t="s">
        <v>9174</v>
      </c>
      <c r="D585" s="20">
        <v>45999</v>
      </c>
      <c r="E585" s="20">
        <v>31172</v>
      </c>
      <c r="F585" s="19"/>
      <c r="G585" s="19"/>
      <c r="H585" s="19" t="s">
        <v>94</v>
      </c>
      <c r="I585" s="19"/>
      <c r="J585" s="19"/>
      <c r="K585" s="19"/>
      <c r="L585" s="19" t="s">
        <v>140</v>
      </c>
      <c r="M585" s="19" t="s">
        <v>141</v>
      </c>
      <c r="N585" s="19" t="s">
        <v>9175</v>
      </c>
      <c r="O585" s="19" t="s">
        <v>100</v>
      </c>
      <c r="P585" s="19"/>
      <c r="Q585" s="19"/>
      <c r="R585" s="19"/>
      <c r="S585" s="19"/>
      <c r="T585" s="19"/>
      <c r="U585" s="19"/>
      <c r="V585" s="19"/>
      <c r="W585" s="19"/>
      <c r="X585" s="19"/>
      <c r="Y585" s="19" t="s">
        <v>101</v>
      </c>
      <c r="Z585" s="19" t="s">
        <v>102</v>
      </c>
      <c r="AA585" s="19" t="s">
        <v>103</v>
      </c>
      <c r="AB585" s="19" t="s">
        <v>173</v>
      </c>
      <c r="AC585" s="19" t="s">
        <v>174</v>
      </c>
      <c r="AD585" s="19" t="s">
        <v>9176</v>
      </c>
      <c r="AE585" s="19" t="s">
        <v>9177</v>
      </c>
      <c r="AF585" s="19" t="s">
        <v>9178</v>
      </c>
      <c r="AG585" s="19" t="s">
        <v>1004</v>
      </c>
      <c r="AH585" s="19" t="s">
        <v>149</v>
      </c>
      <c r="AI585" s="19" t="s">
        <v>111</v>
      </c>
      <c r="AJ585" s="19" t="s">
        <v>9179</v>
      </c>
      <c r="AK585" s="19"/>
      <c r="AL585" s="19"/>
      <c r="AM585" s="19" t="s">
        <v>9180</v>
      </c>
      <c r="AN585" s="19" t="s">
        <v>9181</v>
      </c>
      <c r="AO585" s="19" t="s">
        <v>181</v>
      </c>
      <c r="AP585" s="19" t="s">
        <v>182</v>
      </c>
      <c r="AQ585" s="19" t="s">
        <v>117</v>
      </c>
      <c r="AR585" s="19" t="s">
        <v>183</v>
      </c>
      <c r="AS585" s="19" t="s">
        <v>184</v>
      </c>
      <c r="AT585" s="19" t="s">
        <v>185</v>
      </c>
      <c r="AU585" s="19"/>
      <c r="AV585" s="19" t="s">
        <v>186</v>
      </c>
      <c r="AW585" s="19" t="s">
        <v>187</v>
      </c>
      <c r="AX585" s="19" t="s">
        <v>188</v>
      </c>
      <c r="AY585" s="19"/>
      <c r="AZ585" s="19" t="s">
        <v>189</v>
      </c>
      <c r="BA585" s="20">
        <v>44673</v>
      </c>
      <c r="BB585" s="19" t="s">
        <v>331</v>
      </c>
      <c r="BC585" s="19" t="s">
        <v>9182</v>
      </c>
      <c r="BD585" s="19" t="s">
        <v>1004</v>
      </c>
      <c r="BE585" s="19" t="s">
        <v>130</v>
      </c>
      <c r="BF585" s="19" t="s">
        <v>9183</v>
      </c>
      <c r="BG585" s="19"/>
      <c r="BH585" s="19" t="s">
        <v>9184</v>
      </c>
      <c r="BI585" s="19" t="s">
        <v>9184</v>
      </c>
      <c r="BJ585" s="19" t="s">
        <v>194</v>
      </c>
      <c r="BK585" s="19" t="s">
        <v>195</v>
      </c>
      <c r="BL585" s="19" t="s">
        <v>122</v>
      </c>
      <c r="BM585" s="19" t="s">
        <v>196</v>
      </c>
      <c r="BN585" s="21">
        <v>89.445999999999998</v>
      </c>
      <c r="BO585" s="21">
        <v>3168.5529931999999</v>
      </c>
      <c r="BQ585" s="2"/>
      <c r="BR585" s="2"/>
      <c r="BS585" s="2"/>
      <c r="BT585" s="2"/>
      <c r="BU585" s="22"/>
      <c r="BV585" s="2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</row>
    <row r="586" spans="1:95" x14ac:dyDescent="0.25">
      <c r="A586" s="18">
        <v>583</v>
      </c>
      <c r="B586" s="19" t="s">
        <v>9185</v>
      </c>
      <c r="C586" s="19" t="s">
        <v>9186</v>
      </c>
      <c r="D586" s="20">
        <v>45993</v>
      </c>
      <c r="E586" s="20">
        <v>28127</v>
      </c>
      <c r="F586" s="19"/>
      <c r="G586" s="19"/>
      <c r="H586" s="19" t="s">
        <v>94</v>
      </c>
      <c r="I586" s="19"/>
      <c r="J586" s="19"/>
      <c r="K586" s="19"/>
      <c r="L586" s="19" t="s">
        <v>1619</v>
      </c>
      <c r="M586" s="19" t="s">
        <v>1620</v>
      </c>
      <c r="N586" s="19" t="s">
        <v>9187</v>
      </c>
      <c r="O586" s="19" t="s">
        <v>100</v>
      </c>
      <c r="P586" s="19"/>
      <c r="Q586" s="19"/>
      <c r="R586" s="19"/>
      <c r="S586" s="19"/>
      <c r="T586" s="19"/>
      <c r="U586" s="19"/>
      <c r="V586" s="19"/>
      <c r="W586" s="19"/>
      <c r="X586" s="19"/>
      <c r="Y586" s="19" t="s">
        <v>101</v>
      </c>
      <c r="Z586" s="19" t="s">
        <v>102</v>
      </c>
      <c r="AA586" s="19" t="s">
        <v>103</v>
      </c>
      <c r="AB586" s="19" t="s">
        <v>1940</v>
      </c>
      <c r="AC586" s="19" t="s">
        <v>1941</v>
      </c>
      <c r="AD586" s="19" t="s">
        <v>9188</v>
      </c>
      <c r="AE586" s="19" t="s">
        <v>9189</v>
      </c>
      <c r="AF586" s="19" t="s">
        <v>9190</v>
      </c>
      <c r="AG586" s="19" t="s">
        <v>4126</v>
      </c>
      <c r="AH586" s="19" t="s">
        <v>110</v>
      </c>
      <c r="AI586" s="19" t="s">
        <v>111</v>
      </c>
      <c r="AJ586" s="19" t="s">
        <v>4856</v>
      </c>
      <c r="AK586" s="19"/>
      <c r="AL586" s="19"/>
      <c r="AM586" s="19" t="s">
        <v>9191</v>
      </c>
      <c r="AN586" s="19" t="s">
        <v>9192</v>
      </c>
      <c r="AO586" s="19" t="s">
        <v>9193</v>
      </c>
      <c r="AP586" s="19" t="s">
        <v>9194</v>
      </c>
      <c r="AQ586" s="19" t="s">
        <v>117</v>
      </c>
      <c r="AR586" s="19" t="s">
        <v>9195</v>
      </c>
      <c r="AS586" s="19" t="s">
        <v>9196</v>
      </c>
      <c r="AT586" s="19"/>
      <c r="AU586" s="19"/>
      <c r="AV586" s="19" t="s">
        <v>9197</v>
      </c>
      <c r="AW586" s="19" t="s">
        <v>9198</v>
      </c>
      <c r="AX586" s="19" t="s">
        <v>110</v>
      </c>
      <c r="AY586" s="19" t="s">
        <v>9199</v>
      </c>
      <c r="AZ586" s="19" t="s">
        <v>9200</v>
      </c>
      <c r="BA586" s="20">
        <v>45330</v>
      </c>
      <c r="BB586" s="19" t="s">
        <v>363</v>
      </c>
      <c r="BC586" s="19" t="s">
        <v>9201</v>
      </c>
      <c r="BD586" s="19" t="s">
        <v>4126</v>
      </c>
      <c r="BE586" s="19" t="s">
        <v>130</v>
      </c>
      <c r="BF586" s="19" t="s">
        <v>9202</v>
      </c>
      <c r="BG586" s="19" t="s">
        <v>9203</v>
      </c>
      <c r="BH586" s="19" t="s">
        <v>9204</v>
      </c>
      <c r="BI586" s="19" t="s">
        <v>9204</v>
      </c>
      <c r="BJ586" s="19" t="s">
        <v>166</v>
      </c>
      <c r="BK586" s="19" t="s">
        <v>2444</v>
      </c>
      <c r="BL586" s="19" t="s">
        <v>2445</v>
      </c>
      <c r="BM586" s="19" t="s">
        <v>592</v>
      </c>
      <c r="BN586" s="21">
        <v>148.239</v>
      </c>
      <c r="BO586" s="21">
        <v>100259.1647694</v>
      </c>
      <c r="BQ586" s="2"/>
      <c r="BR586" s="2"/>
      <c r="BS586" s="2"/>
      <c r="BT586" s="2"/>
      <c r="BU586" s="22"/>
      <c r="BV586" s="2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</row>
    <row r="587" spans="1:95" x14ac:dyDescent="0.25">
      <c r="A587" s="18">
        <v>584</v>
      </c>
      <c r="B587" s="19" t="s">
        <v>9205</v>
      </c>
      <c r="C587" s="19" t="s">
        <v>9206</v>
      </c>
      <c r="D587" s="20">
        <v>45996</v>
      </c>
      <c r="E587" s="20"/>
      <c r="F587" s="19" t="s">
        <v>9207</v>
      </c>
      <c r="G587" s="19" t="s">
        <v>139</v>
      </c>
      <c r="H587" s="19" t="s">
        <v>94</v>
      </c>
      <c r="I587" s="19"/>
      <c r="J587" s="19"/>
      <c r="K587" s="19"/>
      <c r="L587" s="19"/>
      <c r="M587" s="19"/>
      <c r="N587" s="19" t="s">
        <v>9208</v>
      </c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 t="s">
        <v>101</v>
      </c>
      <c r="Z587" s="19" t="s">
        <v>102</v>
      </c>
      <c r="AA587" s="19" t="s">
        <v>103</v>
      </c>
      <c r="AB587" s="19" t="s">
        <v>387</v>
      </c>
      <c r="AC587" s="19" t="s">
        <v>388</v>
      </c>
      <c r="AD587" s="19" t="s">
        <v>9209</v>
      </c>
      <c r="AE587" s="19" t="s">
        <v>9210</v>
      </c>
      <c r="AF587" s="19"/>
      <c r="AG587" s="19" t="s">
        <v>490</v>
      </c>
      <c r="AH587" s="19"/>
      <c r="AI587" s="19"/>
      <c r="AJ587" s="19" t="s">
        <v>9211</v>
      </c>
      <c r="AK587" s="19"/>
      <c r="AL587" s="19"/>
      <c r="AM587" s="19"/>
      <c r="AN587" s="19"/>
      <c r="AO587" s="19" t="s">
        <v>1077</v>
      </c>
      <c r="AP587" s="19" t="s">
        <v>1077</v>
      </c>
      <c r="AQ587" s="19" t="s">
        <v>117</v>
      </c>
      <c r="AR587" s="19"/>
      <c r="AS587" s="19" t="s">
        <v>1078</v>
      </c>
      <c r="AT587" s="19"/>
      <c r="AU587" s="19"/>
      <c r="AV587" s="19"/>
      <c r="AW587" s="19" t="s">
        <v>1079</v>
      </c>
      <c r="AX587" s="19"/>
      <c r="AY587" s="19"/>
      <c r="AZ587" s="19"/>
      <c r="BA587" s="20">
        <v>38627</v>
      </c>
      <c r="BB587" s="19" t="s">
        <v>363</v>
      </c>
      <c r="BC587" s="19"/>
      <c r="BD587" s="19" t="s">
        <v>260</v>
      </c>
      <c r="BE587" s="19"/>
      <c r="BF587" s="19" t="s">
        <v>9212</v>
      </c>
      <c r="BG587" s="19"/>
      <c r="BH587" s="19"/>
      <c r="BI587" s="19"/>
      <c r="BJ587" s="19" t="s">
        <v>166</v>
      </c>
      <c r="BK587" s="19" t="s">
        <v>221</v>
      </c>
      <c r="BL587" s="19" t="s">
        <v>222</v>
      </c>
      <c r="BM587" s="19" t="s">
        <v>169</v>
      </c>
      <c r="BN587" s="21">
        <v>395.87</v>
      </c>
      <c r="BO587" s="21">
        <v>840649.73849999998</v>
      </c>
      <c r="BQ587" s="2"/>
      <c r="BR587" s="2"/>
      <c r="BS587" s="2"/>
      <c r="BT587" s="2"/>
      <c r="BU587" s="22"/>
      <c r="BV587" s="2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</row>
    <row r="588" spans="1:95" x14ac:dyDescent="0.25">
      <c r="A588" s="18">
        <v>585</v>
      </c>
      <c r="B588" s="19" t="s">
        <v>9213</v>
      </c>
      <c r="C588" s="19" t="s">
        <v>9214</v>
      </c>
      <c r="D588" s="20">
        <v>45999</v>
      </c>
      <c r="E588" s="20">
        <v>35683</v>
      </c>
      <c r="F588" s="19" t="s">
        <v>9215</v>
      </c>
      <c r="G588" s="19" t="s">
        <v>139</v>
      </c>
      <c r="H588" s="19" t="s">
        <v>94</v>
      </c>
      <c r="I588" s="19"/>
      <c r="J588" s="19"/>
      <c r="K588" s="19"/>
      <c r="L588" s="19" t="s">
        <v>244</v>
      </c>
      <c r="M588" s="19" t="s">
        <v>245</v>
      </c>
      <c r="N588" s="19" t="s">
        <v>9216</v>
      </c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 t="s">
        <v>101</v>
      </c>
      <c r="Z588" s="19" t="s">
        <v>102</v>
      </c>
      <c r="AA588" s="19" t="s">
        <v>103</v>
      </c>
      <c r="AB588" s="19" t="s">
        <v>5912</v>
      </c>
      <c r="AC588" s="19" t="s">
        <v>5913</v>
      </c>
      <c r="AD588" s="19" t="s">
        <v>9217</v>
      </c>
      <c r="AE588" s="19" t="s">
        <v>9218</v>
      </c>
      <c r="AF588" s="19" t="s">
        <v>9219</v>
      </c>
      <c r="AG588" s="19" t="s">
        <v>481</v>
      </c>
      <c r="AH588" s="19" t="s">
        <v>707</v>
      </c>
      <c r="AI588" s="19" t="s">
        <v>111</v>
      </c>
      <c r="AJ588" s="19" t="s">
        <v>9220</v>
      </c>
      <c r="AK588" s="19"/>
      <c r="AL588" s="19"/>
      <c r="AM588" s="19" t="s">
        <v>9221</v>
      </c>
      <c r="AN588" s="19" t="s">
        <v>9222</v>
      </c>
      <c r="AO588" s="19" t="s">
        <v>255</v>
      </c>
      <c r="AP588" s="19" t="s">
        <v>256</v>
      </c>
      <c r="AQ588" s="19" t="s">
        <v>117</v>
      </c>
      <c r="AR588" s="19" t="s">
        <v>257</v>
      </c>
      <c r="AS588" s="19" t="s">
        <v>258</v>
      </c>
      <c r="AT588" s="19" t="s">
        <v>259</v>
      </c>
      <c r="AU588" s="19" t="s">
        <v>260</v>
      </c>
      <c r="AV588" s="19" t="s">
        <v>260</v>
      </c>
      <c r="AW588" s="19" t="s">
        <v>261</v>
      </c>
      <c r="AX588" s="19" t="s">
        <v>262</v>
      </c>
      <c r="AY588" s="19" t="s">
        <v>263</v>
      </c>
      <c r="AZ588" s="19" t="s">
        <v>264</v>
      </c>
      <c r="BA588" s="20">
        <v>43627</v>
      </c>
      <c r="BB588" s="19" t="s">
        <v>444</v>
      </c>
      <c r="BC588" s="19" t="s">
        <v>9223</v>
      </c>
      <c r="BD588" s="19" t="s">
        <v>365</v>
      </c>
      <c r="BE588" s="19" t="s">
        <v>130</v>
      </c>
      <c r="BF588" s="19" t="s">
        <v>9224</v>
      </c>
      <c r="BG588" s="19"/>
      <c r="BH588" s="19" t="s">
        <v>9225</v>
      </c>
      <c r="BI588" s="19" t="s">
        <v>9225</v>
      </c>
      <c r="BJ588" s="19" t="s">
        <v>166</v>
      </c>
      <c r="BK588" s="19" t="s">
        <v>167</v>
      </c>
      <c r="BL588" s="19" t="s">
        <v>168</v>
      </c>
      <c r="BM588" s="19" t="s">
        <v>169</v>
      </c>
      <c r="BN588" s="21">
        <v>371.60599999999999</v>
      </c>
      <c r="BO588" s="21">
        <v>9525.9340069999998</v>
      </c>
      <c r="BQ588" s="2"/>
      <c r="BR588" s="2"/>
      <c r="BS588" s="2"/>
      <c r="BT588" s="2"/>
      <c r="BU588" s="22"/>
      <c r="BV588" s="2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</row>
    <row r="589" spans="1:95" x14ac:dyDescent="0.25">
      <c r="A589" s="18">
        <v>586</v>
      </c>
      <c r="B589" s="19" t="s">
        <v>9226</v>
      </c>
      <c r="C589" s="19" t="s">
        <v>9227</v>
      </c>
      <c r="D589" s="20">
        <v>46001</v>
      </c>
      <c r="E589" s="20">
        <v>29403</v>
      </c>
      <c r="F589" s="19"/>
      <c r="G589" s="19"/>
      <c r="H589" s="19" t="s">
        <v>94</v>
      </c>
      <c r="I589" s="19"/>
      <c r="J589" s="19"/>
      <c r="K589" s="19"/>
      <c r="L589" s="19" t="s">
        <v>140</v>
      </c>
      <c r="M589" s="19" t="s">
        <v>141</v>
      </c>
      <c r="N589" s="19" t="s">
        <v>9228</v>
      </c>
      <c r="O589" s="19" t="s">
        <v>100</v>
      </c>
      <c r="P589" s="19"/>
      <c r="Q589" s="19"/>
      <c r="R589" s="19"/>
      <c r="S589" s="19"/>
      <c r="T589" s="19"/>
      <c r="U589" s="19"/>
      <c r="V589" s="19"/>
      <c r="W589" s="19"/>
      <c r="X589" s="19"/>
      <c r="Y589" s="19" t="s">
        <v>101</v>
      </c>
      <c r="Z589" s="19" t="s">
        <v>102</v>
      </c>
      <c r="AA589" s="19" t="s">
        <v>103</v>
      </c>
      <c r="AB589" s="19" t="s">
        <v>173</v>
      </c>
      <c r="AC589" s="19" t="s">
        <v>174</v>
      </c>
      <c r="AD589" s="19" t="s">
        <v>9229</v>
      </c>
      <c r="AE589" s="19"/>
      <c r="AF589" s="19"/>
      <c r="AG589" s="19" t="s">
        <v>9230</v>
      </c>
      <c r="AH589" s="19" t="s">
        <v>376</v>
      </c>
      <c r="AI589" s="19" t="s">
        <v>111</v>
      </c>
      <c r="AJ589" s="19" t="s">
        <v>9231</v>
      </c>
      <c r="AK589" s="19"/>
      <c r="AL589" s="19"/>
      <c r="AM589" s="19" t="s">
        <v>9232</v>
      </c>
      <c r="AN589" s="19" t="s">
        <v>9233</v>
      </c>
      <c r="AO589" s="19" t="s">
        <v>181</v>
      </c>
      <c r="AP589" s="19" t="s">
        <v>182</v>
      </c>
      <c r="AQ589" s="19" t="s">
        <v>117</v>
      </c>
      <c r="AR589" s="19" t="s">
        <v>183</v>
      </c>
      <c r="AS589" s="19" t="s">
        <v>184</v>
      </c>
      <c r="AT589" s="19" t="s">
        <v>185</v>
      </c>
      <c r="AU589" s="19"/>
      <c r="AV589" s="19" t="s">
        <v>186</v>
      </c>
      <c r="AW589" s="19" t="s">
        <v>187</v>
      </c>
      <c r="AX589" s="19" t="s">
        <v>188</v>
      </c>
      <c r="AY589" s="19"/>
      <c r="AZ589" s="19" t="s">
        <v>189</v>
      </c>
      <c r="BA589" s="20">
        <v>44673</v>
      </c>
      <c r="BB589" s="19" t="s">
        <v>363</v>
      </c>
      <c r="BC589" s="19" t="s">
        <v>9230</v>
      </c>
      <c r="BD589" s="19" t="s">
        <v>9230</v>
      </c>
      <c r="BE589" s="19" t="s">
        <v>130</v>
      </c>
      <c r="BF589" s="19" t="s">
        <v>9234</v>
      </c>
      <c r="BG589" s="19"/>
      <c r="BH589" s="19" t="s">
        <v>9235</v>
      </c>
      <c r="BI589" s="19" t="s">
        <v>9235</v>
      </c>
      <c r="BJ589" s="19" t="s">
        <v>194</v>
      </c>
      <c r="BK589" s="19" t="s">
        <v>195</v>
      </c>
      <c r="BL589" s="19" t="s">
        <v>122</v>
      </c>
      <c r="BM589" s="19" t="s">
        <v>196</v>
      </c>
      <c r="BN589" s="21">
        <v>17.451000000000001</v>
      </c>
      <c r="BO589" s="21">
        <v>618.18771419999996</v>
      </c>
      <c r="BQ589" s="2"/>
      <c r="BR589" s="2"/>
      <c r="BS589" s="2"/>
      <c r="BT589" s="2"/>
      <c r="BU589" s="22"/>
      <c r="BV589" s="2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</row>
    <row r="590" spans="1:95" x14ac:dyDescent="0.25">
      <c r="A590" s="18">
        <v>587</v>
      </c>
      <c r="B590" s="19" t="s">
        <v>9236</v>
      </c>
      <c r="C590" s="19" t="s">
        <v>9237</v>
      </c>
      <c r="D590" s="20">
        <v>46012</v>
      </c>
      <c r="E590" s="20">
        <v>33678</v>
      </c>
      <c r="F590" s="19"/>
      <c r="G590" s="19"/>
      <c r="H590" s="19" t="s">
        <v>94</v>
      </c>
      <c r="I590" s="19"/>
      <c r="J590" s="19"/>
      <c r="K590" s="19"/>
      <c r="L590" s="19" t="s">
        <v>289</v>
      </c>
      <c r="M590" s="19" t="s">
        <v>290</v>
      </c>
      <c r="N590" s="19" t="s">
        <v>9238</v>
      </c>
      <c r="O590" s="19" t="s">
        <v>100</v>
      </c>
      <c r="P590" s="19"/>
      <c r="Q590" s="19"/>
      <c r="R590" s="19"/>
      <c r="S590" s="19"/>
      <c r="T590" s="19"/>
      <c r="U590" s="19"/>
      <c r="V590" s="19"/>
      <c r="W590" s="19"/>
      <c r="X590" s="19"/>
      <c r="Y590" s="19" t="s">
        <v>101</v>
      </c>
      <c r="Z590" s="19" t="s">
        <v>102</v>
      </c>
      <c r="AA590" s="19" t="s">
        <v>103</v>
      </c>
      <c r="AB590" s="19" t="s">
        <v>487</v>
      </c>
      <c r="AC590" s="19" t="s">
        <v>488</v>
      </c>
      <c r="AD590" s="19" t="s">
        <v>9239</v>
      </c>
      <c r="AE590" s="19"/>
      <c r="AF590" s="19"/>
      <c r="AG590" s="19" t="s">
        <v>978</v>
      </c>
      <c r="AH590" s="19" t="s">
        <v>262</v>
      </c>
      <c r="AI590" s="19" t="s">
        <v>111</v>
      </c>
      <c r="AJ590" s="19" t="s">
        <v>9240</v>
      </c>
      <c r="AK590" s="19"/>
      <c r="AL590" s="19"/>
      <c r="AM590" s="19" t="s">
        <v>9241</v>
      </c>
      <c r="AN590" s="19" t="s">
        <v>9242</v>
      </c>
      <c r="AO590" s="19" t="s">
        <v>494</v>
      </c>
      <c r="AP590" s="19" t="s">
        <v>495</v>
      </c>
      <c r="AQ590" s="19" t="s">
        <v>117</v>
      </c>
      <c r="AR590" s="19" t="s">
        <v>496</v>
      </c>
      <c r="AS590" s="19" t="s">
        <v>497</v>
      </c>
      <c r="AT590" s="19" t="s">
        <v>498</v>
      </c>
      <c r="AU590" s="19" t="s">
        <v>499</v>
      </c>
      <c r="AV590" s="19" t="s">
        <v>168</v>
      </c>
      <c r="AW590" s="19" t="s">
        <v>500</v>
      </c>
      <c r="AX590" s="19" t="s">
        <v>262</v>
      </c>
      <c r="AY590" s="19" t="s">
        <v>501</v>
      </c>
      <c r="AZ590" s="19" t="s">
        <v>502</v>
      </c>
      <c r="BA590" s="20">
        <v>45832</v>
      </c>
      <c r="BB590" s="19" t="s">
        <v>2575</v>
      </c>
      <c r="BC590" s="19" t="s">
        <v>9243</v>
      </c>
      <c r="BD590" s="19" t="s">
        <v>260</v>
      </c>
      <c r="BE590" s="19" t="s">
        <v>130</v>
      </c>
      <c r="BF590" s="19" t="s">
        <v>9244</v>
      </c>
      <c r="BG590" s="19"/>
      <c r="BH590" s="19" t="s">
        <v>9245</v>
      </c>
      <c r="BI590" s="19" t="s">
        <v>9245</v>
      </c>
      <c r="BJ590" s="19" t="s">
        <v>166</v>
      </c>
      <c r="BK590" s="19" t="s">
        <v>167</v>
      </c>
      <c r="BL590" s="19" t="s">
        <v>168</v>
      </c>
      <c r="BM590" s="19" t="s">
        <v>169</v>
      </c>
      <c r="BN590" s="21">
        <v>0.46200000000000002</v>
      </c>
      <c r="BO590" s="21">
        <v>200.04914160000001</v>
      </c>
      <c r="BQ590" s="2"/>
      <c r="BR590" s="2"/>
      <c r="BS590" s="2"/>
      <c r="BT590" s="2"/>
      <c r="BU590" s="22"/>
      <c r="BV590" s="2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</row>
    <row r="591" spans="1:95" x14ac:dyDescent="0.25">
      <c r="A591" s="18">
        <v>588</v>
      </c>
      <c r="B591" s="19" t="s">
        <v>9246</v>
      </c>
      <c r="C591" s="19" t="s">
        <v>9247</v>
      </c>
      <c r="D591" s="20">
        <v>46001</v>
      </c>
      <c r="E591" s="20">
        <v>36507</v>
      </c>
      <c r="F591" s="19"/>
      <c r="G591" s="19"/>
      <c r="H591" s="19" t="s">
        <v>94</v>
      </c>
      <c r="I591" s="19"/>
      <c r="J591" s="19" t="s">
        <v>95</v>
      </c>
      <c r="K591" s="19" t="s">
        <v>96</v>
      </c>
      <c r="L591" s="19" t="s">
        <v>97</v>
      </c>
      <c r="M591" s="19" t="s">
        <v>98</v>
      </c>
      <c r="N591" s="19" t="s">
        <v>9248</v>
      </c>
      <c r="O591" s="19" t="s">
        <v>100</v>
      </c>
      <c r="P591" s="19"/>
      <c r="Q591" s="19"/>
      <c r="R591" s="19"/>
      <c r="S591" s="19"/>
      <c r="T591" s="19"/>
      <c r="U591" s="19"/>
      <c r="V591" s="19"/>
      <c r="W591" s="19"/>
      <c r="X591" s="19"/>
      <c r="Y591" s="19" t="s">
        <v>101</v>
      </c>
      <c r="Z591" s="19" t="s">
        <v>102</v>
      </c>
      <c r="AA591" s="19" t="s">
        <v>103</v>
      </c>
      <c r="AB591" s="19" t="s">
        <v>812</v>
      </c>
      <c r="AC591" s="19" t="s">
        <v>813</v>
      </c>
      <c r="AD591" s="19" t="s">
        <v>9249</v>
      </c>
      <c r="AE591" s="19" t="s">
        <v>9250</v>
      </c>
      <c r="AF591" s="19" t="s">
        <v>623</v>
      </c>
      <c r="AG591" s="19" t="s">
        <v>623</v>
      </c>
      <c r="AH591" s="19" t="s">
        <v>124</v>
      </c>
      <c r="AI591" s="19" t="s">
        <v>111</v>
      </c>
      <c r="AJ591" s="19" t="s">
        <v>3367</v>
      </c>
      <c r="AK591" s="19"/>
      <c r="AL591" s="19"/>
      <c r="AM591" s="19" t="s">
        <v>9251</v>
      </c>
      <c r="AN591" s="19" t="s">
        <v>9252</v>
      </c>
      <c r="AO591" s="19" t="s">
        <v>8684</v>
      </c>
      <c r="AP591" s="19" t="s">
        <v>8685</v>
      </c>
      <c r="AQ591" s="19" t="s">
        <v>117</v>
      </c>
      <c r="AR591" s="19" t="s">
        <v>8686</v>
      </c>
      <c r="AS591" s="19" t="s">
        <v>8687</v>
      </c>
      <c r="AT591" s="19" t="s">
        <v>8688</v>
      </c>
      <c r="AU591" s="19" t="s">
        <v>8689</v>
      </c>
      <c r="AV591" s="19" t="s">
        <v>616</v>
      </c>
      <c r="AW591" s="19" t="s">
        <v>7800</v>
      </c>
      <c r="AX591" s="19" t="s">
        <v>901</v>
      </c>
      <c r="AY591" s="19" t="s">
        <v>8690</v>
      </c>
      <c r="AZ591" s="19" t="s">
        <v>8691</v>
      </c>
      <c r="BA591" s="20">
        <v>43341</v>
      </c>
      <c r="BB591" s="19" t="s">
        <v>127</v>
      </c>
      <c r="BC591" s="19" t="s">
        <v>9253</v>
      </c>
      <c r="BD591" s="19" t="s">
        <v>219</v>
      </c>
      <c r="BE591" s="19" t="s">
        <v>130</v>
      </c>
      <c r="BF591" s="19" t="s">
        <v>9254</v>
      </c>
      <c r="BG591" s="19"/>
      <c r="BH591" s="19" t="s">
        <v>9255</v>
      </c>
      <c r="BI591" s="19" t="s">
        <v>9255</v>
      </c>
      <c r="BJ591" s="19"/>
      <c r="BK591" s="19" t="s">
        <v>5715</v>
      </c>
      <c r="BL591" s="19" t="s">
        <v>616</v>
      </c>
      <c r="BM591" s="19" t="s">
        <v>196</v>
      </c>
      <c r="BN591" s="21">
        <v>59.186</v>
      </c>
      <c r="BO591" s="21">
        <v>2051.9786199999999</v>
      </c>
      <c r="BQ591" s="2"/>
      <c r="BR591" s="2"/>
      <c r="BS591" s="2"/>
      <c r="BT591" s="2"/>
      <c r="BU591" s="22"/>
      <c r="BV591" s="2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</row>
    <row r="592" spans="1:95" x14ac:dyDescent="0.25">
      <c r="A592" s="18">
        <v>589</v>
      </c>
      <c r="B592" s="19" t="s">
        <v>9256</v>
      </c>
      <c r="C592" s="19" t="s">
        <v>9257</v>
      </c>
      <c r="D592" s="20">
        <v>46005</v>
      </c>
      <c r="E592" s="20">
        <v>37362</v>
      </c>
      <c r="F592" s="19" t="s">
        <v>9258</v>
      </c>
      <c r="G592" s="19" t="s">
        <v>139</v>
      </c>
      <c r="H592" s="19" t="s">
        <v>94</v>
      </c>
      <c r="I592" s="19"/>
      <c r="J592" s="19"/>
      <c r="K592" s="19"/>
      <c r="L592" s="19" t="s">
        <v>244</v>
      </c>
      <c r="M592" s="19" t="s">
        <v>245</v>
      </c>
      <c r="N592" s="19" t="s">
        <v>9259</v>
      </c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 t="s">
        <v>101</v>
      </c>
      <c r="Z592" s="19" t="s">
        <v>102</v>
      </c>
      <c r="AA592" s="19" t="s">
        <v>103</v>
      </c>
      <c r="AB592" s="19" t="s">
        <v>247</v>
      </c>
      <c r="AC592" s="19" t="s">
        <v>248</v>
      </c>
      <c r="AD592" s="19" t="s">
        <v>9260</v>
      </c>
      <c r="AE592" s="19" t="s">
        <v>9261</v>
      </c>
      <c r="AF592" s="19" t="s">
        <v>9262</v>
      </c>
      <c r="AG592" s="19" t="s">
        <v>3653</v>
      </c>
      <c r="AH592" s="19" t="s">
        <v>124</v>
      </c>
      <c r="AI592" s="19" t="s">
        <v>111</v>
      </c>
      <c r="AJ592" s="19" t="s">
        <v>9263</v>
      </c>
      <c r="AK592" s="19"/>
      <c r="AL592" s="19"/>
      <c r="AM592" s="19" t="s">
        <v>9264</v>
      </c>
      <c r="AN592" s="19" t="s">
        <v>9265</v>
      </c>
      <c r="AO592" s="19" t="s">
        <v>255</v>
      </c>
      <c r="AP592" s="19" t="s">
        <v>256</v>
      </c>
      <c r="AQ592" s="19" t="s">
        <v>117</v>
      </c>
      <c r="AR592" s="19" t="s">
        <v>257</v>
      </c>
      <c r="AS592" s="19" t="s">
        <v>258</v>
      </c>
      <c r="AT592" s="19" t="s">
        <v>259</v>
      </c>
      <c r="AU592" s="19" t="s">
        <v>260</v>
      </c>
      <c r="AV592" s="19" t="s">
        <v>260</v>
      </c>
      <c r="AW592" s="19" t="s">
        <v>261</v>
      </c>
      <c r="AX592" s="19" t="s">
        <v>262</v>
      </c>
      <c r="AY592" s="19" t="s">
        <v>263</v>
      </c>
      <c r="AZ592" s="19" t="s">
        <v>264</v>
      </c>
      <c r="BA592" s="20">
        <v>43627</v>
      </c>
      <c r="BB592" s="19" t="s">
        <v>444</v>
      </c>
      <c r="BC592" s="19" t="s">
        <v>9266</v>
      </c>
      <c r="BD592" s="19" t="s">
        <v>3653</v>
      </c>
      <c r="BE592" s="19" t="s">
        <v>130</v>
      </c>
      <c r="BF592" s="19" t="s">
        <v>9267</v>
      </c>
      <c r="BG592" s="19"/>
      <c r="BH592" s="19" t="s">
        <v>9268</v>
      </c>
      <c r="BI592" s="19" t="s">
        <v>9268</v>
      </c>
      <c r="BJ592" s="19" t="s">
        <v>166</v>
      </c>
      <c r="BK592" s="19" t="s">
        <v>167</v>
      </c>
      <c r="BL592" s="19" t="s">
        <v>168</v>
      </c>
      <c r="BM592" s="19" t="s">
        <v>169</v>
      </c>
      <c r="BN592" s="21">
        <v>20.582999999999998</v>
      </c>
      <c r="BO592" s="21">
        <v>9025.9007292000006</v>
      </c>
      <c r="BQ592" s="2"/>
      <c r="BR592" s="2"/>
      <c r="BS592" s="2"/>
      <c r="BT592" s="2"/>
      <c r="BU592" s="22"/>
      <c r="BV592" s="2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</row>
    <row r="593" spans="1:95" x14ac:dyDescent="0.25">
      <c r="A593" s="18">
        <v>590</v>
      </c>
      <c r="B593" s="19" t="s">
        <v>9269</v>
      </c>
      <c r="C593" s="19" t="s">
        <v>9270</v>
      </c>
      <c r="D593" s="20">
        <v>46003</v>
      </c>
      <c r="E593" s="20">
        <v>35078</v>
      </c>
      <c r="F593" s="19" t="s">
        <v>9271</v>
      </c>
      <c r="G593" s="19" t="s">
        <v>139</v>
      </c>
      <c r="H593" s="19" t="s">
        <v>94</v>
      </c>
      <c r="I593" s="19"/>
      <c r="J593" s="19"/>
      <c r="K593" s="19"/>
      <c r="L593" s="19" t="s">
        <v>140</v>
      </c>
      <c r="M593" s="19" t="s">
        <v>141</v>
      </c>
      <c r="N593" s="19" t="s">
        <v>9272</v>
      </c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 t="s">
        <v>101</v>
      </c>
      <c r="Z593" s="19" t="s">
        <v>102</v>
      </c>
      <c r="AA593" s="19" t="s">
        <v>103</v>
      </c>
      <c r="AB593" s="19" t="s">
        <v>173</v>
      </c>
      <c r="AC593" s="19" t="s">
        <v>174</v>
      </c>
      <c r="AD593" s="19" t="s">
        <v>9273</v>
      </c>
      <c r="AE593" s="19" t="s">
        <v>9274</v>
      </c>
      <c r="AF593" s="19" t="s">
        <v>9275</v>
      </c>
      <c r="AG593" s="19" t="s">
        <v>3919</v>
      </c>
      <c r="AH593" s="19" t="s">
        <v>515</v>
      </c>
      <c r="AI593" s="19" t="s">
        <v>111</v>
      </c>
      <c r="AJ593" s="19" t="s">
        <v>9276</v>
      </c>
      <c r="AK593" s="19"/>
      <c r="AL593" s="19" t="s">
        <v>9277</v>
      </c>
      <c r="AM593" s="19" t="s">
        <v>9278</v>
      </c>
      <c r="AN593" s="19" t="s">
        <v>9279</v>
      </c>
      <c r="AO593" s="19" t="s">
        <v>154</v>
      </c>
      <c r="AP593" s="19" t="s">
        <v>155</v>
      </c>
      <c r="AQ593" s="19" t="s">
        <v>117</v>
      </c>
      <c r="AR593" s="19" t="s">
        <v>156</v>
      </c>
      <c r="AS593" s="19" t="s">
        <v>157</v>
      </c>
      <c r="AT593" s="19" t="s">
        <v>158</v>
      </c>
      <c r="AU593" s="19"/>
      <c r="AV593" s="19" t="s">
        <v>122</v>
      </c>
      <c r="AW593" s="19"/>
      <c r="AX593" s="19" t="s">
        <v>124</v>
      </c>
      <c r="AY593" s="19" t="s">
        <v>159</v>
      </c>
      <c r="AZ593" s="19" t="s">
        <v>160</v>
      </c>
      <c r="BA593" s="20">
        <v>44676</v>
      </c>
      <c r="BB593" s="19" t="s">
        <v>331</v>
      </c>
      <c r="BC593" s="19" t="s">
        <v>9280</v>
      </c>
      <c r="BD593" s="19" t="s">
        <v>8338</v>
      </c>
      <c r="BE593" s="19" t="s">
        <v>130</v>
      </c>
      <c r="BF593" s="19" t="s">
        <v>9281</v>
      </c>
      <c r="BG593" s="19"/>
      <c r="BH593" s="19" t="s">
        <v>9282</v>
      </c>
      <c r="BI593" s="19" t="s">
        <v>9282</v>
      </c>
      <c r="BJ593" s="19" t="s">
        <v>166</v>
      </c>
      <c r="BK593" s="19" t="s">
        <v>167</v>
      </c>
      <c r="BL593" s="19" t="s">
        <v>168</v>
      </c>
      <c r="BM593" s="19" t="s">
        <v>169</v>
      </c>
      <c r="BN593" s="21">
        <v>3.327</v>
      </c>
      <c r="BO593" s="21">
        <v>117.8563134</v>
      </c>
      <c r="BQ593" s="2"/>
      <c r="BR593" s="2"/>
      <c r="BS593" s="2"/>
      <c r="BT593" s="2"/>
      <c r="BU593" s="22"/>
      <c r="BV593" s="2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</row>
    <row r="594" spans="1:95" x14ac:dyDescent="0.25">
      <c r="A594" s="18">
        <v>591</v>
      </c>
      <c r="B594" s="19" t="s">
        <v>9283</v>
      </c>
      <c r="C594" s="19" t="s">
        <v>9284</v>
      </c>
      <c r="D594" s="20">
        <v>46006</v>
      </c>
      <c r="E594" s="20">
        <v>37143</v>
      </c>
      <c r="F594" s="19"/>
      <c r="G594" s="19"/>
      <c r="H594" s="19" t="s">
        <v>94</v>
      </c>
      <c r="I594" s="19"/>
      <c r="J594" s="19"/>
      <c r="K594" s="19"/>
      <c r="L594" s="19" t="s">
        <v>140</v>
      </c>
      <c r="M594" s="19" t="s">
        <v>141</v>
      </c>
      <c r="N594" s="19" t="s">
        <v>9285</v>
      </c>
      <c r="O594" s="19" t="s">
        <v>100</v>
      </c>
      <c r="P594" s="19"/>
      <c r="Q594" s="19"/>
      <c r="R594" s="19"/>
      <c r="S594" s="19"/>
      <c r="T594" s="19"/>
      <c r="U594" s="19"/>
      <c r="V594" s="19"/>
      <c r="W594" s="19"/>
      <c r="X594" s="19"/>
      <c r="Y594" s="19" t="s">
        <v>101</v>
      </c>
      <c r="Z594" s="19" t="s">
        <v>102</v>
      </c>
      <c r="AA594" s="19" t="s">
        <v>103</v>
      </c>
      <c r="AB594" s="19" t="s">
        <v>173</v>
      </c>
      <c r="AC594" s="19" t="s">
        <v>174</v>
      </c>
      <c r="AD594" s="19" t="s">
        <v>9286</v>
      </c>
      <c r="AE594" s="19" t="s">
        <v>9287</v>
      </c>
      <c r="AF594" s="19"/>
      <c r="AG594" s="19" t="s">
        <v>9288</v>
      </c>
      <c r="AH594" s="19" t="s">
        <v>1326</v>
      </c>
      <c r="AI594" s="19" t="s">
        <v>111</v>
      </c>
      <c r="AJ594" s="19" t="s">
        <v>9289</v>
      </c>
      <c r="AK594" s="19"/>
      <c r="AL594" s="19"/>
      <c r="AM594" s="19" t="s">
        <v>9290</v>
      </c>
      <c r="AN594" s="19" t="s">
        <v>9291</v>
      </c>
      <c r="AO594" s="19" t="s">
        <v>181</v>
      </c>
      <c r="AP594" s="19" t="s">
        <v>182</v>
      </c>
      <c r="AQ594" s="19" t="s">
        <v>117</v>
      </c>
      <c r="AR594" s="19" t="s">
        <v>183</v>
      </c>
      <c r="AS594" s="19" t="s">
        <v>184</v>
      </c>
      <c r="AT594" s="19" t="s">
        <v>185</v>
      </c>
      <c r="AU594" s="19"/>
      <c r="AV594" s="19" t="s">
        <v>186</v>
      </c>
      <c r="AW594" s="19" t="s">
        <v>187</v>
      </c>
      <c r="AX594" s="19" t="s">
        <v>188</v>
      </c>
      <c r="AY594" s="19"/>
      <c r="AZ594" s="19" t="s">
        <v>189</v>
      </c>
      <c r="BA594" s="20">
        <v>44673</v>
      </c>
      <c r="BB594" s="19" t="s">
        <v>312</v>
      </c>
      <c r="BC594" s="19" t="s">
        <v>9288</v>
      </c>
      <c r="BD594" s="19" t="s">
        <v>9288</v>
      </c>
      <c r="BE594" s="19" t="s">
        <v>130</v>
      </c>
      <c r="BF594" s="19" t="s">
        <v>9292</v>
      </c>
      <c r="BG594" s="19"/>
      <c r="BH594" s="19" t="s">
        <v>9293</v>
      </c>
      <c r="BI594" s="19" t="s">
        <v>9293</v>
      </c>
      <c r="BJ594" s="19" t="s">
        <v>194</v>
      </c>
      <c r="BK594" s="19" t="s">
        <v>195</v>
      </c>
      <c r="BL594" s="19" t="s">
        <v>122</v>
      </c>
      <c r="BM594" s="19" t="s">
        <v>196</v>
      </c>
      <c r="BN594" s="21">
        <v>30.303999999999998</v>
      </c>
      <c r="BO594" s="21">
        <v>1073.4949568</v>
      </c>
      <c r="BQ594" s="2"/>
      <c r="BR594" s="2"/>
      <c r="BS594" s="2"/>
      <c r="BT594" s="2"/>
      <c r="BU594" s="22"/>
      <c r="BV594" s="2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</row>
    <row r="595" spans="1:95" x14ac:dyDescent="0.25">
      <c r="A595" s="18">
        <v>592</v>
      </c>
      <c r="B595" s="19" t="s">
        <v>9294</v>
      </c>
      <c r="C595" s="19" t="s">
        <v>9295</v>
      </c>
      <c r="D595" s="20">
        <v>46009</v>
      </c>
      <c r="E595" s="20">
        <v>28338</v>
      </c>
      <c r="F595" s="19"/>
      <c r="G595" s="19"/>
      <c r="H595" s="19" t="s">
        <v>94</v>
      </c>
      <c r="I595" s="19"/>
      <c r="J595" s="19"/>
      <c r="K595" s="19"/>
      <c r="L595" s="19" t="s">
        <v>467</v>
      </c>
      <c r="M595" s="19" t="s">
        <v>468</v>
      </c>
      <c r="N595" s="19" t="s">
        <v>9296</v>
      </c>
      <c r="O595" s="19" t="s">
        <v>100</v>
      </c>
      <c r="P595" s="19"/>
      <c r="Q595" s="19"/>
      <c r="R595" s="19"/>
      <c r="S595" s="19"/>
      <c r="T595" s="19"/>
      <c r="U595" s="19"/>
      <c r="V595" s="19"/>
      <c r="W595" s="19"/>
      <c r="X595" s="19"/>
      <c r="Y595" s="19" t="s">
        <v>101</v>
      </c>
      <c r="Z595" s="19" t="s">
        <v>102</v>
      </c>
      <c r="AA595" s="19" t="s">
        <v>103</v>
      </c>
      <c r="AB595" s="19" t="s">
        <v>1347</v>
      </c>
      <c r="AC595" s="19" t="s">
        <v>1348</v>
      </c>
      <c r="AD595" s="19" t="s">
        <v>9297</v>
      </c>
      <c r="AE595" s="19" t="s">
        <v>9298</v>
      </c>
      <c r="AF595" s="19"/>
      <c r="AG595" s="19" t="s">
        <v>2655</v>
      </c>
      <c r="AH595" s="19" t="s">
        <v>188</v>
      </c>
      <c r="AI595" s="19" t="s">
        <v>111</v>
      </c>
      <c r="AJ595" s="19" t="s">
        <v>9299</v>
      </c>
      <c r="AK595" s="19"/>
      <c r="AL595" s="19"/>
      <c r="AM595" s="19" t="s">
        <v>9300</v>
      </c>
      <c r="AN595" s="19" t="s">
        <v>9301</v>
      </c>
      <c r="AO595" s="19" t="s">
        <v>1095</v>
      </c>
      <c r="AP595" s="19" t="s">
        <v>1096</v>
      </c>
      <c r="AQ595" s="19" t="s">
        <v>117</v>
      </c>
      <c r="AR595" s="19" t="s">
        <v>1097</v>
      </c>
      <c r="AS595" s="19" t="s">
        <v>1098</v>
      </c>
      <c r="AT595" s="19" t="s">
        <v>1099</v>
      </c>
      <c r="AU595" s="19" t="s">
        <v>1100</v>
      </c>
      <c r="AV595" s="19" t="s">
        <v>219</v>
      </c>
      <c r="AW595" s="19" t="s">
        <v>1101</v>
      </c>
      <c r="AX595" s="19" t="s">
        <v>124</v>
      </c>
      <c r="AY595" s="19"/>
      <c r="AZ595" s="19" t="s">
        <v>1102</v>
      </c>
      <c r="BA595" s="20">
        <v>40110</v>
      </c>
      <c r="BB595" s="19" t="s">
        <v>444</v>
      </c>
      <c r="BC595" s="19" t="s">
        <v>9302</v>
      </c>
      <c r="BD595" s="19" t="s">
        <v>365</v>
      </c>
      <c r="BE595" s="19" t="s">
        <v>130</v>
      </c>
      <c r="BF595" s="19" t="s">
        <v>9303</v>
      </c>
      <c r="BG595" s="19"/>
      <c r="BH595" s="19" t="s">
        <v>9304</v>
      </c>
      <c r="BI595" s="19" t="s">
        <v>9304</v>
      </c>
      <c r="BJ595" s="19" t="s">
        <v>194</v>
      </c>
      <c r="BK595" s="19" t="s">
        <v>591</v>
      </c>
      <c r="BL595" s="19" t="s">
        <v>122</v>
      </c>
      <c r="BM595" s="19" t="s">
        <v>592</v>
      </c>
      <c r="BN595" s="21">
        <v>93.191999999999993</v>
      </c>
      <c r="BO595" s="21">
        <v>1012.99704</v>
      </c>
      <c r="BQ595" s="2"/>
      <c r="BR595" s="2"/>
      <c r="BS595" s="2"/>
      <c r="BT595" s="2"/>
      <c r="BU595" s="22"/>
      <c r="BV595" s="2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</row>
    <row r="596" spans="1:95" x14ac:dyDescent="0.25">
      <c r="A596" s="18">
        <v>593</v>
      </c>
      <c r="B596" s="19" t="s">
        <v>9305</v>
      </c>
      <c r="C596" s="19" t="s">
        <v>9306</v>
      </c>
      <c r="D596" s="20">
        <v>46010</v>
      </c>
      <c r="E596" s="20">
        <v>29128</v>
      </c>
      <c r="F596" s="19"/>
      <c r="G596" s="19"/>
      <c r="H596" s="19" t="s">
        <v>94</v>
      </c>
      <c r="I596" s="19"/>
      <c r="J596" s="19"/>
      <c r="K596" s="19"/>
      <c r="L596" s="19" t="s">
        <v>101</v>
      </c>
      <c r="M596" s="19" t="s">
        <v>290</v>
      </c>
      <c r="N596" s="19" t="s">
        <v>9307</v>
      </c>
      <c r="O596" s="19" t="s">
        <v>100</v>
      </c>
      <c r="P596" s="19"/>
      <c r="Q596" s="19"/>
      <c r="R596" s="19"/>
      <c r="S596" s="19"/>
      <c r="T596" s="19"/>
      <c r="U596" s="19"/>
      <c r="V596" s="19"/>
      <c r="W596" s="19"/>
      <c r="X596" s="19"/>
      <c r="Y596" s="19" t="s">
        <v>101</v>
      </c>
      <c r="Z596" s="19" t="s">
        <v>102</v>
      </c>
      <c r="AA596" s="19" t="s">
        <v>103</v>
      </c>
      <c r="AB596" s="19" t="s">
        <v>173</v>
      </c>
      <c r="AC596" s="19" t="s">
        <v>174</v>
      </c>
      <c r="AD596" s="19" t="s">
        <v>9308</v>
      </c>
      <c r="AE596" s="19" t="s">
        <v>9309</v>
      </c>
      <c r="AF596" s="19"/>
      <c r="AG596" s="19" t="s">
        <v>2655</v>
      </c>
      <c r="AH596" s="19" t="s">
        <v>188</v>
      </c>
      <c r="AI596" s="19" t="s">
        <v>111</v>
      </c>
      <c r="AJ596" s="19" t="s">
        <v>9310</v>
      </c>
      <c r="AK596" s="19"/>
      <c r="AL596" s="19"/>
      <c r="AM596" s="19" t="s">
        <v>9311</v>
      </c>
      <c r="AN596" s="19" t="s">
        <v>9312</v>
      </c>
      <c r="AO596" s="19" t="s">
        <v>181</v>
      </c>
      <c r="AP596" s="19" t="s">
        <v>182</v>
      </c>
      <c r="AQ596" s="19" t="s">
        <v>117</v>
      </c>
      <c r="AR596" s="19" t="s">
        <v>183</v>
      </c>
      <c r="AS596" s="19" t="s">
        <v>184</v>
      </c>
      <c r="AT596" s="19" t="s">
        <v>185</v>
      </c>
      <c r="AU596" s="19"/>
      <c r="AV596" s="19" t="s">
        <v>186</v>
      </c>
      <c r="AW596" s="19" t="s">
        <v>187</v>
      </c>
      <c r="AX596" s="19" t="s">
        <v>188</v>
      </c>
      <c r="AY596" s="19"/>
      <c r="AZ596" s="19" t="s">
        <v>189</v>
      </c>
      <c r="BA596" s="20">
        <v>44673</v>
      </c>
      <c r="BB596" s="19" t="s">
        <v>5747</v>
      </c>
      <c r="BC596" s="19" t="s">
        <v>9313</v>
      </c>
      <c r="BD596" s="19" t="s">
        <v>219</v>
      </c>
      <c r="BE596" s="19" t="s">
        <v>130</v>
      </c>
      <c r="BF596" s="19" t="s">
        <v>9314</v>
      </c>
      <c r="BG596" s="19"/>
      <c r="BH596" s="19" t="s">
        <v>2319</v>
      </c>
      <c r="BI596" s="19" t="s">
        <v>2319</v>
      </c>
      <c r="BJ596" s="19" t="s">
        <v>194</v>
      </c>
      <c r="BK596" s="19" t="s">
        <v>195</v>
      </c>
      <c r="BL596" s="19" t="s">
        <v>122</v>
      </c>
      <c r="BM596" s="19" t="s">
        <v>196</v>
      </c>
      <c r="BN596" s="21">
        <v>20.329999999999998</v>
      </c>
      <c r="BO596" s="21">
        <v>720.17398600000001</v>
      </c>
      <c r="BQ596" s="2"/>
      <c r="BR596" s="2"/>
      <c r="BS596" s="2"/>
      <c r="BT596" s="2"/>
      <c r="BU596" s="22"/>
      <c r="BV596" s="2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</row>
    <row r="597" spans="1:95" x14ac:dyDescent="0.25">
      <c r="A597" s="18">
        <v>594</v>
      </c>
      <c r="B597" s="19" t="s">
        <v>9315</v>
      </c>
      <c r="C597" s="19" t="s">
        <v>9316</v>
      </c>
      <c r="D597" s="20">
        <v>46010</v>
      </c>
      <c r="E597" s="20">
        <v>37725</v>
      </c>
      <c r="F597" s="19"/>
      <c r="G597" s="19"/>
      <c r="H597" s="19" t="s">
        <v>94</v>
      </c>
      <c r="I597" s="19"/>
      <c r="J597" s="19"/>
      <c r="K597" s="19"/>
      <c r="L597" s="19" t="s">
        <v>1262</v>
      </c>
      <c r="M597" s="19" t="s">
        <v>1263</v>
      </c>
      <c r="N597" s="19" t="s">
        <v>9317</v>
      </c>
      <c r="O597" s="19" t="s">
        <v>100</v>
      </c>
      <c r="P597" s="19"/>
      <c r="Q597" s="19"/>
      <c r="R597" s="19"/>
      <c r="S597" s="19"/>
      <c r="T597" s="19"/>
      <c r="U597" s="19"/>
      <c r="V597" s="19"/>
      <c r="W597" s="19"/>
      <c r="X597" s="19"/>
      <c r="Y597" s="19" t="s">
        <v>101</v>
      </c>
      <c r="Z597" s="19" t="s">
        <v>102</v>
      </c>
      <c r="AA597" s="19" t="s">
        <v>103</v>
      </c>
      <c r="AB597" s="19" t="s">
        <v>173</v>
      </c>
      <c r="AC597" s="19" t="s">
        <v>174</v>
      </c>
      <c r="AD597" s="19" t="s">
        <v>9318</v>
      </c>
      <c r="AE597" s="19" t="s">
        <v>9319</v>
      </c>
      <c r="AF597" s="19" t="s">
        <v>9320</v>
      </c>
      <c r="AG597" s="19" t="s">
        <v>2599</v>
      </c>
      <c r="AH597" s="19" t="s">
        <v>1015</v>
      </c>
      <c r="AI597" s="19" t="s">
        <v>111</v>
      </c>
      <c r="AJ597" s="19" t="s">
        <v>9321</v>
      </c>
      <c r="AK597" s="19"/>
      <c r="AL597" s="19"/>
      <c r="AM597" s="19" t="s">
        <v>9322</v>
      </c>
      <c r="AN597" s="19" t="s">
        <v>9323</v>
      </c>
      <c r="AO597" s="19" t="s">
        <v>181</v>
      </c>
      <c r="AP597" s="19" t="s">
        <v>182</v>
      </c>
      <c r="AQ597" s="19" t="s">
        <v>117</v>
      </c>
      <c r="AR597" s="19" t="s">
        <v>183</v>
      </c>
      <c r="AS597" s="19" t="s">
        <v>184</v>
      </c>
      <c r="AT597" s="19" t="s">
        <v>185</v>
      </c>
      <c r="AU597" s="19"/>
      <c r="AV597" s="19" t="s">
        <v>186</v>
      </c>
      <c r="AW597" s="19" t="s">
        <v>187</v>
      </c>
      <c r="AX597" s="19" t="s">
        <v>188</v>
      </c>
      <c r="AY597" s="19"/>
      <c r="AZ597" s="19" t="s">
        <v>189</v>
      </c>
      <c r="BA597" s="20">
        <v>44673</v>
      </c>
      <c r="BB597" s="19" t="s">
        <v>331</v>
      </c>
      <c r="BC597" s="19" t="s">
        <v>9324</v>
      </c>
      <c r="BD597" s="19" t="s">
        <v>9325</v>
      </c>
      <c r="BE597" s="19" t="s">
        <v>130</v>
      </c>
      <c r="BF597" s="19" t="s">
        <v>9326</v>
      </c>
      <c r="BG597" s="19"/>
      <c r="BH597" s="19" t="s">
        <v>9327</v>
      </c>
      <c r="BI597" s="19" t="s">
        <v>9327</v>
      </c>
      <c r="BJ597" s="19" t="s">
        <v>194</v>
      </c>
      <c r="BK597" s="19" t="s">
        <v>195</v>
      </c>
      <c r="BL597" s="19" t="s">
        <v>122</v>
      </c>
      <c r="BM597" s="19" t="s">
        <v>196</v>
      </c>
      <c r="BN597" s="21">
        <v>31.77</v>
      </c>
      <c r="BO597" s="21">
        <v>1125.4268340000001</v>
      </c>
      <c r="BQ597" s="2"/>
      <c r="BR597" s="2"/>
      <c r="BS597" s="2"/>
      <c r="BT597" s="2"/>
      <c r="BU597" s="22"/>
      <c r="BV597" s="2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</row>
    <row r="598" spans="1:95" x14ac:dyDescent="0.25">
      <c r="A598" s="18">
        <v>595</v>
      </c>
      <c r="B598" s="19" t="s">
        <v>9328</v>
      </c>
      <c r="C598" s="19" t="s">
        <v>9329</v>
      </c>
      <c r="D598" s="20">
        <v>46014</v>
      </c>
      <c r="E598" s="20">
        <v>35066</v>
      </c>
      <c r="F598" s="19"/>
      <c r="G598" s="19"/>
      <c r="H598" s="19" t="s">
        <v>94</v>
      </c>
      <c r="I598" s="19"/>
      <c r="J598" s="19"/>
      <c r="K598" s="19"/>
      <c r="L598" s="19" t="s">
        <v>244</v>
      </c>
      <c r="M598" s="19" t="s">
        <v>245</v>
      </c>
      <c r="N598" s="19" t="s">
        <v>9330</v>
      </c>
      <c r="O598" s="19" t="s">
        <v>100</v>
      </c>
      <c r="P598" s="19"/>
      <c r="Q598" s="19"/>
      <c r="R598" s="19"/>
      <c r="S598" s="19"/>
      <c r="T598" s="19"/>
      <c r="U598" s="19"/>
      <c r="V598" s="19"/>
      <c r="W598" s="19"/>
      <c r="X598" s="19"/>
      <c r="Y598" s="19" t="s">
        <v>101</v>
      </c>
      <c r="Z598" s="19" t="s">
        <v>102</v>
      </c>
      <c r="AA598" s="19" t="s">
        <v>103</v>
      </c>
      <c r="AB598" s="19" t="s">
        <v>1025</v>
      </c>
      <c r="AC598" s="19" t="s">
        <v>1026</v>
      </c>
      <c r="AD598" s="19" t="s">
        <v>9331</v>
      </c>
      <c r="AE598" s="19" t="s">
        <v>9332</v>
      </c>
      <c r="AF598" s="19"/>
      <c r="AG598" s="19" t="s">
        <v>9333</v>
      </c>
      <c r="AH598" s="19" t="s">
        <v>515</v>
      </c>
      <c r="AI598" s="19" t="s">
        <v>111</v>
      </c>
      <c r="AJ598" s="19" t="s">
        <v>9334</v>
      </c>
      <c r="AK598" s="19"/>
      <c r="AL598" s="19"/>
      <c r="AM598" s="19" t="s">
        <v>9335</v>
      </c>
      <c r="AN598" s="19" t="s">
        <v>9336</v>
      </c>
      <c r="AO598" s="19" t="s">
        <v>1729</v>
      </c>
      <c r="AP598" s="19" t="s">
        <v>1730</v>
      </c>
      <c r="AQ598" s="19" t="s">
        <v>117</v>
      </c>
      <c r="AR598" s="19" t="s">
        <v>1731</v>
      </c>
      <c r="AS598" s="19" t="s">
        <v>1732</v>
      </c>
      <c r="AT598" s="19" t="s">
        <v>1733</v>
      </c>
      <c r="AU598" s="19" t="s">
        <v>168</v>
      </c>
      <c r="AV598" s="19" t="s">
        <v>168</v>
      </c>
      <c r="AW598" s="19" t="s">
        <v>1734</v>
      </c>
      <c r="AX598" s="19" t="s">
        <v>262</v>
      </c>
      <c r="AY598" s="19" t="s">
        <v>1735</v>
      </c>
      <c r="AZ598" s="19" t="s">
        <v>1736</v>
      </c>
      <c r="BA598" s="20">
        <v>42224</v>
      </c>
      <c r="BB598" s="19" t="s">
        <v>1796</v>
      </c>
      <c r="BC598" s="19" t="s">
        <v>9337</v>
      </c>
      <c r="BD598" s="19" t="s">
        <v>9338</v>
      </c>
      <c r="BE598" s="19" t="s">
        <v>130</v>
      </c>
      <c r="BF598" s="19" t="s">
        <v>9339</v>
      </c>
      <c r="BG598" s="19"/>
      <c r="BH598" s="19" t="s">
        <v>9340</v>
      </c>
      <c r="BI598" s="19" t="s">
        <v>9340</v>
      </c>
      <c r="BJ598" s="19" t="s">
        <v>166</v>
      </c>
      <c r="BK598" s="19" t="s">
        <v>591</v>
      </c>
      <c r="BL598" s="19" t="s">
        <v>122</v>
      </c>
      <c r="BM598" s="19" t="s">
        <v>592</v>
      </c>
      <c r="BN598" s="21">
        <v>15.446999999999999</v>
      </c>
      <c r="BO598" s="21">
        <v>537.32080559999997</v>
      </c>
      <c r="BQ598" s="2"/>
      <c r="BR598" s="2"/>
      <c r="BS598" s="2"/>
      <c r="BT598" s="2"/>
      <c r="BU598" s="22"/>
      <c r="BV598" s="2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</row>
    <row r="599" spans="1:95" x14ac:dyDescent="0.25">
      <c r="A599" s="18">
        <v>596</v>
      </c>
      <c r="B599" s="19" t="s">
        <v>9341</v>
      </c>
      <c r="C599" s="19" t="s">
        <v>9342</v>
      </c>
      <c r="D599" s="20">
        <v>46017</v>
      </c>
      <c r="E599" s="20">
        <v>30015</v>
      </c>
      <c r="F599" s="19"/>
      <c r="G599" s="19"/>
      <c r="H599" s="19" t="s">
        <v>94</v>
      </c>
      <c r="I599" s="19"/>
      <c r="J599" s="19" t="s">
        <v>287</v>
      </c>
      <c r="K599" s="19" t="s">
        <v>288</v>
      </c>
      <c r="L599" s="19"/>
      <c r="M599" s="19"/>
      <c r="N599" s="19" t="s">
        <v>9343</v>
      </c>
      <c r="O599" s="19" t="s">
        <v>100</v>
      </c>
      <c r="P599" s="19"/>
      <c r="Q599" s="19"/>
      <c r="R599" s="19"/>
      <c r="S599" s="19" t="s">
        <v>9344</v>
      </c>
      <c r="T599" s="19" t="s">
        <v>9345</v>
      </c>
      <c r="U599" s="19" t="s">
        <v>100</v>
      </c>
      <c r="V599" s="19"/>
      <c r="W599" s="19"/>
      <c r="X599" s="19"/>
      <c r="Y599" s="19" t="s">
        <v>101</v>
      </c>
      <c r="Z599" s="19" t="s">
        <v>102</v>
      </c>
      <c r="AA599" s="19" t="s">
        <v>103</v>
      </c>
      <c r="AB599" s="19" t="s">
        <v>9346</v>
      </c>
      <c r="AC599" s="19" t="s">
        <v>9347</v>
      </c>
      <c r="AD599" s="19" t="s">
        <v>9348</v>
      </c>
      <c r="AE599" s="19" t="s">
        <v>9349</v>
      </c>
      <c r="AF599" s="19"/>
      <c r="AG599" s="19" t="s">
        <v>1749</v>
      </c>
      <c r="AH599" s="19" t="s">
        <v>327</v>
      </c>
      <c r="AI599" s="19" t="s">
        <v>111</v>
      </c>
      <c r="AJ599" s="19" t="s">
        <v>9350</v>
      </c>
      <c r="AK599" s="19"/>
      <c r="AL599" s="19"/>
      <c r="AM599" s="19" t="s">
        <v>9351</v>
      </c>
      <c r="AN599" s="19" t="s">
        <v>9352</v>
      </c>
      <c r="AO599" s="19" t="s">
        <v>1077</v>
      </c>
      <c r="AP599" s="19" t="s">
        <v>1077</v>
      </c>
      <c r="AQ599" s="19" t="s">
        <v>117</v>
      </c>
      <c r="AR599" s="19"/>
      <c r="AS599" s="19" t="s">
        <v>1078</v>
      </c>
      <c r="AT599" s="19"/>
      <c r="AU599" s="19"/>
      <c r="AV599" s="19"/>
      <c r="AW599" s="19" t="s">
        <v>1079</v>
      </c>
      <c r="AX599" s="19"/>
      <c r="AY599" s="19"/>
      <c r="AZ599" s="19"/>
      <c r="BA599" s="20">
        <v>38627</v>
      </c>
      <c r="BB599" s="19" t="s">
        <v>331</v>
      </c>
      <c r="BC599" s="19" t="s">
        <v>9353</v>
      </c>
      <c r="BD599" s="19" t="s">
        <v>9354</v>
      </c>
      <c r="BE599" s="19" t="s">
        <v>130</v>
      </c>
      <c r="BF599" s="19" t="s">
        <v>9355</v>
      </c>
      <c r="BG599" s="19" t="s">
        <v>9356</v>
      </c>
      <c r="BH599" s="19" t="s">
        <v>9357</v>
      </c>
      <c r="BI599" s="19" t="s">
        <v>9357</v>
      </c>
      <c r="BJ599" s="19" t="s">
        <v>166</v>
      </c>
      <c r="BK599" s="19" t="s">
        <v>9358</v>
      </c>
      <c r="BL599" s="19" t="s">
        <v>9354</v>
      </c>
      <c r="BM599" s="19" t="s">
        <v>1045</v>
      </c>
      <c r="BN599" s="21">
        <v>2.798</v>
      </c>
      <c r="BO599" s="21">
        <v>2516.1294800000001</v>
      </c>
      <c r="BQ599" s="2"/>
      <c r="BR599" s="2"/>
      <c r="BS599" s="2"/>
      <c r="BT599" s="2"/>
      <c r="BU599" s="22"/>
      <c r="BV599" s="2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</row>
    <row r="600" spans="1:95" x14ac:dyDescent="0.25">
      <c r="A600" s="18">
        <v>597</v>
      </c>
      <c r="B600" s="19" t="s">
        <v>9359</v>
      </c>
      <c r="C600" s="19" t="s">
        <v>9360</v>
      </c>
      <c r="D600" s="20">
        <v>46017</v>
      </c>
      <c r="E600" s="20">
        <v>38050</v>
      </c>
      <c r="F600" s="19"/>
      <c r="G600" s="19"/>
      <c r="H600" s="19" t="s">
        <v>94</v>
      </c>
      <c r="I600" s="19"/>
      <c r="J600" s="19"/>
      <c r="K600" s="19"/>
      <c r="L600" s="19" t="s">
        <v>1262</v>
      </c>
      <c r="M600" s="19" t="s">
        <v>1263</v>
      </c>
      <c r="N600" s="19" t="s">
        <v>9361</v>
      </c>
      <c r="O600" s="19" t="s">
        <v>100</v>
      </c>
      <c r="P600" s="19"/>
      <c r="Q600" s="19"/>
      <c r="R600" s="19"/>
      <c r="S600" s="19"/>
      <c r="T600" s="19"/>
      <c r="U600" s="19"/>
      <c r="V600" s="19"/>
      <c r="W600" s="19"/>
      <c r="X600" s="19"/>
      <c r="Y600" s="19" t="s">
        <v>101</v>
      </c>
      <c r="Z600" s="19" t="s">
        <v>102</v>
      </c>
      <c r="AA600" s="19" t="s">
        <v>103</v>
      </c>
      <c r="AB600" s="19" t="s">
        <v>173</v>
      </c>
      <c r="AC600" s="19" t="s">
        <v>174</v>
      </c>
      <c r="AD600" s="19" t="s">
        <v>9362</v>
      </c>
      <c r="AE600" s="19" t="s">
        <v>9363</v>
      </c>
      <c r="AF600" s="19" t="s">
        <v>9364</v>
      </c>
      <c r="AG600" s="19" t="s">
        <v>9365</v>
      </c>
      <c r="AH600" s="19" t="s">
        <v>515</v>
      </c>
      <c r="AI600" s="19" t="s">
        <v>111</v>
      </c>
      <c r="AJ600" s="19" t="s">
        <v>9366</v>
      </c>
      <c r="AK600" s="19"/>
      <c r="AL600" s="19"/>
      <c r="AM600" s="19" t="s">
        <v>9367</v>
      </c>
      <c r="AN600" s="19" t="s">
        <v>9368</v>
      </c>
      <c r="AO600" s="19" t="s">
        <v>181</v>
      </c>
      <c r="AP600" s="19" t="s">
        <v>182</v>
      </c>
      <c r="AQ600" s="19" t="s">
        <v>117</v>
      </c>
      <c r="AR600" s="19" t="s">
        <v>183</v>
      </c>
      <c r="AS600" s="19" t="s">
        <v>184</v>
      </c>
      <c r="AT600" s="19" t="s">
        <v>185</v>
      </c>
      <c r="AU600" s="19"/>
      <c r="AV600" s="19" t="s">
        <v>186</v>
      </c>
      <c r="AW600" s="19" t="s">
        <v>187</v>
      </c>
      <c r="AX600" s="19" t="s">
        <v>188</v>
      </c>
      <c r="AY600" s="19"/>
      <c r="AZ600" s="19" t="s">
        <v>189</v>
      </c>
      <c r="BA600" s="20">
        <v>44673</v>
      </c>
      <c r="BB600" s="19" t="s">
        <v>331</v>
      </c>
      <c r="BC600" s="19" t="s">
        <v>9369</v>
      </c>
      <c r="BD600" s="19" t="s">
        <v>4606</v>
      </c>
      <c r="BE600" s="19" t="s">
        <v>130</v>
      </c>
      <c r="BF600" s="19" t="s">
        <v>9370</v>
      </c>
      <c r="BG600" s="19"/>
      <c r="BH600" s="19" t="s">
        <v>9371</v>
      </c>
      <c r="BI600" s="19" t="s">
        <v>9371</v>
      </c>
      <c r="BJ600" s="19" t="s">
        <v>194</v>
      </c>
      <c r="BK600" s="19" t="s">
        <v>195</v>
      </c>
      <c r="BL600" s="19" t="s">
        <v>122</v>
      </c>
      <c r="BM600" s="19" t="s">
        <v>196</v>
      </c>
      <c r="BN600" s="21">
        <v>2.7919999999999998</v>
      </c>
      <c r="BO600" s="21">
        <v>98.904366400000001</v>
      </c>
      <c r="BQ600" s="2"/>
      <c r="BR600" s="2"/>
      <c r="BS600" s="2"/>
      <c r="BT600" s="2"/>
      <c r="BU600" s="22"/>
      <c r="BV600" s="2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</row>
    <row r="601" spans="1:95" x14ac:dyDescent="0.25">
      <c r="A601" s="18">
        <v>598</v>
      </c>
      <c r="B601" s="19" t="s">
        <v>9372</v>
      </c>
      <c r="C601" s="19" t="s">
        <v>9373</v>
      </c>
      <c r="D601" s="20">
        <v>46014</v>
      </c>
      <c r="E601" s="20">
        <v>28633</v>
      </c>
      <c r="F601" s="19" t="s">
        <v>9374</v>
      </c>
      <c r="G601" s="19" t="s">
        <v>139</v>
      </c>
      <c r="H601" s="19" t="s">
        <v>94</v>
      </c>
      <c r="I601" s="19"/>
      <c r="J601" s="19"/>
      <c r="K601" s="19"/>
      <c r="L601" s="19" t="s">
        <v>140</v>
      </c>
      <c r="M601" s="19" t="s">
        <v>141</v>
      </c>
      <c r="N601" s="19" t="s">
        <v>9375</v>
      </c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 t="s">
        <v>101</v>
      </c>
      <c r="Z601" s="19" t="s">
        <v>102</v>
      </c>
      <c r="AA601" s="19" t="s">
        <v>103</v>
      </c>
      <c r="AB601" s="19" t="s">
        <v>9376</v>
      </c>
      <c r="AC601" s="19" t="s">
        <v>9377</v>
      </c>
      <c r="AD601" s="19" t="s">
        <v>9378</v>
      </c>
      <c r="AE601" s="19" t="s">
        <v>9379</v>
      </c>
      <c r="AF601" s="19" t="s">
        <v>9380</v>
      </c>
      <c r="AG601" s="19" t="s">
        <v>3919</v>
      </c>
      <c r="AH601" s="19" t="s">
        <v>8148</v>
      </c>
      <c r="AI601" s="19" t="s">
        <v>111</v>
      </c>
      <c r="AJ601" s="19" t="s">
        <v>9381</v>
      </c>
      <c r="AK601" s="19"/>
      <c r="AL601" s="19" t="s">
        <v>9382</v>
      </c>
      <c r="AM601" s="19" t="s">
        <v>9383</v>
      </c>
      <c r="AN601" s="19" t="s">
        <v>9384</v>
      </c>
      <c r="AO601" s="19" t="s">
        <v>1095</v>
      </c>
      <c r="AP601" s="19" t="s">
        <v>1096</v>
      </c>
      <c r="AQ601" s="19" t="s">
        <v>117</v>
      </c>
      <c r="AR601" s="19" t="s">
        <v>1097</v>
      </c>
      <c r="AS601" s="19" t="s">
        <v>1098</v>
      </c>
      <c r="AT601" s="19" t="s">
        <v>1099</v>
      </c>
      <c r="AU601" s="19" t="s">
        <v>1100</v>
      </c>
      <c r="AV601" s="19" t="s">
        <v>219</v>
      </c>
      <c r="AW601" s="19" t="s">
        <v>1101</v>
      </c>
      <c r="AX601" s="19" t="s">
        <v>124</v>
      </c>
      <c r="AY601" s="19"/>
      <c r="AZ601" s="19" t="s">
        <v>1102</v>
      </c>
      <c r="BA601" s="20">
        <v>40110</v>
      </c>
      <c r="BB601" s="19" t="s">
        <v>444</v>
      </c>
      <c r="BC601" s="19" t="s">
        <v>9385</v>
      </c>
      <c r="BD601" s="19" t="s">
        <v>3919</v>
      </c>
      <c r="BE601" s="19" t="s">
        <v>130</v>
      </c>
      <c r="BF601" s="19" t="s">
        <v>9386</v>
      </c>
      <c r="BG601" s="19"/>
      <c r="BH601" s="19" t="s">
        <v>9387</v>
      </c>
      <c r="BI601" s="19" t="s">
        <v>9387</v>
      </c>
      <c r="BJ601" s="19" t="s">
        <v>166</v>
      </c>
      <c r="BK601" s="19" t="s">
        <v>907</v>
      </c>
      <c r="BL601" s="19" t="s">
        <v>122</v>
      </c>
      <c r="BM601" s="19" t="s">
        <v>592</v>
      </c>
      <c r="BN601" s="21">
        <v>568.61699999999996</v>
      </c>
      <c r="BO601" s="21">
        <v>19775.589472799998</v>
      </c>
      <c r="BQ601" s="2"/>
      <c r="BR601" s="2"/>
      <c r="BS601" s="2"/>
      <c r="BT601" s="2"/>
      <c r="BU601" s="22"/>
      <c r="BV601" s="2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</row>
    <row r="602" spans="1:95" x14ac:dyDescent="0.25">
      <c r="A602" s="18">
        <v>599</v>
      </c>
      <c r="B602" s="19" t="s">
        <v>9388</v>
      </c>
      <c r="C602" s="19" t="s">
        <v>9389</v>
      </c>
      <c r="D602" s="20">
        <v>46014</v>
      </c>
      <c r="E602" s="20">
        <v>29028</v>
      </c>
      <c r="F602" s="19"/>
      <c r="G602" s="19"/>
      <c r="H602" s="19" t="s">
        <v>94</v>
      </c>
      <c r="I602" s="19"/>
      <c r="J602" s="19" t="s">
        <v>95</v>
      </c>
      <c r="K602" s="19" t="s">
        <v>96</v>
      </c>
      <c r="L602" s="19" t="s">
        <v>101</v>
      </c>
      <c r="M602" s="19" t="s">
        <v>290</v>
      </c>
      <c r="N602" s="19" t="s">
        <v>9390</v>
      </c>
      <c r="O602" s="19" t="s">
        <v>100</v>
      </c>
      <c r="P602" s="19"/>
      <c r="Q602" s="19"/>
      <c r="R602" s="19"/>
      <c r="S602" s="19"/>
      <c r="T602" s="19"/>
      <c r="U602" s="19"/>
      <c r="V602" s="19"/>
      <c r="W602" s="19"/>
      <c r="X602" s="19"/>
      <c r="Y602" s="19" t="s">
        <v>101</v>
      </c>
      <c r="Z602" s="19" t="s">
        <v>102</v>
      </c>
      <c r="AA602" s="19" t="s">
        <v>103</v>
      </c>
      <c r="AB602" s="19" t="s">
        <v>1940</v>
      </c>
      <c r="AC602" s="19" t="s">
        <v>1941</v>
      </c>
      <c r="AD602" s="19" t="s">
        <v>9391</v>
      </c>
      <c r="AE602" s="19" t="s">
        <v>9392</v>
      </c>
      <c r="AF602" s="19" t="s">
        <v>9393</v>
      </c>
      <c r="AG602" s="19" t="s">
        <v>941</v>
      </c>
      <c r="AH602" s="19" t="s">
        <v>942</v>
      </c>
      <c r="AI602" s="19" t="s">
        <v>111</v>
      </c>
      <c r="AJ602" s="19" t="s">
        <v>6766</v>
      </c>
      <c r="AK602" s="19"/>
      <c r="AL602" s="19"/>
      <c r="AM602" s="19"/>
      <c r="AN602" s="19" t="s">
        <v>9394</v>
      </c>
      <c r="AO602" s="19" t="s">
        <v>9395</v>
      </c>
      <c r="AP602" s="19" t="s">
        <v>9396</v>
      </c>
      <c r="AQ602" s="19" t="s">
        <v>117</v>
      </c>
      <c r="AR602" s="19" t="s">
        <v>9397</v>
      </c>
      <c r="AS602" s="19" t="s">
        <v>9398</v>
      </c>
      <c r="AT602" s="19" t="s">
        <v>9399</v>
      </c>
      <c r="AU602" s="19"/>
      <c r="AV602" s="19" t="s">
        <v>3007</v>
      </c>
      <c r="AW602" s="19" t="s">
        <v>9400</v>
      </c>
      <c r="AX602" s="19" t="s">
        <v>942</v>
      </c>
      <c r="AY602" s="19" t="s">
        <v>9401</v>
      </c>
      <c r="AZ602" s="19" t="s">
        <v>9402</v>
      </c>
      <c r="BA602" s="20">
        <v>39000</v>
      </c>
      <c r="BB602" s="19" t="s">
        <v>9403</v>
      </c>
      <c r="BC602" s="19" t="s">
        <v>9404</v>
      </c>
      <c r="BD602" s="19" t="s">
        <v>941</v>
      </c>
      <c r="BE602" s="19" t="s">
        <v>130</v>
      </c>
      <c r="BF602" s="19" t="s">
        <v>9405</v>
      </c>
      <c r="BG602" s="19" t="s">
        <v>9406</v>
      </c>
      <c r="BH602" s="19" t="s">
        <v>9407</v>
      </c>
      <c r="BI602" s="19" t="s">
        <v>9407</v>
      </c>
      <c r="BJ602" s="19" t="s">
        <v>166</v>
      </c>
      <c r="BK602" s="19" t="s">
        <v>9408</v>
      </c>
      <c r="BL602" s="19" t="s">
        <v>3007</v>
      </c>
      <c r="BM602" s="19" t="s">
        <v>1045</v>
      </c>
      <c r="BN602" s="21">
        <v>739.57899999999995</v>
      </c>
      <c r="BO602" s="21">
        <v>500202.8671334</v>
      </c>
      <c r="BQ602" s="2"/>
      <c r="BR602" s="2"/>
      <c r="BS602" s="2"/>
      <c r="BT602" s="2"/>
      <c r="BU602" s="22"/>
      <c r="BV602" s="2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</row>
    <row r="603" spans="1:95" x14ac:dyDescent="0.25">
      <c r="A603" s="18">
        <v>600</v>
      </c>
      <c r="B603" s="19" t="s">
        <v>9409</v>
      </c>
      <c r="C603" s="19" t="s">
        <v>9410</v>
      </c>
      <c r="D603" s="20">
        <v>46018</v>
      </c>
      <c r="E603" s="20">
        <v>20679</v>
      </c>
      <c r="F603" s="19"/>
      <c r="G603" s="19"/>
      <c r="H603" s="19" t="s">
        <v>94</v>
      </c>
      <c r="I603" s="19"/>
      <c r="J603" s="19"/>
      <c r="K603" s="19"/>
      <c r="L603" s="19"/>
      <c r="M603" s="19"/>
      <c r="N603" s="19" t="s">
        <v>9411</v>
      </c>
      <c r="O603" s="19" t="s">
        <v>100</v>
      </c>
      <c r="P603" s="19"/>
      <c r="Q603" s="19"/>
      <c r="R603" s="19"/>
      <c r="S603" s="19"/>
      <c r="T603" s="19"/>
      <c r="U603" s="19"/>
      <c r="V603" s="19"/>
      <c r="W603" s="19"/>
      <c r="X603" s="19"/>
      <c r="Y603" s="19" t="s">
        <v>101</v>
      </c>
      <c r="Z603" s="19" t="s">
        <v>102</v>
      </c>
      <c r="AA603" s="19" t="s">
        <v>103</v>
      </c>
      <c r="AB603" s="19" t="s">
        <v>1555</v>
      </c>
      <c r="AC603" s="19" t="s">
        <v>1556</v>
      </c>
      <c r="AD603" s="19" t="s">
        <v>9412</v>
      </c>
      <c r="AE603" s="19" t="s">
        <v>9413</v>
      </c>
      <c r="AF603" s="19" t="s">
        <v>9414</v>
      </c>
      <c r="AG603" s="19" t="s">
        <v>9414</v>
      </c>
      <c r="AH603" s="19" t="s">
        <v>149</v>
      </c>
      <c r="AI603" s="19" t="s">
        <v>111</v>
      </c>
      <c r="AJ603" s="19" t="s">
        <v>9415</v>
      </c>
      <c r="AK603" s="19"/>
      <c r="AL603" s="19"/>
      <c r="AM603" s="19" t="s">
        <v>9416</v>
      </c>
      <c r="AN603" s="19" t="s">
        <v>9417</v>
      </c>
      <c r="AO603" s="19" t="s">
        <v>9418</v>
      </c>
      <c r="AP603" s="19" t="s">
        <v>9419</v>
      </c>
      <c r="AQ603" s="19" t="s">
        <v>117</v>
      </c>
      <c r="AR603" s="19" t="s">
        <v>9420</v>
      </c>
      <c r="AS603" s="19" t="s">
        <v>9421</v>
      </c>
      <c r="AT603" s="19" t="s">
        <v>9422</v>
      </c>
      <c r="AU603" s="19" t="s">
        <v>9423</v>
      </c>
      <c r="AV603" s="19" t="s">
        <v>9424</v>
      </c>
      <c r="AW603" s="19" t="s">
        <v>9425</v>
      </c>
      <c r="AX603" s="19" t="s">
        <v>149</v>
      </c>
      <c r="AY603" s="19" t="s">
        <v>9426</v>
      </c>
      <c r="AZ603" s="19" t="s">
        <v>9427</v>
      </c>
      <c r="BA603" s="20">
        <v>44787</v>
      </c>
      <c r="BB603" s="19" t="s">
        <v>265</v>
      </c>
      <c r="BC603" s="19" t="s">
        <v>9428</v>
      </c>
      <c r="BD603" s="19" t="s">
        <v>9429</v>
      </c>
      <c r="BE603" s="19" t="s">
        <v>130</v>
      </c>
      <c r="BF603" s="19" t="s">
        <v>9430</v>
      </c>
      <c r="BG603" s="19"/>
      <c r="BH603" s="19" t="s">
        <v>9431</v>
      </c>
      <c r="BI603" s="19" t="s">
        <v>9431</v>
      </c>
      <c r="BJ603" s="19"/>
      <c r="BK603" s="19" t="s">
        <v>1084</v>
      </c>
      <c r="BL603" s="19" t="s">
        <v>222</v>
      </c>
      <c r="BM603" s="19" t="s">
        <v>169</v>
      </c>
      <c r="BN603" s="21">
        <v>377.56299999999999</v>
      </c>
      <c r="BO603" s="21">
        <v>303624.83770999999</v>
      </c>
      <c r="BQ603" s="2"/>
      <c r="BR603" s="2"/>
      <c r="BS603" s="2"/>
      <c r="BT603" s="2"/>
      <c r="BU603" s="22"/>
      <c r="BV603" s="2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</row>
    <row r="604" spans="1:95" x14ac:dyDescent="0.25">
      <c r="A604" s="18">
        <v>601</v>
      </c>
      <c r="B604" s="19" t="s">
        <v>9432</v>
      </c>
      <c r="C604" s="19" t="s">
        <v>9433</v>
      </c>
      <c r="D604" s="20">
        <v>46022</v>
      </c>
      <c r="E604" s="20">
        <v>34683</v>
      </c>
      <c r="F604" s="19"/>
      <c r="G604" s="19"/>
      <c r="H604" s="19" t="s">
        <v>94</v>
      </c>
      <c r="I604" s="19"/>
      <c r="J604" s="19"/>
      <c r="K604" s="19"/>
      <c r="L604" s="19" t="s">
        <v>244</v>
      </c>
      <c r="M604" s="19" t="s">
        <v>245</v>
      </c>
      <c r="N604" s="19" t="s">
        <v>9434</v>
      </c>
      <c r="O604" s="19" t="s">
        <v>100</v>
      </c>
      <c r="P604" s="19"/>
      <c r="Q604" s="19"/>
      <c r="R604" s="19"/>
      <c r="S604" s="19"/>
      <c r="T604" s="19"/>
      <c r="U604" s="19"/>
      <c r="V604" s="19"/>
      <c r="W604" s="19"/>
      <c r="X604" s="19"/>
      <c r="Y604" s="19" t="s">
        <v>101</v>
      </c>
      <c r="Z604" s="19" t="s">
        <v>102</v>
      </c>
      <c r="AA604" s="19" t="s">
        <v>103</v>
      </c>
      <c r="AB604" s="19" t="s">
        <v>5912</v>
      </c>
      <c r="AC604" s="19" t="s">
        <v>5913</v>
      </c>
      <c r="AD604" s="19" t="s">
        <v>9435</v>
      </c>
      <c r="AE604" s="19" t="s">
        <v>9436</v>
      </c>
      <c r="AF604" s="19"/>
      <c r="AG604" s="19" t="s">
        <v>4714</v>
      </c>
      <c r="AH604" s="19" t="s">
        <v>327</v>
      </c>
      <c r="AI604" s="19" t="s">
        <v>111</v>
      </c>
      <c r="AJ604" s="19" t="s">
        <v>4715</v>
      </c>
      <c r="AK604" s="19"/>
      <c r="AL604" s="19"/>
      <c r="AM604" s="19" t="s">
        <v>9437</v>
      </c>
      <c r="AN604" s="19" t="s">
        <v>9438</v>
      </c>
      <c r="AO604" s="19" t="s">
        <v>255</v>
      </c>
      <c r="AP604" s="19" t="s">
        <v>256</v>
      </c>
      <c r="AQ604" s="19" t="s">
        <v>117</v>
      </c>
      <c r="AR604" s="19" t="s">
        <v>257</v>
      </c>
      <c r="AS604" s="19" t="s">
        <v>258</v>
      </c>
      <c r="AT604" s="19" t="s">
        <v>259</v>
      </c>
      <c r="AU604" s="19" t="s">
        <v>260</v>
      </c>
      <c r="AV604" s="19" t="s">
        <v>260</v>
      </c>
      <c r="AW604" s="19" t="s">
        <v>261</v>
      </c>
      <c r="AX604" s="19" t="s">
        <v>262</v>
      </c>
      <c r="AY604" s="19" t="s">
        <v>263</v>
      </c>
      <c r="AZ604" s="19" t="s">
        <v>264</v>
      </c>
      <c r="BA604" s="20">
        <v>43627</v>
      </c>
      <c r="BB604" s="19" t="s">
        <v>331</v>
      </c>
      <c r="BC604" s="19" t="s">
        <v>9439</v>
      </c>
      <c r="BD604" s="19" t="s">
        <v>365</v>
      </c>
      <c r="BE604" s="19" t="s">
        <v>130</v>
      </c>
      <c r="BF604" s="19" t="s">
        <v>9440</v>
      </c>
      <c r="BG604" s="19"/>
      <c r="BH604" s="19" t="s">
        <v>9441</v>
      </c>
      <c r="BI604" s="19" t="s">
        <v>9441</v>
      </c>
      <c r="BJ604" s="19" t="s">
        <v>194</v>
      </c>
      <c r="BK604" s="19" t="s">
        <v>195</v>
      </c>
      <c r="BL604" s="19" t="s">
        <v>122</v>
      </c>
      <c r="BM604" s="19" t="s">
        <v>196</v>
      </c>
      <c r="BN604" s="21">
        <v>195.04</v>
      </c>
      <c r="BO604" s="21">
        <v>4999.75288</v>
      </c>
      <c r="BQ604" s="2"/>
      <c r="BR604" s="2"/>
      <c r="BS604" s="2"/>
      <c r="BT604" s="2"/>
      <c r="BU604" s="22"/>
      <c r="BV604" s="2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</row>
    <row r="605" spans="1:95" x14ac:dyDescent="0.25">
      <c r="A605" s="18">
        <v>602</v>
      </c>
      <c r="B605" s="19" t="s">
        <v>9442</v>
      </c>
      <c r="C605" s="19" t="s">
        <v>9443</v>
      </c>
      <c r="D605" s="20">
        <v>45992</v>
      </c>
      <c r="E605" s="20">
        <v>26160</v>
      </c>
      <c r="F605" s="19"/>
      <c r="G605" s="19"/>
      <c r="H605" s="19" t="s">
        <v>94</v>
      </c>
      <c r="I605" s="19"/>
      <c r="J605" s="19"/>
      <c r="K605" s="19"/>
      <c r="L605" s="19" t="s">
        <v>289</v>
      </c>
      <c r="M605" s="19" t="s">
        <v>290</v>
      </c>
      <c r="N605" s="19" t="s">
        <v>9444</v>
      </c>
      <c r="O605" s="19" t="s">
        <v>100</v>
      </c>
      <c r="P605" s="19"/>
      <c r="Q605" s="19"/>
      <c r="R605" s="19"/>
      <c r="S605" s="19"/>
      <c r="T605" s="19"/>
      <c r="U605" s="19"/>
      <c r="V605" s="19"/>
      <c r="W605" s="19"/>
      <c r="X605" s="19"/>
      <c r="Y605" s="19" t="s">
        <v>101</v>
      </c>
      <c r="Z605" s="19" t="s">
        <v>102</v>
      </c>
      <c r="AA605" s="19" t="s">
        <v>103</v>
      </c>
      <c r="AB605" s="19" t="s">
        <v>244</v>
      </c>
      <c r="AC605" s="19" t="s">
        <v>9445</v>
      </c>
      <c r="AD605" s="19" t="s">
        <v>9446</v>
      </c>
      <c r="AE605" s="19" t="s">
        <v>9447</v>
      </c>
      <c r="AF605" s="19" t="s">
        <v>9448</v>
      </c>
      <c r="AG605" s="19" t="s">
        <v>9449</v>
      </c>
      <c r="AH605" s="19" t="s">
        <v>124</v>
      </c>
      <c r="AI605" s="19" t="s">
        <v>111</v>
      </c>
      <c r="AJ605" s="19" t="s">
        <v>9450</v>
      </c>
      <c r="AK605" s="19"/>
      <c r="AL605" s="19"/>
      <c r="AM605" s="19" t="s">
        <v>9451</v>
      </c>
      <c r="AN605" s="19" t="s">
        <v>9452</v>
      </c>
      <c r="AO605" s="19" t="s">
        <v>9453</v>
      </c>
      <c r="AP605" s="19" t="s">
        <v>9454</v>
      </c>
      <c r="AQ605" s="19" t="s">
        <v>117</v>
      </c>
      <c r="AR605" s="19" t="s">
        <v>9455</v>
      </c>
      <c r="AS605" s="19" t="s">
        <v>9456</v>
      </c>
      <c r="AT605" s="19" t="s">
        <v>9457</v>
      </c>
      <c r="AU605" s="19" t="s">
        <v>9458</v>
      </c>
      <c r="AV605" s="19" t="s">
        <v>9449</v>
      </c>
      <c r="AW605" s="19" t="s">
        <v>9459</v>
      </c>
      <c r="AX605" s="19" t="s">
        <v>901</v>
      </c>
      <c r="AY605" s="19" t="s">
        <v>9460</v>
      </c>
      <c r="AZ605" s="19" t="s">
        <v>9461</v>
      </c>
      <c r="BA605" s="20">
        <v>38615</v>
      </c>
      <c r="BB605" s="19" t="s">
        <v>127</v>
      </c>
      <c r="BC605" s="19" t="s">
        <v>9449</v>
      </c>
      <c r="BD605" s="19" t="s">
        <v>5473</v>
      </c>
      <c r="BE605" s="19" t="s">
        <v>130</v>
      </c>
      <c r="BF605" s="19" t="s">
        <v>9462</v>
      </c>
      <c r="BG605" s="19" t="s">
        <v>9463</v>
      </c>
      <c r="BH605" s="19" t="s">
        <v>9464</v>
      </c>
      <c r="BI605" s="19" t="s">
        <v>9464</v>
      </c>
      <c r="BJ605" s="19" t="s">
        <v>133</v>
      </c>
      <c r="BK605" s="19" t="s">
        <v>9465</v>
      </c>
      <c r="BL605" s="19" t="s">
        <v>5473</v>
      </c>
      <c r="BM605" s="19" t="s">
        <v>196</v>
      </c>
      <c r="BN605" s="21">
        <v>0</v>
      </c>
      <c r="BO605" s="21">
        <v>0</v>
      </c>
      <c r="BQ605" s="2"/>
      <c r="BR605" s="2"/>
      <c r="BS605" s="2"/>
      <c r="BT605" s="2"/>
      <c r="BU605" s="22"/>
      <c r="BV605" s="2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</row>
    <row r="606" spans="1:95" x14ac:dyDescent="0.25">
      <c r="A606" s="18">
        <v>603</v>
      </c>
      <c r="B606" s="19" t="s">
        <v>9466</v>
      </c>
      <c r="C606" s="19" t="s">
        <v>9467</v>
      </c>
      <c r="D606" s="20">
        <v>45993</v>
      </c>
      <c r="E606" s="20">
        <v>34646</v>
      </c>
      <c r="F606" s="19"/>
      <c r="G606" s="19"/>
      <c r="H606" s="19" t="s">
        <v>94</v>
      </c>
      <c r="I606" s="19"/>
      <c r="J606" s="19"/>
      <c r="K606" s="19"/>
      <c r="L606" s="19" t="s">
        <v>97</v>
      </c>
      <c r="M606" s="19" t="s">
        <v>98</v>
      </c>
      <c r="N606" s="19" t="s">
        <v>9468</v>
      </c>
      <c r="O606" s="19" t="s">
        <v>100</v>
      </c>
      <c r="P606" s="19"/>
      <c r="Q606" s="19"/>
      <c r="R606" s="19"/>
      <c r="S606" s="19"/>
      <c r="T606" s="19"/>
      <c r="U606" s="19"/>
      <c r="V606" s="19"/>
      <c r="W606" s="19"/>
      <c r="X606" s="19"/>
      <c r="Y606" s="19" t="s">
        <v>101</v>
      </c>
      <c r="Z606" s="19" t="s">
        <v>102</v>
      </c>
      <c r="AA606" s="19" t="s">
        <v>103</v>
      </c>
      <c r="AB606" s="19" t="s">
        <v>173</v>
      </c>
      <c r="AC606" s="19" t="s">
        <v>174</v>
      </c>
      <c r="AD606" s="19" t="s">
        <v>9469</v>
      </c>
      <c r="AE606" s="19" t="s">
        <v>9470</v>
      </c>
      <c r="AF606" s="19" t="s">
        <v>9471</v>
      </c>
      <c r="AG606" s="19" t="s">
        <v>5157</v>
      </c>
      <c r="AH606" s="19" t="s">
        <v>124</v>
      </c>
      <c r="AI606" s="19" t="s">
        <v>111</v>
      </c>
      <c r="AJ606" s="19" t="s">
        <v>9472</v>
      </c>
      <c r="AK606" s="19"/>
      <c r="AL606" s="19"/>
      <c r="AM606" s="19" t="s">
        <v>9473</v>
      </c>
      <c r="AN606" s="19" t="s">
        <v>9474</v>
      </c>
      <c r="AO606" s="19" t="s">
        <v>2797</v>
      </c>
      <c r="AP606" s="19" t="s">
        <v>1034</v>
      </c>
      <c r="AQ606" s="19" t="s">
        <v>94</v>
      </c>
      <c r="AR606" s="19" t="s">
        <v>1035</v>
      </c>
      <c r="AS606" s="19" t="s">
        <v>2798</v>
      </c>
      <c r="AT606" s="19" t="s">
        <v>2799</v>
      </c>
      <c r="AU606" s="19" t="s">
        <v>2800</v>
      </c>
      <c r="AV606" s="19" t="s">
        <v>2800</v>
      </c>
      <c r="AW606" s="19" t="s">
        <v>1755</v>
      </c>
      <c r="AX606" s="19" t="s">
        <v>188</v>
      </c>
      <c r="AY606" s="19" t="s">
        <v>2801</v>
      </c>
      <c r="AZ606" s="19" t="s">
        <v>2802</v>
      </c>
      <c r="BA606" s="20">
        <v>45467</v>
      </c>
      <c r="BB606" s="19" t="s">
        <v>331</v>
      </c>
      <c r="BC606" s="19" t="s">
        <v>9475</v>
      </c>
      <c r="BD606" s="19" t="s">
        <v>5157</v>
      </c>
      <c r="BE606" s="19" t="s">
        <v>130</v>
      </c>
      <c r="BF606" s="19" t="s">
        <v>9476</v>
      </c>
      <c r="BG606" s="19"/>
      <c r="BH606" s="19" t="s">
        <v>9477</v>
      </c>
      <c r="BI606" s="19" t="s">
        <v>9477</v>
      </c>
      <c r="BJ606" s="19" t="s">
        <v>194</v>
      </c>
      <c r="BK606" s="19" t="s">
        <v>1043</v>
      </c>
      <c r="BL606" s="19" t="s">
        <v>1044</v>
      </c>
      <c r="BM606" s="19" t="s">
        <v>1045</v>
      </c>
      <c r="BN606" s="21">
        <v>0</v>
      </c>
      <c r="BO606" s="21">
        <v>0</v>
      </c>
      <c r="BQ606" s="2"/>
      <c r="BR606" s="2"/>
      <c r="BS606" s="2"/>
      <c r="BT606" s="2"/>
      <c r="BU606" s="22"/>
      <c r="BV606" s="2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</row>
    <row r="607" spans="1:95" x14ac:dyDescent="0.25">
      <c r="A607" s="18">
        <v>604</v>
      </c>
      <c r="B607" s="19" t="s">
        <v>9478</v>
      </c>
      <c r="C607" s="19" t="s">
        <v>9479</v>
      </c>
      <c r="D607" s="20">
        <v>45992</v>
      </c>
      <c r="E607" s="20">
        <v>35679</v>
      </c>
      <c r="F607" s="19" t="s">
        <v>9480</v>
      </c>
      <c r="G607" s="19" t="s">
        <v>139</v>
      </c>
      <c r="H607" s="19" t="s">
        <v>94</v>
      </c>
      <c r="I607" s="19"/>
      <c r="J607" s="19"/>
      <c r="K607" s="19"/>
      <c r="L607" s="19" t="s">
        <v>244</v>
      </c>
      <c r="M607" s="19" t="s">
        <v>245</v>
      </c>
      <c r="N607" s="19" t="s">
        <v>9481</v>
      </c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 t="s">
        <v>101</v>
      </c>
      <c r="Z607" s="19" t="s">
        <v>102</v>
      </c>
      <c r="AA607" s="19" t="s">
        <v>103</v>
      </c>
      <c r="AB607" s="19" t="s">
        <v>143</v>
      </c>
      <c r="AC607" s="19" t="s">
        <v>144</v>
      </c>
      <c r="AD607" s="19" t="s">
        <v>9482</v>
      </c>
      <c r="AE607" s="19" t="s">
        <v>9483</v>
      </c>
      <c r="AF607" s="19" t="s">
        <v>9484</v>
      </c>
      <c r="AG607" s="19" t="s">
        <v>9485</v>
      </c>
      <c r="AH607" s="19" t="s">
        <v>327</v>
      </c>
      <c r="AI607" s="19" t="s">
        <v>111</v>
      </c>
      <c r="AJ607" s="19" t="s">
        <v>9486</v>
      </c>
      <c r="AK607" s="19"/>
      <c r="AL607" s="19"/>
      <c r="AM607" s="19" t="s">
        <v>9487</v>
      </c>
      <c r="AN607" s="19" t="s">
        <v>9488</v>
      </c>
      <c r="AO607" s="19" t="s">
        <v>255</v>
      </c>
      <c r="AP607" s="19" t="s">
        <v>256</v>
      </c>
      <c r="AQ607" s="19" t="s">
        <v>117</v>
      </c>
      <c r="AR607" s="19" t="s">
        <v>257</v>
      </c>
      <c r="AS607" s="19" t="s">
        <v>258</v>
      </c>
      <c r="AT607" s="19" t="s">
        <v>259</v>
      </c>
      <c r="AU607" s="19" t="s">
        <v>260</v>
      </c>
      <c r="AV607" s="19" t="s">
        <v>260</v>
      </c>
      <c r="AW607" s="19" t="s">
        <v>261</v>
      </c>
      <c r="AX607" s="19" t="s">
        <v>262</v>
      </c>
      <c r="AY607" s="19" t="s">
        <v>263</v>
      </c>
      <c r="AZ607" s="19" t="s">
        <v>264</v>
      </c>
      <c r="BA607" s="20">
        <v>43627</v>
      </c>
      <c r="BB607" s="19" t="s">
        <v>331</v>
      </c>
      <c r="BC607" s="19" t="s">
        <v>9489</v>
      </c>
      <c r="BD607" s="19" t="s">
        <v>9485</v>
      </c>
      <c r="BE607" s="19" t="s">
        <v>130</v>
      </c>
      <c r="BF607" s="19" t="s">
        <v>9490</v>
      </c>
      <c r="BG607" s="19"/>
      <c r="BH607" s="19" t="s">
        <v>9491</v>
      </c>
      <c r="BI607" s="19" t="s">
        <v>9491</v>
      </c>
      <c r="BJ607" s="19" t="s">
        <v>166</v>
      </c>
      <c r="BK607" s="19" t="s">
        <v>167</v>
      </c>
      <c r="BL607" s="19" t="s">
        <v>168</v>
      </c>
      <c r="BM607" s="19" t="s">
        <v>169</v>
      </c>
      <c r="BN607" s="21">
        <v>6.633</v>
      </c>
      <c r="BO607" s="21">
        <v>252.65097</v>
      </c>
      <c r="BQ607" s="2"/>
      <c r="BR607" s="2"/>
      <c r="BS607" s="2"/>
      <c r="BT607" s="2"/>
      <c r="BU607" s="22"/>
      <c r="BV607" s="2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</row>
    <row r="608" spans="1:95" x14ac:dyDescent="0.25">
      <c r="A608" s="18">
        <v>605</v>
      </c>
      <c r="B608" s="19" t="s">
        <v>9492</v>
      </c>
      <c r="C608" s="19" t="s">
        <v>9493</v>
      </c>
      <c r="D608" s="20">
        <v>45999</v>
      </c>
      <c r="E608" s="20">
        <v>38999</v>
      </c>
      <c r="F608" s="19" t="s">
        <v>9494</v>
      </c>
      <c r="G608" s="19" t="s">
        <v>139</v>
      </c>
      <c r="H608" s="19" t="s">
        <v>94</v>
      </c>
      <c r="I608" s="19"/>
      <c r="J608" s="19"/>
      <c r="K608" s="19"/>
      <c r="L608" s="19" t="s">
        <v>244</v>
      </c>
      <c r="M608" s="19" t="s">
        <v>245</v>
      </c>
      <c r="N608" s="19" t="s">
        <v>9495</v>
      </c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 t="s">
        <v>101</v>
      </c>
      <c r="Z608" s="19" t="s">
        <v>102</v>
      </c>
      <c r="AA608" s="19" t="s">
        <v>103</v>
      </c>
      <c r="AB608" s="19" t="s">
        <v>173</v>
      </c>
      <c r="AC608" s="19" t="s">
        <v>174</v>
      </c>
      <c r="AD608" s="19" t="s">
        <v>9496</v>
      </c>
      <c r="AE608" s="19" t="s">
        <v>9497</v>
      </c>
      <c r="AF608" s="19" t="s">
        <v>9498</v>
      </c>
      <c r="AG608" s="19" t="s">
        <v>392</v>
      </c>
      <c r="AH608" s="19" t="s">
        <v>327</v>
      </c>
      <c r="AI608" s="19" t="s">
        <v>111</v>
      </c>
      <c r="AJ608" s="19" t="s">
        <v>4785</v>
      </c>
      <c r="AK608" s="19"/>
      <c r="AL608" s="19"/>
      <c r="AM608" s="19" t="s">
        <v>9499</v>
      </c>
      <c r="AN608" s="19" t="s">
        <v>9500</v>
      </c>
      <c r="AO608" s="19" t="s">
        <v>255</v>
      </c>
      <c r="AP608" s="19" t="s">
        <v>256</v>
      </c>
      <c r="AQ608" s="19" t="s">
        <v>117</v>
      </c>
      <c r="AR608" s="19" t="s">
        <v>257</v>
      </c>
      <c r="AS608" s="19" t="s">
        <v>258</v>
      </c>
      <c r="AT608" s="19" t="s">
        <v>259</v>
      </c>
      <c r="AU608" s="19" t="s">
        <v>260</v>
      </c>
      <c r="AV608" s="19" t="s">
        <v>260</v>
      </c>
      <c r="AW608" s="19" t="s">
        <v>261</v>
      </c>
      <c r="AX608" s="19" t="s">
        <v>262</v>
      </c>
      <c r="AY608" s="19" t="s">
        <v>263</v>
      </c>
      <c r="AZ608" s="19" t="s">
        <v>264</v>
      </c>
      <c r="BA608" s="20">
        <v>43627</v>
      </c>
      <c r="BB608" s="19" t="s">
        <v>265</v>
      </c>
      <c r="BC608" s="19" t="s">
        <v>9501</v>
      </c>
      <c r="BD608" s="19" t="s">
        <v>392</v>
      </c>
      <c r="BE608" s="19" t="s">
        <v>130</v>
      </c>
      <c r="BF608" s="19" t="s">
        <v>9502</v>
      </c>
      <c r="BG608" s="19"/>
      <c r="BH608" s="19" t="s">
        <v>9503</v>
      </c>
      <c r="BI608" s="19" t="s">
        <v>9503</v>
      </c>
      <c r="BJ608" s="19" t="s">
        <v>166</v>
      </c>
      <c r="BK608" s="19" t="s">
        <v>167</v>
      </c>
      <c r="BL608" s="19" t="s">
        <v>168</v>
      </c>
      <c r="BM608" s="19" t="s">
        <v>169</v>
      </c>
      <c r="BN608" s="21">
        <v>97.988</v>
      </c>
      <c r="BO608" s="21">
        <v>3471.1465096000002</v>
      </c>
      <c r="BQ608" s="2"/>
      <c r="BR608" s="2"/>
      <c r="BS608" s="2"/>
      <c r="BT608" s="2"/>
      <c r="BU608" s="22"/>
      <c r="BV608" s="2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</row>
    <row r="609" spans="1:95" x14ac:dyDescent="0.25">
      <c r="A609" s="18">
        <v>606</v>
      </c>
      <c r="B609" s="19" t="s">
        <v>9504</v>
      </c>
      <c r="C609" s="19" t="s">
        <v>9505</v>
      </c>
      <c r="D609" s="20">
        <v>45995</v>
      </c>
      <c r="E609" s="20">
        <v>33882</v>
      </c>
      <c r="F609" s="19"/>
      <c r="G609" s="19"/>
      <c r="H609" s="19" t="s">
        <v>94</v>
      </c>
      <c r="I609" s="19"/>
      <c r="J609" s="19"/>
      <c r="K609" s="19"/>
      <c r="L609" s="19" t="s">
        <v>140</v>
      </c>
      <c r="M609" s="19" t="s">
        <v>141</v>
      </c>
      <c r="N609" s="19" t="s">
        <v>9506</v>
      </c>
      <c r="O609" s="19" t="s">
        <v>100</v>
      </c>
      <c r="P609" s="19"/>
      <c r="Q609" s="19"/>
      <c r="R609" s="19"/>
      <c r="S609" s="19"/>
      <c r="T609" s="19"/>
      <c r="U609" s="19"/>
      <c r="V609" s="19"/>
      <c r="W609" s="19"/>
      <c r="X609" s="19"/>
      <c r="Y609" s="19" t="s">
        <v>101</v>
      </c>
      <c r="Z609" s="19" t="s">
        <v>102</v>
      </c>
      <c r="AA609" s="19" t="s">
        <v>103</v>
      </c>
      <c r="AB609" s="19" t="s">
        <v>5912</v>
      </c>
      <c r="AC609" s="19" t="s">
        <v>5913</v>
      </c>
      <c r="AD609" s="19" t="s">
        <v>9507</v>
      </c>
      <c r="AE609" s="19" t="s">
        <v>9508</v>
      </c>
      <c r="AF609" s="19" t="s">
        <v>9509</v>
      </c>
      <c r="AG609" s="19" t="s">
        <v>9508</v>
      </c>
      <c r="AH609" s="19" t="s">
        <v>1015</v>
      </c>
      <c r="AI609" s="19" t="s">
        <v>111</v>
      </c>
      <c r="AJ609" s="19" t="s">
        <v>9510</v>
      </c>
      <c r="AK609" s="19"/>
      <c r="AL609" s="19"/>
      <c r="AM609" s="19" t="s">
        <v>9511</v>
      </c>
      <c r="AN609" s="19" t="s">
        <v>9512</v>
      </c>
      <c r="AO609" s="19" t="s">
        <v>519</v>
      </c>
      <c r="AP609" s="19" t="s">
        <v>520</v>
      </c>
      <c r="AQ609" s="19" t="s">
        <v>117</v>
      </c>
      <c r="AR609" s="19" t="s">
        <v>521</v>
      </c>
      <c r="AS609" s="19" t="s">
        <v>522</v>
      </c>
      <c r="AT609" s="19" t="s">
        <v>523</v>
      </c>
      <c r="AU609" s="19" t="s">
        <v>524</v>
      </c>
      <c r="AV609" s="19" t="s">
        <v>260</v>
      </c>
      <c r="AW609" s="19" t="s">
        <v>525</v>
      </c>
      <c r="AX609" s="19"/>
      <c r="AY609" s="19" t="s">
        <v>526</v>
      </c>
      <c r="AZ609" s="19" t="s">
        <v>527</v>
      </c>
      <c r="BA609" s="20">
        <v>42669</v>
      </c>
      <c r="BB609" s="19" t="s">
        <v>331</v>
      </c>
      <c r="BC609" s="19" t="s">
        <v>9513</v>
      </c>
      <c r="BD609" s="19" t="s">
        <v>9514</v>
      </c>
      <c r="BE609" s="19" t="s">
        <v>130</v>
      </c>
      <c r="BF609" s="19" t="s">
        <v>9515</v>
      </c>
      <c r="BG609" s="19"/>
      <c r="BH609" s="19" t="s">
        <v>9516</v>
      </c>
      <c r="BI609" s="19" t="s">
        <v>9516</v>
      </c>
      <c r="BJ609" s="19" t="s">
        <v>194</v>
      </c>
      <c r="BK609" s="19" t="s">
        <v>195</v>
      </c>
      <c r="BL609" s="19" t="s">
        <v>122</v>
      </c>
      <c r="BM609" s="19" t="s">
        <v>196</v>
      </c>
      <c r="BN609" s="21">
        <v>0</v>
      </c>
      <c r="BO609" s="21">
        <v>0</v>
      </c>
      <c r="BQ609" s="2"/>
      <c r="BR609" s="2"/>
      <c r="BS609" s="2"/>
      <c r="BT609" s="2"/>
      <c r="BU609" s="22"/>
      <c r="BV609" s="2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</row>
    <row r="610" spans="1:95" x14ac:dyDescent="0.25">
      <c r="A610" s="18">
        <v>607</v>
      </c>
      <c r="B610" s="19" t="s">
        <v>9517</v>
      </c>
      <c r="C610" s="19" t="s">
        <v>9518</v>
      </c>
      <c r="D610" s="20">
        <v>45995</v>
      </c>
      <c r="E610" s="20">
        <v>34882</v>
      </c>
      <c r="F610" s="19"/>
      <c r="G610" s="19"/>
      <c r="H610" s="19" t="s">
        <v>94</v>
      </c>
      <c r="I610" s="19"/>
      <c r="J610" s="19"/>
      <c r="K610" s="19"/>
      <c r="L610" s="19" t="s">
        <v>140</v>
      </c>
      <c r="M610" s="19" t="s">
        <v>141</v>
      </c>
      <c r="N610" s="19" t="s">
        <v>9519</v>
      </c>
      <c r="O610" s="19" t="s">
        <v>100</v>
      </c>
      <c r="P610" s="19"/>
      <c r="Q610" s="19"/>
      <c r="R610" s="19"/>
      <c r="S610" s="19"/>
      <c r="T610" s="19"/>
      <c r="U610" s="19"/>
      <c r="V610" s="19"/>
      <c r="W610" s="19"/>
      <c r="X610" s="19"/>
      <c r="Y610" s="19" t="s">
        <v>101</v>
      </c>
      <c r="Z610" s="19" t="s">
        <v>102</v>
      </c>
      <c r="AA610" s="19" t="s">
        <v>103</v>
      </c>
      <c r="AB610" s="19" t="s">
        <v>953</v>
      </c>
      <c r="AC610" s="19" t="s">
        <v>954</v>
      </c>
      <c r="AD610" s="19" t="s">
        <v>9520</v>
      </c>
      <c r="AE610" s="19" t="s">
        <v>9521</v>
      </c>
      <c r="AF610" s="19"/>
      <c r="AG610" s="19" t="s">
        <v>9522</v>
      </c>
      <c r="AH610" s="19" t="s">
        <v>757</v>
      </c>
      <c r="AI610" s="19" t="s">
        <v>111</v>
      </c>
      <c r="AJ610" s="19" t="s">
        <v>9523</v>
      </c>
      <c r="AK610" s="19"/>
      <c r="AL610" s="19"/>
      <c r="AM610" s="19" t="s">
        <v>9524</v>
      </c>
      <c r="AN610" s="19" t="s">
        <v>9525</v>
      </c>
      <c r="AO610" s="19" t="s">
        <v>181</v>
      </c>
      <c r="AP610" s="19" t="s">
        <v>182</v>
      </c>
      <c r="AQ610" s="19" t="s">
        <v>117</v>
      </c>
      <c r="AR610" s="19" t="s">
        <v>183</v>
      </c>
      <c r="AS610" s="19" t="s">
        <v>184</v>
      </c>
      <c r="AT610" s="19" t="s">
        <v>185</v>
      </c>
      <c r="AU610" s="19"/>
      <c r="AV610" s="19" t="s">
        <v>186</v>
      </c>
      <c r="AW610" s="19" t="s">
        <v>187</v>
      </c>
      <c r="AX610" s="19" t="s">
        <v>188</v>
      </c>
      <c r="AY610" s="19"/>
      <c r="AZ610" s="19" t="s">
        <v>189</v>
      </c>
      <c r="BA610" s="20">
        <v>44673</v>
      </c>
      <c r="BB610" s="19" t="s">
        <v>1388</v>
      </c>
      <c r="BC610" s="19" t="s">
        <v>9526</v>
      </c>
      <c r="BD610" s="19" t="s">
        <v>9527</v>
      </c>
      <c r="BE610" s="19" t="s">
        <v>130</v>
      </c>
      <c r="BF610" s="19" t="s">
        <v>9528</v>
      </c>
      <c r="BG610" s="19"/>
      <c r="BH610" s="19" t="s">
        <v>9529</v>
      </c>
      <c r="BI610" s="19" t="s">
        <v>9529</v>
      </c>
      <c r="BJ610" s="19" t="s">
        <v>194</v>
      </c>
      <c r="BK610" s="19" t="s">
        <v>195</v>
      </c>
      <c r="BL610" s="19" t="s">
        <v>122</v>
      </c>
      <c r="BM610" s="19" t="s">
        <v>196</v>
      </c>
      <c r="BN610" s="21">
        <v>10.054</v>
      </c>
      <c r="BO610" s="21">
        <v>404.99221180000001</v>
      </c>
      <c r="BQ610" s="2"/>
      <c r="BR610" s="2"/>
      <c r="BS610" s="2"/>
      <c r="BT610" s="2"/>
      <c r="BU610" s="22"/>
      <c r="BV610" s="2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</row>
    <row r="611" spans="1:95" x14ac:dyDescent="0.25">
      <c r="A611" s="18">
        <v>608</v>
      </c>
      <c r="B611" s="19" t="s">
        <v>9530</v>
      </c>
      <c r="C611" s="19" t="s">
        <v>9531</v>
      </c>
      <c r="D611" s="20">
        <v>46000</v>
      </c>
      <c r="E611" s="20">
        <v>35282</v>
      </c>
      <c r="F611" s="19"/>
      <c r="G611" s="19"/>
      <c r="H611" s="19" t="s">
        <v>94</v>
      </c>
      <c r="I611" s="19"/>
      <c r="J611" s="19"/>
      <c r="K611" s="19"/>
      <c r="L611" s="19" t="s">
        <v>687</v>
      </c>
      <c r="M611" s="19" t="s">
        <v>688</v>
      </c>
      <c r="N611" s="19" t="s">
        <v>9532</v>
      </c>
      <c r="O611" s="19" t="s">
        <v>100</v>
      </c>
      <c r="P611" s="19"/>
      <c r="Q611" s="19"/>
      <c r="R611" s="19"/>
      <c r="S611" s="19"/>
      <c r="T611" s="19"/>
      <c r="U611" s="19"/>
      <c r="V611" s="19"/>
      <c r="W611" s="19"/>
      <c r="X611" s="19"/>
      <c r="Y611" s="19" t="s">
        <v>101</v>
      </c>
      <c r="Z611" s="19" t="s">
        <v>102</v>
      </c>
      <c r="AA611" s="19" t="s">
        <v>103</v>
      </c>
      <c r="AB611" s="19" t="s">
        <v>850</v>
      </c>
      <c r="AC611" s="19" t="s">
        <v>851</v>
      </c>
      <c r="AD611" s="19" t="s">
        <v>9533</v>
      </c>
      <c r="AE611" s="19" t="s">
        <v>9534</v>
      </c>
      <c r="AF611" s="19"/>
      <c r="AG611" s="19" t="s">
        <v>9535</v>
      </c>
      <c r="AH611" s="19" t="s">
        <v>327</v>
      </c>
      <c r="AI611" s="19" t="s">
        <v>111</v>
      </c>
      <c r="AJ611" s="19" t="s">
        <v>9536</v>
      </c>
      <c r="AK611" s="19"/>
      <c r="AL611" s="19"/>
      <c r="AM611" s="19" t="s">
        <v>9537</v>
      </c>
      <c r="AN611" s="19" t="s">
        <v>9538</v>
      </c>
      <c r="AO611" s="19" t="s">
        <v>9539</v>
      </c>
      <c r="AP611" s="19" t="s">
        <v>9540</v>
      </c>
      <c r="AQ611" s="19" t="s">
        <v>117</v>
      </c>
      <c r="AR611" s="19" t="s">
        <v>9541</v>
      </c>
      <c r="AS611" s="19" t="s">
        <v>9542</v>
      </c>
      <c r="AT611" s="19" t="s">
        <v>9543</v>
      </c>
      <c r="AU611" s="19" t="s">
        <v>9544</v>
      </c>
      <c r="AV611" s="19" t="s">
        <v>122</v>
      </c>
      <c r="AW611" s="19" t="s">
        <v>9545</v>
      </c>
      <c r="AX611" s="19" t="s">
        <v>124</v>
      </c>
      <c r="AY611" s="19" t="s">
        <v>9546</v>
      </c>
      <c r="AZ611" s="19" t="s">
        <v>9547</v>
      </c>
      <c r="BA611" s="20">
        <v>44371</v>
      </c>
      <c r="BB611" s="19" t="s">
        <v>349</v>
      </c>
      <c r="BC611" s="19" t="s">
        <v>9548</v>
      </c>
      <c r="BD611" s="19" t="s">
        <v>9549</v>
      </c>
      <c r="BE611" s="19" t="s">
        <v>130</v>
      </c>
      <c r="BF611" s="19" t="s">
        <v>9550</v>
      </c>
      <c r="BG611" s="19"/>
      <c r="BH611" s="19" t="s">
        <v>9551</v>
      </c>
      <c r="BI611" s="19" t="s">
        <v>9551</v>
      </c>
      <c r="BJ611" s="19" t="s">
        <v>194</v>
      </c>
      <c r="BK611" s="19" t="s">
        <v>591</v>
      </c>
      <c r="BL611" s="19" t="s">
        <v>122</v>
      </c>
      <c r="BM611" s="19" t="s">
        <v>592</v>
      </c>
      <c r="BN611" s="21">
        <v>54.997999999999998</v>
      </c>
      <c r="BO611" s="21">
        <v>6049.23002</v>
      </c>
      <c r="BQ611" s="2"/>
      <c r="BR611" s="2"/>
      <c r="BS611" s="2"/>
      <c r="BT611" s="2"/>
      <c r="BU611" s="22"/>
      <c r="BV611" s="2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</row>
    <row r="612" spans="1:95" x14ac:dyDescent="0.25">
      <c r="A612" s="18">
        <v>609</v>
      </c>
      <c r="B612" s="19" t="s">
        <v>9552</v>
      </c>
      <c r="C612" s="19" t="s">
        <v>9553</v>
      </c>
      <c r="D612" s="20">
        <v>45993</v>
      </c>
      <c r="E612" s="20">
        <v>36796</v>
      </c>
      <c r="F612" s="19"/>
      <c r="G612" s="19"/>
      <c r="H612" s="19" t="s">
        <v>94</v>
      </c>
      <c r="I612" s="19"/>
      <c r="J612" s="19"/>
      <c r="K612" s="19"/>
      <c r="L612" s="19" t="s">
        <v>244</v>
      </c>
      <c r="M612" s="19" t="s">
        <v>245</v>
      </c>
      <c r="N612" s="19" t="s">
        <v>9554</v>
      </c>
      <c r="O612" s="19" t="s">
        <v>100</v>
      </c>
      <c r="P612" s="19"/>
      <c r="Q612" s="19"/>
      <c r="R612" s="19"/>
      <c r="S612" s="19"/>
      <c r="T612" s="19"/>
      <c r="U612" s="19"/>
      <c r="V612" s="19"/>
      <c r="W612" s="19"/>
      <c r="X612" s="19"/>
      <c r="Y612" s="19" t="s">
        <v>101</v>
      </c>
      <c r="Z612" s="19" t="s">
        <v>102</v>
      </c>
      <c r="AA612" s="19" t="s">
        <v>103</v>
      </c>
      <c r="AB612" s="19" t="s">
        <v>143</v>
      </c>
      <c r="AC612" s="19" t="s">
        <v>144</v>
      </c>
      <c r="AD612" s="19" t="s">
        <v>9555</v>
      </c>
      <c r="AE612" s="19" t="s">
        <v>9556</v>
      </c>
      <c r="AF612" s="19" t="s">
        <v>9557</v>
      </c>
      <c r="AG612" s="19" t="s">
        <v>9558</v>
      </c>
      <c r="AH612" s="19" t="s">
        <v>1202</v>
      </c>
      <c r="AI612" s="19" t="s">
        <v>111</v>
      </c>
      <c r="AJ612" s="19" t="s">
        <v>9557</v>
      </c>
      <c r="AK612" s="19"/>
      <c r="AL612" s="19"/>
      <c r="AM612" s="19" t="s">
        <v>9559</v>
      </c>
      <c r="AN612" s="19" t="s">
        <v>9560</v>
      </c>
      <c r="AO612" s="19" t="s">
        <v>255</v>
      </c>
      <c r="AP612" s="19" t="s">
        <v>256</v>
      </c>
      <c r="AQ612" s="19" t="s">
        <v>117</v>
      </c>
      <c r="AR612" s="19" t="s">
        <v>257</v>
      </c>
      <c r="AS612" s="19" t="s">
        <v>258</v>
      </c>
      <c r="AT612" s="19" t="s">
        <v>259</v>
      </c>
      <c r="AU612" s="19" t="s">
        <v>260</v>
      </c>
      <c r="AV612" s="19" t="s">
        <v>260</v>
      </c>
      <c r="AW612" s="19" t="s">
        <v>261</v>
      </c>
      <c r="AX612" s="19" t="s">
        <v>262</v>
      </c>
      <c r="AY612" s="19" t="s">
        <v>263</v>
      </c>
      <c r="AZ612" s="19" t="s">
        <v>264</v>
      </c>
      <c r="BA612" s="20">
        <v>43627</v>
      </c>
      <c r="BB612" s="19" t="s">
        <v>1388</v>
      </c>
      <c r="BC612" s="19" t="s">
        <v>9561</v>
      </c>
      <c r="BD612" s="19" t="s">
        <v>9562</v>
      </c>
      <c r="BE612" s="19" t="s">
        <v>130</v>
      </c>
      <c r="BF612" s="19" t="s">
        <v>9563</v>
      </c>
      <c r="BG612" s="19"/>
      <c r="BH612" s="19" t="s">
        <v>9564</v>
      </c>
      <c r="BI612" s="19" t="s">
        <v>9564</v>
      </c>
      <c r="BJ612" s="19" t="s">
        <v>194</v>
      </c>
      <c r="BK612" s="19" t="s">
        <v>195</v>
      </c>
      <c r="BL612" s="19" t="s">
        <v>122</v>
      </c>
      <c r="BM612" s="19" t="s">
        <v>196</v>
      </c>
      <c r="BN612" s="21">
        <v>53.216999999999999</v>
      </c>
      <c r="BO612" s="21">
        <v>2027.0355300000001</v>
      </c>
      <c r="BQ612" s="2"/>
      <c r="BR612" s="2"/>
      <c r="BS612" s="2"/>
      <c r="BT612" s="2"/>
      <c r="BU612" s="22"/>
      <c r="BV612" s="2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</row>
    <row r="613" spans="1:95" x14ac:dyDescent="0.25">
      <c r="A613" s="18">
        <v>610</v>
      </c>
      <c r="B613" s="19" t="s">
        <v>9565</v>
      </c>
      <c r="C613" s="19" t="s">
        <v>9566</v>
      </c>
      <c r="D613" s="20">
        <v>45999</v>
      </c>
      <c r="E613" s="20">
        <v>25890</v>
      </c>
      <c r="F613" s="19"/>
      <c r="G613" s="19"/>
      <c r="H613" s="19" t="s">
        <v>94</v>
      </c>
      <c r="I613" s="19"/>
      <c r="J613" s="19"/>
      <c r="K613" s="19"/>
      <c r="L613" s="19" t="s">
        <v>687</v>
      </c>
      <c r="M613" s="19" t="s">
        <v>688</v>
      </c>
      <c r="N613" s="19" t="s">
        <v>9567</v>
      </c>
      <c r="O613" s="19" t="s">
        <v>100</v>
      </c>
      <c r="P613" s="19"/>
      <c r="Q613" s="19"/>
      <c r="R613" s="19"/>
      <c r="S613" s="19"/>
      <c r="T613" s="19"/>
      <c r="U613" s="19"/>
      <c r="V613" s="19"/>
      <c r="W613" s="19"/>
      <c r="X613" s="19"/>
      <c r="Y613" s="19" t="s">
        <v>101</v>
      </c>
      <c r="Z613" s="19" t="s">
        <v>102</v>
      </c>
      <c r="AA613" s="19" t="s">
        <v>103</v>
      </c>
      <c r="AB613" s="19" t="s">
        <v>3162</v>
      </c>
      <c r="AC613" s="19" t="s">
        <v>3163</v>
      </c>
      <c r="AD613" s="19" t="s">
        <v>9568</v>
      </c>
      <c r="AE613" s="19" t="s">
        <v>9569</v>
      </c>
      <c r="AF613" s="19"/>
      <c r="AG613" s="19" t="s">
        <v>514</v>
      </c>
      <c r="AH613" s="19" t="s">
        <v>515</v>
      </c>
      <c r="AI613" s="19" t="s">
        <v>111</v>
      </c>
      <c r="AJ613" s="19" t="s">
        <v>9570</v>
      </c>
      <c r="AK613" s="19"/>
      <c r="AL613" s="19" t="s">
        <v>9571</v>
      </c>
      <c r="AM613" s="19" t="s">
        <v>9572</v>
      </c>
      <c r="AN613" s="19" t="s">
        <v>9571</v>
      </c>
      <c r="AO613" s="19" t="s">
        <v>9573</v>
      </c>
      <c r="AP613" s="19" t="s">
        <v>9574</v>
      </c>
      <c r="AQ613" s="19" t="s">
        <v>117</v>
      </c>
      <c r="AR613" s="19" t="s">
        <v>9575</v>
      </c>
      <c r="AS613" s="19" t="s">
        <v>9576</v>
      </c>
      <c r="AT613" s="19" t="s">
        <v>9577</v>
      </c>
      <c r="AU613" s="19" t="s">
        <v>9578</v>
      </c>
      <c r="AV613" s="19" t="s">
        <v>122</v>
      </c>
      <c r="AW613" s="19" t="s">
        <v>2094</v>
      </c>
      <c r="AX613" s="19" t="s">
        <v>901</v>
      </c>
      <c r="AY613" s="19" t="s">
        <v>9579</v>
      </c>
      <c r="AZ613" s="19" t="s">
        <v>9580</v>
      </c>
      <c r="BA613" s="20">
        <v>34754</v>
      </c>
      <c r="BB613" s="19" t="s">
        <v>363</v>
      </c>
      <c r="BC613" s="19" t="s">
        <v>9581</v>
      </c>
      <c r="BD613" s="19" t="s">
        <v>9582</v>
      </c>
      <c r="BE613" s="19" t="s">
        <v>130</v>
      </c>
      <c r="BF613" s="19" t="s">
        <v>9583</v>
      </c>
      <c r="BG613" s="19"/>
      <c r="BH613" s="19" t="s">
        <v>9584</v>
      </c>
      <c r="BI613" s="19" t="s">
        <v>9584</v>
      </c>
      <c r="BJ613" s="19" t="s">
        <v>194</v>
      </c>
      <c r="BK613" s="19" t="s">
        <v>591</v>
      </c>
      <c r="BL613" s="19" t="s">
        <v>122</v>
      </c>
      <c r="BM613" s="19" t="s">
        <v>592</v>
      </c>
      <c r="BN613" s="21">
        <v>24268.393</v>
      </c>
      <c r="BO613" s="21">
        <v>1000777.5636947</v>
      </c>
      <c r="BQ613" s="2"/>
      <c r="BR613" s="2"/>
      <c r="BS613" s="2"/>
      <c r="BT613" s="2"/>
      <c r="BU613" s="22"/>
      <c r="BV613" s="2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</row>
    <row r="614" spans="1:95" x14ac:dyDescent="0.25">
      <c r="A614" s="18">
        <v>611</v>
      </c>
      <c r="B614" s="19" t="s">
        <v>9585</v>
      </c>
      <c r="C614" s="19" t="s">
        <v>9586</v>
      </c>
      <c r="D614" s="20">
        <v>46001</v>
      </c>
      <c r="E614" s="20">
        <v>23117</v>
      </c>
      <c r="F614" s="19" t="s">
        <v>9587</v>
      </c>
      <c r="G614" s="19" t="s">
        <v>1248</v>
      </c>
      <c r="H614" s="19" t="s">
        <v>94</v>
      </c>
      <c r="I614" s="19"/>
      <c r="J614" s="19"/>
      <c r="K614" s="19"/>
      <c r="L614" s="19" t="s">
        <v>467</v>
      </c>
      <c r="M614" s="19" t="s">
        <v>468</v>
      </c>
      <c r="N614" s="19" t="s">
        <v>9588</v>
      </c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 t="s">
        <v>101</v>
      </c>
      <c r="Z614" s="19" t="s">
        <v>102</v>
      </c>
      <c r="AA614" s="19" t="s">
        <v>103</v>
      </c>
      <c r="AB614" s="19" t="s">
        <v>402</v>
      </c>
      <c r="AC614" s="19" t="s">
        <v>403</v>
      </c>
      <c r="AD614" s="19" t="s">
        <v>9589</v>
      </c>
      <c r="AE614" s="19" t="s">
        <v>9590</v>
      </c>
      <c r="AF614" s="19"/>
      <c r="AG614" s="19" t="s">
        <v>623</v>
      </c>
      <c r="AH614" s="19" t="s">
        <v>124</v>
      </c>
      <c r="AI614" s="19" t="s">
        <v>111</v>
      </c>
      <c r="AJ614" s="19" t="s">
        <v>9591</v>
      </c>
      <c r="AK614" s="19"/>
      <c r="AL614" s="19"/>
      <c r="AM614" s="19" t="s">
        <v>9592</v>
      </c>
      <c r="AN614" s="19" t="s">
        <v>9593</v>
      </c>
      <c r="AO614" s="19" t="s">
        <v>208</v>
      </c>
      <c r="AP614" s="19" t="s">
        <v>209</v>
      </c>
      <c r="AQ614" s="19" t="s">
        <v>117</v>
      </c>
      <c r="AR614" s="19" t="s">
        <v>210</v>
      </c>
      <c r="AS614" s="19" t="s">
        <v>211</v>
      </c>
      <c r="AT614" s="19" t="s">
        <v>212</v>
      </c>
      <c r="AU614" s="19" t="s">
        <v>213</v>
      </c>
      <c r="AV614" s="19" t="s">
        <v>214</v>
      </c>
      <c r="AW614" s="19" t="s">
        <v>215</v>
      </c>
      <c r="AX614" s="19" t="s">
        <v>149</v>
      </c>
      <c r="AY614" s="19" t="s">
        <v>216</v>
      </c>
      <c r="AZ614" s="19" t="s">
        <v>217</v>
      </c>
      <c r="BA614" s="20">
        <v>35521</v>
      </c>
      <c r="BB614" s="19" t="s">
        <v>479</v>
      </c>
      <c r="BC614" s="19" t="s">
        <v>7670</v>
      </c>
      <c r="BD614" s="19" t="s">
        <v>623</v>
      </c>
      <c r="BE614" s="19" t="s">
        <v>130</v>
      </c>
      <c r="BF614" s="19" t="s">
        <v>9594</v>
      </c>
      <c r="BG614" s="19"/>
      <c r="BH614" s="19" t="s">
        <v>7672</v>
      </c>
      <c r="BI614" s="19" t="s">
        <v>7672</v>
      </c>
      <c r="BJ614" s="19" t="s">
        <v>1259</v>
      </c>
      <c r="BK614" s="19" t="s">
        <v>591</v>
      </c>
      <c r="BL614" s="19" t="s">
        <v>122</v>
      </c>
      <c r="BM614" s="19" t="s">
        <v>592</v>
      </c>
      <c r="BN614" s="21">
        <v>2.6930000000000001</v>
      </c>
      <c r="BO614" s="21">
        <v>5098.7376899999999</v>
      </c>
      <c r="BQ614" s="2"/>
      <c r="BR614" s="2"/>
      <c r="BS614" s="2"/>
      <c r="BT614" s="2"/>
      <c r="BU614" s="22"/>
      <c r="BV614" s="2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</row>
    <row r="615" spans="1:95" x14ac:dyDescent="0.25">
      <c r="A615" s="18">
        <v>612</v>
      </c>
      <c r="B615" s="19" t="s">
        <v>9595</v>
      </c>
      <c r="C615" s="19" t="s">
        <v>9596</v>
      </c>
      <c r="D615" s="20">
        <v>46003</v>
      </c>
      <c r="E615" s="20">
        <v>29210</v>
      </c>
      <c r="F615" s="19" t="s">
        <v>9597</v>
      </c>
      <c r="G615" s="19" t="s">
        <v>139</v>
      </c>
      <c r="H615" s="19" t="s">
        <v>94</v>
      </c>
      <c r="I615" s="19"/>
      <c r="J615" s="19"/>
      <c r="K615" s="19"/>
      <c r="L615" s="19" t="s">
        <v>244</v>
      </c>
      <c r="M615" s="19" t="s">
        <v>245</v>
      </c>
      <c r="N615" s="19" t="s">
        <v>9598</v>
      </c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 t="s">
        <v>101</v>
      </c>
      <c r="Z615" s="19" t="s">
        <v>102</v>
      </c>
      <c r="AA615" s="19" t="s">
        <v>103</v>
      </c>
      <c r="AB615" s="19" t="s">
        <v>143</v>
      </c>
      <c r="AC615" s="19" t="s">
        <v>144</v>
      </c>
      <c r="AD615" s="19" t="s">
        <v>9599</v>
      </c>
      <c r="AE615" s="19" t="s">
        <v>9600</v>
      </c>
      <c r="AF615" s="19" t="s">
        <v>9601</v>
      </c>
      <c r="AG615" s="19" t="s">
        <v>148</v>
      </c>
      <c r="AH615" s="19" t="s">
        <v>149</v>
      </c>
      <c r="AI615" s="19" t="s">
        <v>111</v>
      </c>
      <c r="AJ615" s="19" t="s">
        <v>9602</v>
      </c>
      <c r="AK615" s="19"/>
      <c r="AL615" s="19" t="s">
        <v>9603</v>
      </c>
      <c r="AM615" s="19" t="s">
        <v>9604</v>
      </c>
      <c r="AN615" s="19" t="s">
        <v>9605</v>
      </c>
      <c r="AO615" s="19" t="s">
        <v>154</v>
      </c>
      <c r="AP615" s="19" t="s">
        <v>155</v>
      </c>
      <c r="AQ615" s="19" t="s">
        <v>117</v>
      </c>
      <c r="AR615" s="19" t="s">
        <v>156</v>
      </c>
      <c r="AS615" s="19" t="s">
        <v>157</v>
      </c>
      <c r="AT615" s="19" t="s">
        <v>158</v>
      </c>
      <c r="AU615" s="19"/>
      <c r="AV615" s="19" t="s">
        <v>122</v>
      </c>
      <c r="AW615" s="19"/>
      <c r="AX615" s="19" t="s">
        <v>124</v>
      </c>
      <c r="AY615" s="19" t="s">
        <v>159</v>
      </c>
      <c r="AZ615" s="19" t="s">
        <v>160</v>
      </c>
      <c r="BA615" s="20">
        <v>44676</v>
      </c>
      <c r="BB615" s="19" t="s">
        <v>444</v>
      </c>
      <c r="BC615" s="19" t="s">
        <v>8324</v>
      </c>
      <c r="BD615" s="19" t="s">
        <v>277</v>
      </c>
      <c r="BE615" s="19" t="s">
        <v>130</v>
      </c>
      <c r="BF615" s="19" t="s">
        <v>9606</v>
      </c>
      <c r="BG615" s="19"/>
      <c r="BH615" s="19" t="s">
        <v>8326</v>
      </c>
      <c r="BI615" s="19" t="s">
        <v>8326</v>
      </c>
      <c r="BJ615" s="19" t="s">
        <v>166</v>
      </c>
      <c r="BK615" s="19" t="s">
        <v>167</v>
      </c>
      <c r="BL615" s="19" t="s">
        <v>168</v>
      </c>
      <c r="BM615" s="19" t="s">
        <v>169</v>
      </c>
      <c r="BN615" s="21">
        <v>53.905999999999999</v>
      </c>
      <c r="BO615" s="21">
        <v>2053.27954</v>
      </c>
      <c r="BQ615" s="2"/>
      <c r="BR615" s="2"/>
      <c r="BS615" s="2"/>
      <c r="BT615" s="2"/>
      <c r="BU615" s="22"/>
      <c r="BV615" s="2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</row>
    <row r="616" spans="1:95" x14ac:dyDescent="0.25">
      <c r="A616" s="18">
        <v>613</v>
      </c>
      <c r="B616" s="19" t="s">
        <v>9607</v>
      </c>
      <c r="C616" s="19" t="s">
        <v>9608</v>
      </c>
      <c r="D616" s="20">
        <v>46006</v>
      </c>
      <c r="E616" s="20">
        <v>31787</v>
      </c>
      <c r="F616" s="19" t="s">
        <v>9609</v>
      </c>
      <c r="G616" s="19" t="s">
        <v>139</v>
      </c>
      <c r="H616" s="19" t="s">
        <v>94</v>
      </c>
      <c r="I616" s="19"/>
      <c r="J616" s="19"/>
      <c r="K616" s="19"/>
      <c r="L616" s="19" t="s">
        <v>244</v>
      </c>
      <c r="M616" s="19" t="s">
        <v>245</v>
      </c>
      <c r="N616" s="19" t="s">
        <v>9610</v>
      </c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 t="s">
        <v>101</v>
      </c>
      <c r="Z616" s="19" t="s">
        <v>102</v>
      </c>
      <c r="AA616" s="19" t="s">
        <v>103</v>
      </c>
      <c r="AB616" s="19" t="s">
        <v>173</v>
      </c>
      <c r="AC616" s="19" t="s">
        <v>174</v>
      </c>
      <c r="AD616" s="19" t="s">
        <v>9611</v>
      </c>
      <c r="AE616" s="19" t="s">
        <v>229</v>
      </c>
      <c r="AF616" s="19"/>
      <c r="AG616" s="19" t="s">
        <v>2468</v>
      </c>
      <c r="AH616" s="19" t="s">
        <v>231</v>
      </c>
      <c r="AI616" s="19"/>
      <c r="AJ616" s="19" t="s">
        <v>9612</v>
      </c>
      <c r="AK616" s="19"/>
      <c r="AL616" s="19" t="s">
        <v>9613</v>
      </c>
      <c r="AM616" s="19" t="s">
        <v>9614</v>
      </c>
      <c r="AN616" s="19" t="s">
        <v>9615</v>
      </c>
      <c r="AO616" s="19" t="s">
        <v>154</v>
      </c>
      <c r="AP616" s="19" t="s">
        <v>155</v>
      </c>
      <c r="AQ616" s="19" t="s">
        <v>117</v>
      </c>
      <c r="AR616" s="19" t="s">
        <v>156</v>
      </c>
      <c r="AS616" s="19" t="s">
        <v>157</v>
      </c>
      <c r="AT616" s="19" t="s">
        <v>158</v>
      </c>
      <c r="AU616" s="19"/>
      <c r="AV616" s="19" t="s">
        <v>122</v>
      </c>
      <c r="AW616" s="19"/>
      <c r="AX616" s="19" t="s">
        <v>124</v>
      </c>
      <c r="AY616" s="19" t="s">
        <v>159</v>
      </c>
      <c r="AZ616" s="19" t="s">
        <v>160</v>
      </c>
      <c r="BA616" s="20">
        <v>44676</v>
      </c>
      <c r="BB616" s="19" t="s">
        <v>751</v>
      </c>
      <c r="BC616" s="19" t="s">
        <v>2468</v>
      </c>
      <c r="BD616" s="19" t="s">
        <v>2468</v>
      </c>
      <c r="BE616" s="19" t="s">
        <v>130</v>
      </c>
      <c r="BF616" s="19" t="s">
        <v>9616</v>
      </c>
      <c r="BG616" s="19"/>
      <c r="BH616" s="19" t="s">
        <v>9617</v>
      </c>
      <c r="BI616" s="19" t="s">
        <v>9617</v>
      </c>
      <c r="BJ616" s="19" t="s">
        <v>166</v>
      </c>
      <c r="BK616" s="19" t="s">
        <v>167</v>
      </c>
      <c r="BL616" s="19" t="s">
        <v>168</v>
      </c>
      <c r="BM616" s="19" t="s">
        <v>169</v>
      </c>
      <c r="BN616" s="21">
        <v>9.5000000000000001E-2</v>
      </c>
      <c r="BO616" s="21">
        <v>3.3652989999999998</v>
      </c>
      <c r="BQ616" s="2"/>
      <c r="BR616" s="2"/>
      <c r="BS616" s="2"/>
      <c r="BT616" s="2"/>
      <c r="BU616" s="22"/>
      <c r="BV616" s="2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</row>
    <row r="617" spans="1:95" x14ac:dyDescent="0.25">
      <c r="A617" s="18">
        <v>614</v>
      </c>
      <c r="B617" s="19" t="s">
        <v>9618</v>
      </c>
      <c r="C617" s="19" t="s">
        <v>9619</v>
      </c>
      <c r="D617" s="20">
        <v>46006</v>
      </c>
      <c r="E617" s="20">
        <v>33033</v>
      </c>
      <c r="F617" s="19"/>
      <c r="G617" s="19"/>
      <c r="H617" s="19" t="s">
        <v>94</v>
      </c>
      <c r="I617" s="19"/>
      <c r="J617" s="19"/>
      <c r="K617" s="19"/>
      <c r="L617" s="19" t="s">
        <v>140</v>
      </c>
      <c r="M617" s="19" t="s">
        <v>141</v>
      </c>
      <c r="N617" s="19" t="s">
        <v>9620</v>
      </c>
      <c r="O617" s="19" t="s">
        <v>100</v>
      </c>
      <c r="P617" s="19"/>
      <c r="Q617" s="19"/>
      <c r="R617" s="19"/>
      <c r="S617" s="19"/>
      <c r="T617" s="19"/>
      <c r="U617" s="19"/>
      <c r="V617" s="19"/>
      <c r="W617" s="19"/>
      <c r="X617" s="19"/>
      <c r="Y617" s="19" t="s">
        <v>101</v>
      </c>
      <c r="Z617" s="19" t="s">
        <v>102</v>
      </c>
      <c r="AA617" s="19" t="s">
        <v>103</v>
      </c>
      <c r="AB617" s="19" t="s">
        <v>173</v>
      </c>
      <c r="AC617" s="19" t="s">
        <v>174</v>
      </c>
      <c r="AD617" s="19" t="s">
        <v>9621</v>
      </c>
      <c r="AE617" s="19" t="s">
        <v>9622</v>
      </c>
      <c r="AF617" s="19" t="s">
        <v>9623</v>
      </c>
      <c r="AG617" s="19" t="s">
        <v>168</v>
      </c>
      <c r="AH617" s="19" t="s">
        <v>262</v>
      </c>
      <c r="AI617" s="19" t="s">
        <v>111</v>
      </c>
      <c r="AJ617" s="19" t="s">
        <v>7751</v>
      </c>
      <c r="AK617" s="19"/>
      <c r="AL617" s="19"/>
      <c r="AM617" s="19" t="s">
        <v>9624</v>
      </c>
      <c r="AN617" s="19" t="s">
        <v>9625</v>
      </c>
      <c r="AO617" s="19" t="s">
        <v>181</v>
      </c>
      <c r="AP617" s="19" t="s">
        <v>182</v>
      </c>
      <c r="AQ617" s="19" t="s">
        <v>117</v>
      </c>
      <c r="AR617" s="19" t="s">
        <v>183</v>
      </c>
      <c r="AS617" s="19" t="s">
        <v>184</v>
      </c>
      <c r="AT617" s="19" t="s">
        <v>185</v>
      </c>
      <c r="AU617" s="19"/>
      <c r="AV617" s="19" t="s">
        <v>186</v>
      </c>
      <c r="AW617" s="19" t="s">
        <v>187</v>
      </c>
      <c r="AX617" s="19" t="s">
        <v>188</v>
      </c>
      <c r="AY617" s="19"/>
      <c r="AZ617" s="19" t="s">
        <v>189</v>
      </c>
      <c r="BA617" s="20">
        <v>44673</v>
      </c>
      <c r="BB617" s="19" t="s">
        <v>444</v>
      </c>
      <c r="BC617" s="19" t="s">
        <v>9626</v>
      </c>
      <c r="BD617" s="19" t="s">
        <v>260</v>
      </c>
      <c r="BE617" s="19" t="s">
        <v>130</v>
      </c>
      <c r="BF617" s="19" t="s">
        <v>9627</v>
      </c>
      <c r="BG617" s="19"/>
      <c r="BH617" s="19" t="s">
        <v>9628</v>
      </c>
      <c r="BI617" s="19" t="s">
        <v>9628</v>
      </c>
      <c r="BJ617" s="19" t="s">
        <v>194</v>
      </c>
      <c r="BK617" s="19" t="s">
        <v>195</v>
      </c>
      <c r="BL617" s="19" t="s">
        <v>122</v>
      </c>
      <c r="BM617" s="19" t="s">
        <v>196</v>
      </c>
      <c r="BN617" s="21">
        <v>165.43</v>
      </c>
      <c r="BO617" s="21">
        <v>5860.2254059999996</v>
      </c>
      <c r="BQ617" s="2"/>
      <c r="BR617" s="2"/>
      <c r="BS617" s="2"/>
      <c r="BT617" s="2"/>
      <c r="BU617" s="22"/>
      <c r="BV617" s="2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</row>
    <row r="618" spans="1:95" x14ac:dyDescent="0.25">
      <c r="A618" s="18">
        <v>615</v>
      </c>
      <c r="B618" s="19" t="s">
        <v>9629</v>
      </c>
      <c r="C618" s="19" t="s">
        <v>9630</v>
      </c>
      <c r="D618" s="20">
        <v>46006</v>
      </c>
      <c r="E618" s="20">
        <v>37843</v>
      </c>
      <c r="F618" s="19"/>
      <c r="G618" s="19"/>
      <c r="H618" s="19" t="s">
        <v>94</v>
      </c>
      <c r="I618" s="19"/>
      <c r="J618" s="19"/>
      <c r="K618" s="19"/>
      <c r="L618" s="19" t="s">
        <v>244</v>
      </c>
      <c r="M618" s="19" t="s">
        <v>245</v>
      </c>
      <c r="N618" s="19" t="s">
        <v>9631</v>
      </c>
      <c r="O618" s="19" t="s">
        <v>100</v>
      </c>
      <c r="P618" s="19"/>
      <c r="Q618" s="19"/>
      <c r="R618" s="19"/>
      <c r="S618" s="19"/>
      <c r="T618" s="19"/>
      <c r="U618" s="19"/>
      <c r="V618" s="19"/>
      <c r="W618" s="19"/>
      <c r="X618" s="19"/>
      <c r="Y618" s="19" t="s">
        <v>101</v>
      </c>
      <c r="Z618" s="19" t="s">
        <v>102</v>
      </c>
      <c r="AA618" s="19" t="s">
        <v>103</v>
      </c>
      <c r="AB618" s="19" t="s">
        <v>143</v>
      </c>
      <c r="AC618" s="19" t="s">
        <v>144</v>
      </c>
      <c r="AD618" s="19" t="s">
        <v>9632</v>
      </c>
      <c r="AE618" s="19" t="s">
        <v>9633</v>
      </c>
      <c r="AF618" s="19"/>
      <c r="AG618" s="19" t="s">
        <v>3585</v>
      </c>
      <c r="AH618" s="19" t="s">
        <v>376</v>
      </c>
      <c r="AI618" s="19" t="s">
        <v>111</v>
      </c>
      <c r="AJ618" s="19" t="s">
        <v>9634</v>
      </c>
      <c r="AK618" s="19"/>
      <c r="AL618" s="19"/>
      <c r="AM618" s="19" t="s">
        <v>9635</v>
      </c>
      <c r="AN618" s="19" t="s">
        <v>9636</v>
      </c>
      <c r="AO618" s="19" t="s">
        <v>255</v>
      </c>
      <c r="AP618" s="19" t="s">
        <v>256</v>
      </c>
      <c r="AQ618" s="19" t="s">
        <v>117</v>
      </c>
      <c r="AR618" s="19" t="s">
        <v>257</v>
      </c>
      <c r="AS618" s="19" t="s">
        <v>258</v>
      </c>
      <c r="AT618" s="19" t="s">
        <v>259</v>
      </c>
      <c r="AU618" s="19" t="s">
        <v>260</v>
      </c>
      <c r="AV618" s="19" t="s">
        <v>260</v>
      </c>
      <c r="AW618" s="19" t="s">
        <v>261</v>
      </c>
      <c r="AX618" s="19" t="s">
        <v>262</v>
      </c>
      <c r="AY618" s="19" t="s">
        <v>263</v>
      </c>
      <c r="AZ618" s="19" t="s">
        <v>264</v>
      </c>
      <c r="BA618" s="20">
        <v>43627</v>
      </c>
      <c r="BB618" s="19" t="s">
        <v>331</v>
      </c>
      <c r="BC618" s="19" t="s">
        <v>9637</v>
      </c>
      <c r="BD618" s="19" t="s">
        <v>9637</v>
      </c>
      <c r="BE618" s="19" t="s">
        <v>130</v>
      </c>
      <c r="BF618" s="19" t="s">
        <v>9638</v>
      </c>
      <c r="BG618" s="19"/>
      <c r="BH618" s="19" t="s">
        <v>9639</v>
      </c>
      <c r="BI618" s="19" t="s">
        <v>9639</v>
      </c>
      <c r="BJ618" s="19" t="s">
        <v>194</v>
      </c>
      <c r="BK618" s="19" t="s">
        <v>195</v>
      </c>
      <c r="BL618" s="19" t="s">
        <v>122</v>
      </c>
      <c r="BM618" s="19" t="s">
        <v>196</v>
      </c>
      <c r="BN618" s="21">
        <v>2.6949999999999998</v>
      </c>
      <c r="BO618" s="21">
        <v>102.65255000000001</v>
      </c>
      <c r="BQ618" s="2"/>
      <c r="BR618" s="2"/>
      <c r="BS618" s="2"/>
      <c r="BT618" s="2"/>
      <c r="BU618" s="22"/>
      <c r="BV618" s="2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</row>
    <row r="619" spans="1:95" x14ac:dyDescent="0.25">
      <c r="A619" s="18">
        <v>616</v>
      </c>
      <c r="B619" s="19" t="s">
        <v>9640</v>
      </c>
      <c r="C619" s="19" t="s">
        <v>9641</v>
      </c>
      <c r="D619" s="20">
        <v>46008</v>
      </c>
      <c r="E619" s="20">
        <v>41150</v>
      </c>
      <c r="F619" s="19"/>
      <c r="G619" s="19"/>
      <c r="H619" s="19" t="s">
        <v>94</v>
      </c>
      <c r="I619" s="19"/>
      <c r="J619" s="19" t="s">
        <v>95</v>
      </c>
      <c r="K619" s="19" t="s">
        <v>96</v>
      </c>
      <c r="L619" s="19" t="s">
        <v>101</v>
      </c>
      <c r="M619" s="19" t="s">
        <v>290</v>
      </c>
      <c r="N619" s="19" t="s">
        <v>9642</v>
      </c>
      <c r="O619" s="19" t="s">
        <v>100</v>
      </c>
      <c r="P619" s="19"/>
      <c r="Q619" s="19"/>
      <c r="R619" s="19"/>
      <c r="S619" s="19"/>
      <c r="T619" s="19"/>
      <c r="U619" s="19"/>
      <c r="V619" s="19"/>
      <c r="W619" s="19"/>
      <c r="X619" s="19"/>
      <c r="Y619" s="19" t="s">
        <v>467</v>
      </c>
      <c r="Z619" s="19" t="s">
        <v>2237</v>
      </c>
      <c r="AA619" s="19" t="s">
        <v>103</v>
      </c>
      <c r="AB619" s="19" t="s">
        <v>9643</v>
      </c>
      <c r="AC619" s="19" t="s">
        <v>9644</v>
      </c>
      <c r="AD619" s="19" t="s">
        <v>9645</v>
      </c>
      <c r="AE619" s="19" t="s">
        <v>9646</v>
      </c>
      <c r="AF619" s="19"/>
      <c r="AG619" s="19" t="s">
        <v>3007</v>
      </c>
      <c r="AH619" s="19" t="s">
        <v>942</v>
      </c>
      <c r="AI619" s="19" t="s">
        <v>111</v>
      </c>
      <c r="AJ619" s="19" t="s">
        <v>9400</v>
      </c>
      <c r="AK619" s="19"/>
      <c r="AL619" s="19"/>
      <c r="AM619" s="19" t="s">
        <v>9647</v>
      </c>
      <c r="AN619" s="19" t="s">
        <v>9648</v>
      </c>
      <c r="AO619" s="19" t="s">
        <v>9649</v>
      </c>
      <c r="AP619" s="19" t="s">
        <v>9650</v>
      </c>
      <c r="AQ619" s="19" t="s">
        <v>117</v>
      </c>
      <c r="AR619" s="19" t="s">
        <v>9651</v>
      </c>
      <c r="AS619" s="19" t="s">
        <v>9652</v>
      </c>
      <c r="AT619" s="19" t="s">
        <v>9653</v>
      </c>
      <c r="AU619" s="19" t="s">
        <v>9654</v>
      </c>
      <c r="AV619" s="19" t="s">
        <v>3007</v>
      </c>
      <c r="AW619" s="19" t="s">
        <v>6766</v>
      </c>
      <c r="AX619" s="19" t="s">
        <v>942</v>
      </c>
      <c r="AY619" s="19" t="s">
        <v>9655</v>
      </c>
      <c r="AZ619" s="19" t="s">
        <v>9656</v>
      </c>
      <c r="BA619" s="20">
        <v>44309</v>
      </c>
      <c r="BB619" s="19" t="s">
        <v>363</v>
      </c>
      <c r="BC619" s="19" t="s">
        <v>9657</v>
      </c>
      <c r="BD619" s="19" t="s">
        <v>941</v>
      </c>
      <c r="BE619" s="19" t="s">
        <v>130</v>
      </c>
      <c r="BF619" s="19" t="s">
        <v>9658</v>
      </c>
      <c r="BG619" s="19" t="s">
        <v>9659</v>
      </c>
      <c r="BH619" s="19" t="s">
        <v>9660</v>
      </c>
      <c r="BI619" s="19" t="s">
        <v>9660</v>
      </c>
      <c r="BJ619" s="19" t="s">
        <v>166</v>
      </c>
      <c r="BK619" s="19" t="s">
        <v>9408</v>
      </c>
      <c r="BL619" s="19" t="s">
        <v>3007</v>
      </c>
      <c r="BM619" s="19" t="s">
        <v>1045</v>
      </c>
      <c r="BN619" s="21">
        <v>16.084</v>
      </c>
      <c r="BO619" s="21">
        <v>1003.15908</v>
      </c>
      <c r="BQ619" s="2"/>
      <c r="BR619" s="2"/>
      <c r="BS619" s="2"/>
      <c r="BT619" s="2"/>
      <c r="BU619" s="22"/>
      <c r="BV619" s="2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</row>
    <row r="620" spans="1:95" x14ac:dyDescent="0.25">
      <c r="A620" s="18">
        <v>617</v>
      </c>
      <c r="B620" s="19" t="s">
        <v>9661</v>
      </c>
      <c r="C620" s="19" t="s">
        <v>9662</v>
      </c>
      <c r="D620" s="20">
        <v>46008</v>
      </c>
      <c r="E620" s="20">
        <v>24964</v>
      </c>
      <c r="F620" s="19" t="s">
        <v>9663</v>
      </c>
      <c r="G620" s="19" t="s">
        <v>139</v>
      </c>
      <c r="H620" s="19" t="s">
        <v>94</v>
      </c>
      <c r="I620" s="19"/>
      <c r="J620" s="19"/>
      <c r="K620" s="19"/>
      <c r="L620" s="19" t="s">
        <v>140</v>
      </c>
      <c r="M620" s="19" t="s">
        <v>141</v>
      </c>
      <c r="N620" s="19" t="s">
        <v>9664</v>
      </c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 t="s">
        <v>101</v>
      </c>
      <c r="Z620" s="19" t="s">
        <v>102</v>
      </c>
      <c r="AA620" s="19" t="s">
        <v>103</v>
      </c>
      <c r="AB620" s="19" t="s">
        <v>1222</v>
      </c>
      <c r="AC620" s="19" t="s">
        <v>1223</v>
      </c>
      <c r="AD620" s="19" t="s">
        <v>9665</v>
      </c>
      <c r="AE620" s="19" t="s">
        <v>9666</v>
      </c>
      <c r="AF620" s="19"/>
      <c r="AG620" s="19" t="s">
        <v>9667</v>
      </c>
      <c r="AH620" s="19" t="s">
        <v>1029</v>
      </c>
      <c r="AI620" s="19" t="s">
        <v>111</v>
      </c>
      <c r="AJ620" s="19" t="s">
        <v>9668</v>
      </c>
      <c r="AK620" s="19"/>
      <c r="AL620" s="19"/>
      <c r="AM620" s="19" t="s">
        <v>9669</v>
      </c>
      <c r="AN620" s="19" t="s">
        <v>9670</v>
      </c>
      <c r="AO620" s="19" t="s">
        <v>9671</v>
      </c>
      <c r="AP620" s="19" t="s">
        <v>9672</v>
      </c>
      <c r="AQ620" s="19" t="s">
        <v>117</v>
      </c>
      <c r="AR620" s="19" t="s">
        <v>9673</v>
      </c>
      <c r="AS620" s="19" t="s">
        <v>9674</v>
      </c>
      <c r="AT620" s="19" t="s">
        <v>9675</v>
      </c>
      <c r="AU620" s="19" t="s">
        <v>9676</v>
      </c>
      <c r="AV620" s="19" t="s">
        <v>122</v>
      </c>
      <c r="AW620" s="19" t="s">
        <v>6673</v>
      </c>
      <c r="AX620" s="19" t="s">
        <v>124</v>
      </c>
      <c r="AY620" s="19" t="s">
        <v>9677</v>
      </c>
      <c r="AZ620" s="19" t="s">
        <v>9678</v>
      </c>
      <c r="BA620" s="20">
        <v>38575</v>
      </c>
      <c r="BB620" s="19" t="s">
        <v>444</v>
      </c>
      <c r="BC620" s="19" t="s">
        <v>9667</v>
      </c>
      <c r="BD620" s="19" t="s">
        <v>9667</v>
      </c>
      <c r="BE620" s="19" t="s">
        <v>130</v>
      </c>
      <c r="BF620" s="19" t="s">
        <v>9679</v>
      </c>
      <c r="BG620" s="19"/>
      <c r="BH620" s="19" t="s">
        <v>9680</v>
      </c>
      <c r="BI620" s="19" t="s">
        <v>9680</v>
      </c>
      <c r="BJ620" s="19" t="s">
        <v>166</v>
      </c>
      <c r="BK620" s="19" t="s">
        <v>907</v>
      </c>
      <c r="BL620" s="19" t="s">
        <v>122</v>
      </c>
      <c r="BM620" s="19" t="s">
        <v>592</v>
      </c>
      <c r="BN620" s="21">
        <v>9.1969999999999992</v>
      </c>
      <c r="BO620" s="21">
        <v>2017.5458900000001</v>
      </c>
      <c r="BQ620" s="2"/>
      <c r="BR620" s="2"/>
      <c r="BS620" s="2"/>
      <c r="BT620" s="2"/>
      <c r="BU620" s="22"/>
      <c r="BV620" s="2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</row>
    <row r="621" spans="1:95" x14ac:dyDescent="0.25">
      <c r="A621" s="18">
        <v>618</v>
      </c>
      <c r="B621" s="19" t="s">
        <v>9681</v>
      </c>
      <c r="C621" s="19" t="s">
        <v>9682</v>
      </c>
      <c r="D621" s="20">
        <v>46009</v>
      </c>
      <c r="E621" s="20">
        <v>25177</v>
      </c>
      <c r="F621" s="19"/>
      <c r="G621" s="19"/>
      <c r="H621" s="19" t="s">
        <v>94</v>
      </c>
      <c r="I621" s="19"/>
      <c r="J621" s="19"/>
      <c r="K621" s="19"/>
      <c r="L621" s="19"/>
      <c r="M621" s="19"/>
      <c r="N621" s="19" t="s">
        <v>9683</v>
      </c>
      <c r="O621" s="19" t="s">
        <v>100</v>
      </c>
      <c r="P621" s="19"/>
      <c r="Q621" s="19"/>
      <c r="R621" s="19"/>
      <c r="S621" s="19"/>
      <c r="T621" s="19"/>
      <c r="U621" s="19"/>
      <c r="V621" s="19"/>
      <c r="W621" s="19"/>
      <c r="X621" s="19"/>
      <c r="Y621" s="19" t="s">
        <v>101</v>
      </c>
      <c r="Z621" s="19" t="s">
        <v>102</v>
      </c>
      <c r="AA621" s="19" t="s">
        <v>103</v>
      </c>
      <c r="AB621" s="19" t="s">
        <v>612</v>
      </c>
      <c r="AC621" s="19" t="s">
        <v>613</v>
      </c>
      <c r="AD621" s="19" t="s">
        <v>9684</v>
      </c>
      <c r="AE621" s="19" t="s">
        <v>9685</v>
      </c>
      <c r="AF621" s="19" t="s">
        <v>9686</v>
      </c>
      <c r="AG621" s="19" t="s">
        <v>9687</v>
      </c>
      <c r="AH621" s="19" t="s">
        <v>110</v>
      </c>
      <c r="AI621" s="19" t="s">
        <v>111</v>
      </c>
      <c r="AJ621" s="19" t="s">
        <v>9688</v>
      </c>
      <c r="AK621" s="19"/>
      <c r="AL621" s="19"/>
      <c r="AM621" s="19" t="s">
        <v>9689</v>
      </c>
      <c r="AN621" s="19" t="s">
        <v>9690</v>
      </c>
      <c r="AO621" s="19" t="s">
        <v>772</v>
      </c>
      <c r="AP621" s="19" t="s">
        <v>773</v>
      </c>
      <c r="AQ621" s="19" t="s">
        <v>117</v>
      </c>
      <c r="AR621" s="19" t="s">
        <v>774</v>
      </c>
      <c r="AS621" s="19" t="s">
        <v>775</v>
      </c>
      <c r="AT621" s="19" t="s">
        <v>776</v>
      </c>
      <c r="AU621" s="19" t="s">
        <v>777</v>
      </c>
      <c r="AV621" s="19" t="s">
        <v>219</v>
      </c>
      <c r="AW621" s="19" t="s">
        <v>778</v>
      </c>
      <c r="AX621" s="19" t="s">
        <v>124</v>
      </c>
      <c r="AY621" s="19" t="s">
        <v>779</v>
      </c>
      <c r="AZ621" s="19" t="s">
        <v>780</v>
      </c>
      <c r="BA621" s="20">
        <v>36585</v>
      </c>
      <c r="BB621" s="19" t="s">
        <v>781</v>
      </c>
      <c r="BC621" s="19" t="s">
        <v>9691</v>
      </c>
      <c r="BD621" s="19" t="s">
        <v>129</v>
      </c>
      <c r="BE621" s="19" t="s">
        <v>130</v>
      </c>
      <c r="BF621" s="19" t="s">
        <v>9692</v>
      </c>
      <c r="BG621" s="19" t="s">
        <v>9693</v>
      </c>
      <c r="BH621" s="19" t="s">
        <v>9694</v>
      </c>
      <c r="BI621" s="19" t="s">
        <v>9694</v>
      </c>
      <c r="BJ621" s="19" t="s">
        <v>166</v>
      </c>
      <c r="BK621" s="19" t="s">
        <v>134</v>
      </c>
      <c r="BL621" s="19" t="s">
        <v>109</v>
      </c>
      <c r="BM621" s="19" t="s">
        <v>135</v>
      </c>
      <c r="BN621" s="21">
        <v>1.8360000000000001</v>
      </c>
      <c r="BO621" s="21">
        <v>1006.07292</v>
      </c>
      <c r="BQ621" s="2"/>
      <c r="BR621" s="2"/>
      <c r="BS621" s="2"/>
      <c r="BT621" s="2"/>
      <c r="BU621" s="22"/>
      <c r="BV621" s="2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</row>
    <row r="622" spans="1:95" x14ac:dyDescent="0.25">
      <c r="A622" s="18">
        <v>619</v>
      </c>
      <c r="B622" s="19" t="s">
        <v>9695</v>
      </c>
      <c r="C622" s="19" t="s">
        <v>9696</v>
      </c>
      <c r="D622" s="20">
        <v>46006</v>
      </c>
      <c r="E622" s="20">
        <v>31486</v>
      </c>
      <c r="F622" s="19"/>
      <c r="G622" s="19"/>
      <c r="H622" s="19" t="s">
        <v>94</v>
      </c>
      <c r="I622" s="19"/>
      <c r="J622" s="19" t="s">
        <v>287</v>
      </c>
      <c r="K622" s="19" t="s">
        <v>288</v>
      </c>
      <c r="L622" s="19" t="s">
        <v>101</v>
      </c>
      <c r="M622" s="19" t="s">
        <v>290</v>
      </c>
      <c r="N622" s="19" t="s">
        <v>9697</v>
      </c>
      <c r="O622" s="19" t="s">
        <v>100</v>
      </c>
      <c r="P622" s="19"/>
      <c r="Q622" s="19"/>
      <c r="R622" s="19"/>
      <c r="S622" s="19"/>
      <c r="T622" s="19"/>
      <c r="U622" s="19"/>
      <c r="V622" s="19"/>
      <c r="W622" s="19"/>
      <c r="X622" s="19"/>
      <c r="Y622" s="19" t="s">
        <v>101</v>
      </c>
      <c r="Z622" s="19" t="s">
        <v>102</v>
      </c>
      <c r="AA622" s="19" t="s">
        <v>103</v>
      </c>
      <c r="AB622" s="19" t="s">
        <v>292</v>
      </c>
      <c r="AC622" s="19" t="s">
        <v>293</v>
      </c>
      <c r="AD622" s="19" t="s">
        <v>9698</v>
      </c>
      <c r="AE622" s="19" t="s">
        <v>9699</v>
      </c>
      <c r="AF622" s="19"/>
      <c r="AG622" s="19" t="s">
        <v>9700</v>
      </c>
      <c r="AH622" s="19" t="s">
        <v>110</v>
      </c>
      <c r="AI622" s="19" t="s">
        <v>111</v>
      </c>
      <c r="AJ622" s="19" t="s">
        <v>9701</v>
      </c>
      <c r="AK622" s="19"/>
      <c r="AL622" s="19"/>
      <c r="AM622" s="19" t="s">
        <v>9702</v>
      </c>
      <c r="AN622" s="19" t="s">
        <v>9703</v>
      </c>
      <c r="AO622" s="19" t="s">
        <v>9704</v>
      </c>
      <c r="AP622" s="19" t="s">
        <v>9705</v>
      </c>
      <c r="AQ622" s="19" t="s">
        <v>117</v>
      </c>
      <c r="AR622" s="19" t="s">
        <v>9706</v>
      </c>
      <c r="AS622" s="19" t="s">
        <v>9707</v>
      </c>
      <c r="AT622" s="19" t="s">
        <v>9708</v>
      </c>
      <c r="AU622" s="19"/>
      <c r="AV622" s="19" t="s">
        <v>109</v>
      </c>
      <c r="AW622" s="19" t="s">
        <v>9709</v>
      </c>
      <c r="AX622" s="19" t="s">
        <v>110</v>
      </c>
      <c r="AY622" s="19" t="s">
        <v>9710</v>
      </c>
      <c r="AZ622" s="19" t="s">
        <v>9711</v>
      </c>
      <c r="BA622" s="20">
        <v>35384</v>
      </c>
      <c r="BB622" s="19" t="s">
        <v>312</v>
      </c>
      <c r="BC622" s="19" t="s">
        <v>9712</v>
      </c>
      <c r="BD622" s="19" t="s">
        <v>9713</v>
      </c>
      <c r="BE622" s="19" t="s">
        <v>130</v>
      </c>
      <c r="BF622" s="19" t="s">
        <v>9714</v>
      </c>
      <c r="BG622" s="19"/>
      <c r="BH622" s="19" t="s">
        <v>9715</v>
      </c>
      <c r="BI622" s="19" t="s">
        <v>9715</v>
      </c>
      <c r="BJ622" s="19"/>
      <c r="BK622" s="19" t="s">
        <v>221</v>
      </c>
      <c r="BL622" s="19" t="s">
        <v>222</v>
      </c>
      <c r="BM622" s="19" t="s">
        <v>169</v>
      </c>
      <c r="BN622" s="21">
        <v>0</v>
      </c>
      <c r="BO622" s="21">
        <v>0</v>
      </c>
      <c r="BQ622" s="2"/>
      <c r="BR622" s="2"/>
      <c r="BS622" s="2"/>
      <c r="BT622" s="2"/>
      <c r="BU622" s="22"/>
      <c r="BV622" s="2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</row>
    <row r="623" spans="1:95" x14ac:dyDescent="0.25">
      <c r="A623" s="18">
        <v>620</v>
      </c>
      <c r="B623" s="19" t="s">
        <v>9716</v>
      </c>
      <c r="C623" s="19" t="s">
        <v>9717</v>
      </c>
      <c r="D623" s="20">
        <v>46009</v>
      </c>
      <c r="E623" s="20">
        <v>36099</v>
      </c>
      <c r="F623" s="19" t="s">
        <v>9718</v>
      </c>
      <c r="G623" s="19" t="s">
        <v>139</v>
      </c>
      <c r="H623" s="19" t="s">
        <v>94</v>
      </c>
      <c r="I623" s="19"/>
      <c r="J623" s="19"/>
      <c r="K623" s="19"/>
      <c r="L623" s="19" t="s">
        <v>244</v>
      </c>
      <c r="M623" s="19" t="s">
        <v>245</v>
      </c>
      <c r="N623" s="19" t="s">
        <v>9719</v>
      </c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 t="s">
        <v>101</v>
      </c>
      <c r="Z623" s="19" t="s">
        <v>102</v>
      </c>
      <c r="AA623" s="19" t="s">
        <v>103</v>
      </c>
      <c r="AB623" s="19" t="s">
        <v>953</v>
      </c>
      <c r="AC623" s="19" t="s">
        <v>954</v>
      </c>
      <c r="AD623" s="19" t="s">
        <v>9720</v>
      </c>
      <c r="AE623" s="19" t="s">
        <v>9721</v>
      </c>
      <c r="AF623" s="19" t="s">
        <v>9722</v>
      </c>
      <c r="AG623" s="19" t="s">
        <v>9723</v>
      </c>
      <c r="AH623" s="19" t="s">
        <v>124</v>
      </c>
      <c r="AI623" s="19" t="s">
        <v>111</v>
      </c>
      <c r="AJ623" s="19" t="s">
        <v>9724</v>
      </c>
      <c r="AK623" s="19"/>
      <c r="AL623" s="19"/>
      <c r="AM623" s="19" t="s">
        <v>9725</v>
      </c>
      <c r="AN623" s="19" t="s">
        <v>9726</v>
      </c>
      <c r="AO623" s="19" t="s">
        <v>255</v>
      </c>
      <c r="AP623" s="19" t="s">
        <v>256</v>
      </c>
      <c r="AQ623" s="19" t="s">
        <v>117</v>
      </c>
      <c r="AR623" s="19" t="s">
        <v>257</v>
      </c>
      <c r="AS623" s="19" t="s">
        <v>258</v>
      </c>
      <c r="AT623" s="19" t="s">
        <v>259</v>
      </c>
      <c r="AU623" s="19" t="s">
        <v>260</v>
      </c>
      <c r="AV623" s="19" t="s">
        <v>260</v>
      </c>
      <c r="AW623" s="19" t="s">
        <v>261</v>
      </c>
      <c r="AX623" s="19" t="s">
        <v>262</v>
      </c>
      <c r="AY623" s="19" t="s">
        <v>263</v>
      </c>
      <c r="AZ623" s="19" t="s">
        <v>264</v>
      </c>
      <c r="BA623" s="20">
        <v>43627</v>
      </c>
      <c r="BB623" s="19" t="s">
        <v>161</v>
      </c>
      <c r="BC623" s="19" t="s">
        <v>7188</v>
      </c>
      <c r="BD623" s="19" t="s">
        <v>219</v>
      </c>
      <c r="BE623" s="19" t="s">
        <v>130</v>
      </c>
      <c r="BF623" s="19" t="s">
        <v>9727</v>
      </c>
      <c r="BG623" s="19"/>
      <c r="BH623" s="19" t="s">
        <v>7190</v>
      </c>
      <c r="BI623" s="19" t="s">
        <v>7190</v>
      </c>
      <c r="BJ623" s="19" t="s">
        <v>166</v>
      </c>
      <c r="BK623" s="19" t="s">
        <v>167</v>
      </c>
      <c r="BL623" s="19" t="s">
        <v>168</v>
      </c>
      <c r="BM623" s="19" t="s">
        <v>169</v>
      </c>
      <c r="BN623" s="21">
        <v>24.968</v>
      </c>
      <c r="BO623" s="21">
        <v>1005.7534856</v>
      </c>
      <c r="BQ623" s="2"/>
      <c r="BR623" s="2"/>
      <c r="BS623" s="2"/>
      <c r="BT623" s="2"/>
      <c r="BU623" s="22"/>
      <c r="BV623" s="2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</row>
    <row r="624" spans="1:95" x14ac:dyDescent="0.25">
      <c r="A624" s="18">
        <v>621</v>
      </c>
      <c r="B624" s="19" t="s">
        <v>9728</v>
      </c>
      <c r="C624" s="19" t="s">
        <v>9729</v>
      </c>
      <c r="D624" s="20">
        <v>46009</v>
      </c>
      <c r="E624" s="20">
        <v>38871</v>
      </c>
      <c r="F624" s="19"/>
      <c r="G624" s="19"/>
      <c r="H624" s="19" t="s">
        <v>94</v>
      </c>
      <c r="I624" s="19"/>
      <c r="J624" s="19"/>
      <c r="K624" s="19"/>
      <c r="L624" s="19" t="s">
        <v>1262</v>
      </c>
      <c r="M624" s="19" t="s">
        <v>1263</v>
      </c>
      <c r="N624" s="19" t="s">
        <v>9730</v>
      </c>
      <c r="O624" s="19" t="s">
        <v>100</v>
      </c>
      <c r="P624" s="19"/>
      <c r="Q624" s="19"/>
      <c r="R624" s="19"/>
      <c r="S624" s="19"/>
      <c r="T624" s="19"/>
      <c r="U624" s="19"/>
      <c r="V624" s="19"/>
      <c r="W624" s="19"/>
      <c r="X624" s="19"/>
      <c r="Y624" s="19" t="s">
        <v>101</v>
      </c>
      <c r="Z624" s="19" t="s">
        <v>102</v>
      </c>
      <c r="AA624" s="19" t="s">
        <v>103</v>
      </c>
      <c r="AB624" s="19" t="s">
        <v>1555</v>
      </c>
      <c r="AC624" s="19" t="s">
        <v>1556</v>
      </c>
      <c r="AD624" s="19" t="s">
        <v>9731</v>
      </c>
      <c r="AE624" s="19" t="s">
        <v>9732</v>
      </c>
      <c r="AF624" s="19" t="s">
        <v>9733</v>
      </c>
      <c r="AG624" s="19" t="s">
        <v>1829</v>
      </c>
      <c r="AH624" s="19" t="s">
        <v>124</v>
      </c>
      <c r="AI624" s="19" t="s">
        <v>111</v>
      </c>
      <c r="AJ624" s="19" t="s">
        <v>9734</v>
      </c>
      <c r="AK624" s="19"/>
      <c r="AL624" s="19"/>
      <c r="AM624" s="19" t="s">
        <v>9735</v>
      </c>
      <c r="AN624" s="19" t="s">
        <v>9736</v>
      </c>
      <c r="AO624" s="19" t="s">
        <v>9737</v>
      </c>
      <c r="AP624" s="19" t="s">
        <v>9738</v>
      </c>
      <c r="AQ624" s="19" t="s">
        <v>117</v>
      </c>
      <c r="AR624" s="19" t="s">
        <v>9739</v>
      </c>
      <c r="AS624" s="19" t="s">
        <v>9740</v>
      </c>
      <c r="AT624" s="19" t="s">
        <v>9741</v>
      </c>
      <c r="AU624" s="19" t="s">
        <v>9544</v>
      </c>
      <c r="AV624" s="19" t="s">
        <v>122</v>
      </c>
      <c r="AW624" s="19" t="s">
        <v>9545</v>
      </c>
      <c r="AX624" s="19" t="s">
        <v>124</v>
      </c>
      <c r="AY624" s="19" t="s">
        <v>9742</v>
      </c>
      <c r="AZ624" s="19" t="s">
        <v>9743</v>
      </c>
      <c r="BA624" s="20">
        <v>39625</v>
      </c>
      <c r="BB624" s="19" t="s">
        <v>331</v>
      </c>
      <c r="BC624" s="19" t="s">
        <v>9744</v>
      </c>
      <c r="BD624" s="19" t="s">
        <v>623</v>
      </c>
      <c r="BE624" s="19" t="s">
        <v>130</v>
      </c>
      <c r="BF624" s="19" t="s">
        <v>9745</v>
      </c>
      <c r="BG624" s="19" t="s">
        <v>9746</v>
      </c>
      <c r="BH624" s="19" t="s">
        <v>9747</v>
      </c>
      <c r="BI624" s="19" t="s">
        <v>9747</v>
      </c>
      <c r="BJ624" s="19" t="s">
        <v>1259</v>
      </c>
      <c r="BK624" s="19" t="s">
        <v>221</v>
      </c>
      <c r="BL624" s="19" t="s">
        <v>222</v>
      </c>
      <c r="BM624" s="19" t="s">
        <v>169</v>
      </c>
      <c r="BN624" s="21">
        <v>1.2649999999999999</v>
      </c>
      <c r="BO624" s="21">
        <v>1017.27505</v>
      </c>
      <c r="BQ624" s="2"/>
      <c r="BR624" s="2"/>
      <c r="BS624" s="2"/>
      <c r="BT624" s="2"/>
      <c r="BU624" s="22"/>
      <c r="BV624" s="2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</row>
    <row r="625" spans="1:95" x14ac:dyDescent="0.25">
      <c r="A625" s="18">
        <v>622</v>
      </c>
      <c r="B625" s="19" t="s">
        <v>9748</v>
      </c>
      <c r="C625" s="19" t="s">
        <v>9749</v>
      </c>
      <c r="D625" s="20">
        <v>46010</v>
      </c>
      <c r="E625" s="20">
        <v>34899</v>
      </c>
      <c r="F625" s="19"/>
      <c r="G625" s="19"/>
      <c r="H625" s="19" t="s">
        <v>94</v>
      </c>
      <c r="I625" s="19"/>
      <c r="J625" s="19"/>
      <c r="K625" s="19"/>
      <c r="L625" s="19" t="s">
        <v>2120</v>
      </c>
      <c r="M625" s="19" t="s">
        <v>245</v>
      </c>
      <c r="N625" s="19" t="s">
        <v>9750</v>
      </c>
      <c r="O625" s="19" t="s">
        <v>100</v>
      </c>
      <c r="P625" s="19"/>
      <c r="Q625" s="19"/>
      <c r="R625" s="19"/>
      <c r="S625" s="19"/>
      <c r="T625" s="19"/>
      <c r="U625" s="19"/>
      <c r="V625" s="19"/>
      <c r="W625" s="19"/>
      <c r="X625" s="19"/>
      <c r="Y625" s="19" t="s">
        <v>101</v>
      </c>
      <c r="Z625" s="19" t="s">
        <v>102</v>
      </c>
      <c r="AA625" s="19" t="s">
        <v>103</v>
      </c>
      <c r="AB625" s="19" t="s">
        <v>9643</v>
      </c>
      <c r="AC625" s="19" t="s">
        <v>9644</v>
      </c>
      <c r="AD625" s="19" t="s">
        <v>9751</v>
      </c>
      <c r="AE625" s="19" t="s">
        <v>9752</v>
      </c>
      <c r="AF625" s="19"/>
      <c r="AG625" s="19" t="s">
        <v>9753</v>
      </c>
      <c r="AH625" s="19" t="s">
        <v>149</v>
      </c>
      <c r="AI625" s="19" t="s">
        <v>111</v>
      </c>
      <c r="AJ625" s="19" t="s">
        <v>9754</v>
      </c>
      <c r="AK625" s="19"/>
      <c r="AL625" s="19"/>
      <c r="AM625" s="19" t="s">
        <v>9755</v>
      </c>
      <c r="AN625" s="19" t="s">
        <v>9756</v>
      </c>
      <c r="AO625" s="19" t="s">
        <v>620</v>
      </c>
      <c r="AP625" s="19" t="s">
        <v>436</v>
      </c>
      <c r="AQ625" s="19" t="s">
        <v>94</v>
      </c>
      <c r="AR625" s="19" t="s">
        <v>437</v>
      </c>
      <c r="AS625" s="19" t="s">
        <v>438</v>
      </c>
      <c r="AT625" s="19" t="s">
        <v>439</v>
      </c>
      <c r="AU625" s="19" t="s">
        <v>440</v>
      </c>
      <c r="AV625" s="19" t="s">
        <v>148</v>
      </c>
      <c r="AW625" s="19" t="s">
        <v>441</v>
      </c>
      <c r="AX625" s="19" t="s">
        <v>149</v>
      </c>
      <c r="AY625" s="19" t="s">
        <v>442</v>
      </c>
      <c r="AZ625" s="19" t="s">
        <v>443</v>
      </c>
      <c r="BA625" s="20">
        <v>41415</v>
      </c>
      <c r="BB625" s="19" t="s">
        <v>331</v>
      </c>
      <c r="BC625" s="19" t="s">
        <v>9757</v>
      </c>
      <c r="BD625" s="19" t="s">
        <v>9757</v>
      </c>
      <c r="BE625" s="19" t="s">
        <v>130</v>
      </c>
      <c r="BF625" s="19" t="s">
        <v>9758</v>
      </c>
      <c r="BG625" s="19" t="s">
        <v>9759</v>
      </c>
      <c r="BH625" s="19" t="s">
        <v>9760</v>
      </c>
      <c r="BI625" s="19" t="s">
        <v>9760</v>
      </c>
      <c r="BJ625" s="19" t="s">
        <v>194</v>
      </c>
      <c r="BK625" s="19" t="s">
        <v>9761</v>
      </c>
      <c r="BL625" s="19" t="s">
        <v>9753</v>
      </c>
      <c r="BM625" s="19" t="s">
        <v>196</v>
      </c>
      <c r="BN625" s="21">
        <v>79.983000000000004</v>
      </c>
      <c r="BO625" s="21">
        <v>4988.53971</v>
      </c>
      <c r="BQ625" s="2"/>
      <c r="BR625" s="2"/>
      <c r="BS625" s="2"/>
      <c r="BT625" s="2"/>
      <c r="BU625" s="22"/>
      <c r="BV625" s="2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</row>
    <row r="626" spans="1:95" x14ac:dyDescent="0.25">
      <c r="A626" s="18">
        <v>623</v>
      </c>
      <c r="B626" s="19" t="s">
        <v>9762</v>
      </c>
      <c r="C626" s="19" t="s">
        <v>9763</v>
      </c>
      <c r="D626" s="20">
        <v>46020</v>
      </c>
      <c r="E626" s="20">
        <v>35325</v>
      </c>
      <c r="F626" s="19" t="s">
        <v>9764</v>
      </c>
      <c r="G626" s="19" t="s">
        <v>139</v>
      </c>
      <c r="H626" s="19" t="s">
        <v>94</v>
      </c>
      <c r="I626" s="19"/>
      <c r="J626" s="19"/>
      <c r="K626" s="19"/>
      <c r="L626" s="19" t="s">
        <v>244</v>
      </c>
      <c r="M626" s="19" t="s">
        <v>245</v>
      </c>
      <c r="N626" s="19" t="s">
        <v>9765</v>
      </c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 t="s">
        <v>101</v>
      </c>
      <c r="Z626" s="19" t="s">
        <v>102</v>
      </c>
      <c r="AA626" s="19" t="s">
        <v>103</v>
      </c>
      <c r="AB626" s="19" t="s">
        <v>143</v>
      </c>
      <c r="AC626" s="19" t="s">
        <v>144</v>
      </c>
      <c r="AD626" s="19" t="s">
        <v>9766</v>
      </c>
      <c r="AE626" s="19" t="s">
        <v>9767</v>
      </c>
      <c r="AF626" s="19"/>
      <c r="AG626" s="19" t="s">
        <v>3869</v>
      </c>
      <c r="AH626" s="19" t="s">
        <v>327</v>
      </c>
      <c r="AI626" s="19" t="s">
        <v>111</v>
      </c>
      <c r="AJ626" s="19" t="s">
        <v>9768</v>
      </c>
      <c r="AK626" s="19" t="s">
        <v>4374</v>
      </c>
      <c r="AL626" s="19" t="s">
        <v>4374</v>
      </c>
      <c r="AM626" s="19" t="s">
        <v>9769</v>
      </c>
      <c r="AN626" s="19" t="s">
        <v>9770</v>
      </c>
      <c r="AO626" s="19" t="s">
        <v>255</v>
      </c>
      <c r="AP626" s="19" t="s">
        <v>256</v>
      </c>
      <c r="AQ626" s="19" t="s">
        <v>117</v>
      </c>
      <c r="AR626" s="19" t="s">
        <v>257</v>
      </c>
      <c r="AS626" s="19" t="s">
        <v>258</v>
      </c>
      <c r="AT626" s="19" t="s">
        <v>259</v>
      </c>
      <c r="AU626" s="19" t="s">
        <v>260</v>
      </c>
      <c r="AV626" s="19" t="s">
        <v>260</v>
      </c>
      <c r="AW626" s="19" t="s">
        <v>261</v>
      </c>
      <c r="AX626" s="19" t="s">
        <v>262</v>
      </c>
      <c r="AY626" s="19" t="s">
        <v>263</v>
      </c>
      <c r="AZ626" s="19" t="s">
        <v>264</v>
      </c>
      <c r="BA626" s="20">
        <v>43627</v>
      </c>
      <c r="BB626" s="19" t="s">
        <v>331</v>
      </c>
      <c r="BC626" s="19" t="s">
        <v>9771</v>
      </c>
      <c r="BD626" s="19" t="s">
        <v>3869</v>
      </c>
      <c r="BE626" s="19" t="s">
        <v>130</v>
      </c>
      <c r="BF626" s="19" t="s">
        <v>9772</v>
      </c>
      <c r="BG626" s="19"/>
      <c r="BH626" s="19" t="s">
        <v>9773</v>
      </c>
      <c r="BI626" s="19" t="s">
        <v>9773</v>
      </c>
      <c r="BJ626" s="19" t="s">
        <v>166</v>
      </c>
      <c r="BK626" s="19" t="s">
        <v>167</v>
      </c>
      <c r="BL626" s="19" t="s">
        <v>168</v>
      </c>
      <c r="BM626" s="19" t="s">
        <v>169</v>
      </c>
      <c r="BN626" s="21">
        <v>80.403000000000006</v>
      </c>
      <c r="BO626" s="21">
        <v>3062.5502700000002</v>
      </c>
      <c r="BQ626" s="2"/>
      <c r="BR626" s="2"/>
      <c r="BS626" s="2"/>
      <c r="BT626" s="2"/>
      <c r="BU626" s="22"/>
      <c r="BV626" s="2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</row>
    <row r="627" spans="1:95" x14ac:dyDescent="0.25">
      <c r="A627" s="18">
        <v>624</v>
      </c>
      <c r="B627" s="19" t="s">
        <v>9774</v>
      </c>
      <c r="C627" s="19" t="s">
        <v>9775</v>
      </c>
      <c r="D627" s="20">
        <v>46020</v>
      </c>
      <c r="E627" s="20">
        <v>34740</v>
      </c>
      <c r="F627" s="19"/>
      <c r="G627" s="19"/>
      <c r="H627" s="19" t="s">
        <v>94</v>
      </c>
      <c r="I627" s="19"/>
      <c r="J627" s="19"/>
      <c r="K627" s="19"/>
      <c r="L627" s="19" t="s">
        <v>140</v>
      </c>
      <c r="M627" s="19" t="s">
        <v>141</v>
      </c>
      <c r="N627" s="19" t="s">
        <v>9776</v>
      </c>
      <c r="O627" s="19" t="s">
        <v>100</v>
      </c>
      <c r="P627" s="19"/>
      <c r="Q627" s="19"/>
      <c r="R627" s="19"/>
      <c r="S627" s="19"/>
      <c r="T627" s="19"/>
      <c r="U627" s="19"/>
      <c r="V627" s="19"/>
      <c r="W627" s="19"/>
      <c r="X627" s="19"/>
      <c r="Y627" s="19" t="s">
        <v>101</v>
      </c>
      <c r="Z627" s="19" t="s">
        <v>102</v>
      </c>
      <c r="AA627" s="19" t="s">
        <v>103</v>
      </c>
      <c r="AB627" s="19" t="s">
        <v>1372</v>
      </c>
      <c r="AC627" s="19" t="s">
        <v>1373</v>
      </c>
      <c r="AD627" s="19" t="s">
        <v>9777</v>
      </c>
      <c r="AE627" s="19" t="s">
        <v>9778</v>
      </c>
      <c r="AF627" s="19" t="s">
        <v>9779</v>
      </c>
      <c r="AG627" s="19" t="s">
        <v>9780</v>
      </c>
      <c r="AH627" s="19" t="s">
        <v>298</v>
      </c>
      <c r="AI627" s="19" t="s">
        <v>111</v>
      </c>
      <c r="AJ627" s="19" t="s">
        <v>9779</v>
      </c>
      <c r="AK627" s="19"/>
      <c r="AL627" s="19"/>
      <c r="AM627" s="19" t="s">
        <v>9781</v>
      </c>
      <c r="AN627" s="19" t="s">
        <v>9782</v>
      </c>
      <c r="AO627" s="19" t="s">
        <v>579</v>
      </c>
      <c r="AP627" s="19" t="s">
        <v>580</v>
      </c>
      <c r="AQ627" s="19" t="s">
        <v>117</v>
      </c>
      <c r="AR627" s="19" t="s">
        <v>581</v>
      </c>
      <c r="AS627" s="19" t="s">
        <v>582</v>
      </c>
      <c r="AT627" s="19" t="s">
        <v>583</v>
      </c>
      <c r="AU627" s="19" t="s">
        <v>584</v>
      </c>
      <c r="AV627" s="19" t="s">
        <v>168</v>
      </c>
      <c r="AW627" s="19" t="s">
        <v>585</v>
      </c>
      <c r="AX627" s="19" t="s">
        <v>262</v>
      </c>
      <c r="AY627" s="19" t="s">
        <v>586</v>
      </c>
      <c r="AZ627" s="19" t="s">
        <v>587</v>
      </c>
      <c r="BA627" s="20">
        <v>44494</v>
      </c>
      <c r="BB627" s="19" t="s">
        <v>2575</v>
      </c>
      <c r="BC627" s="19" t="s">
        <v>9780</v>
      </c>
      <c r="BD627" s="19" t="s">
        <v>9780</v>
      </c>
      <c r="BE627" s="19" t="s">
        <v>130</v>
      </c>
      <c r="BF627" s="19" t="s">
        <v>9783</v>
      </c>
      <c r="BG627" s="19"/>
      <c r="BH627" s="19" t="s">
        <v>9784</v>
      </c>
      <c r="BI627" s="19" t="s">
        <v>9784</v>
      </c>
      <c r="BJ627" s="19" t="s">
        <v>194</v>
      </c>
      <c r="BK627" s="19" t="s">
        <v>591</v>
      </c>
      <c r="BL627" s="19" t="s">
        <v>122</v>
      </c>
      <c r="BM627" s="19" t="s">
        <v>592</v>
      </c>
      <c r="BN627" s="21">
        <v>50.347999999999999</v>
      </c>
      <c r="BO627" s="21">
        <v>1948.3769735999999</v>
      </c>
      <c r="BQ627" s="2"/>
      <c r="BR627" s="2"/>
      <c r="BS627" s="2"/>
      <c r="BT627" s="2"/>
      <c r="BU627" s="22"/>
      <c r="BV627" s="2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</row>
    <row r="628" spans="1:95" x14ac:dyDescent="0.25">
      <c r="A628" s="18">
        <v>625</v>
      </c>
      <c r="B628" s="19" t="s">
        <v>9785</v>
      </c>
      <c r="C628" s="19" t="s">
        <v>9786</v>
      </c>
      <c r="D628" s="20">
        <v>46020</v>
      </c>
      <c r="E628" s="20">
        <v>36931</v>
      </c>
      <c r="F628" s="19"/>
      <c r="G628" s="19"/>
      <c r="H628" s="19" t="s">
        <v>94</v>
      </c>
      <c r="I628" s="19"/>
      <c r="J628" s="19"/>
      <c r="K628" s="19"/>
      <c r="L628" s="19" t="s">
        <v>140</v>
      </c>
      <c r="M628" s="19" t="s">
        <v>141</v>
      </c>
      <c r="N628" s="19" t="s">
        <v>9787</v>
      </c>
      <c r="O628" s="19" t="s">
        <v>100</v>
      </c>
      <c r="P628" s="19"/>
      <c r="Q628" s="19"/>
      <c r="R628" s="19"/>
      <c r="S628" s="19"/>
      <c r="T628" s="19"/>
      <c r="U628" s="19"/>
      <c r="V628" s="19"/>
      <c r="W628" s="19"/>
      <c r="X628" s="19"/>
      <c r="Y628" s="19" t="s">
        <v>101</v>
      </c>
      <c r="Z628" s="19" t="s">
        <v>102</v>
      </c>
      <c r="AA628" s="19" t="s">
        <v>103</v>
      </c>
      <c r="AB628" s="19" t="s">
        <v>173</v>
      </c>
      <c r="AC628" s="19" t="s">
        <v>174</v>
      </c>
      <c r="AD628" s="19" t="s">
        <v>9788</v>
      </c>
      <c r="AE628" s="19" t="s">
        <v>9789</v>
      </c>
      <c r="AF628" s="19"/>
      <c r="AG628" s="19" t="s">
        <v>1807</v>
      </c>
      <c r="AH628" s="19" t="s">
        <v>677</v>
      </c>
      <c r="AI628" s="19" t="s">
        <v>111</v>
      </c>
      <c r="AJ628" s="19" t="s">
        <v>9790</v>
      </c>
      <c r="AK628" s="19"/>
      <c r="AL628" s="19"/>
      <c r="AM628" s="19" t="s">
        <v>9791</v>
      </c>
      <c r="AN628" s="19" t="s">
        <v>9792</v>
      </c>
      <c r="AO628" s="19" t="s">
        <v>181</v>
      </c>
      <c r="AP628" s="19" t="s">
        <v>182</v>
      </c>
      <c r="AQ628" s="19" t="s">
        <v>117</v>
      </c>
      <c r="AR628" s="19" t="s">
        <v>183</v>
      </c>
      <c r="AS628" s="19" t="s">
        <v>184</v>
      </c>
      <c r="AT628" s="19" t="s">
        <v>185</v>
      </c>
      <c r="AU628" s="19"/>
      <c r="AV628" s="19" t="s">
        <v>186</v>
      </c>
      <c r="AW628" s="19" t="s">
        <v>187</v>
      </c>
      <c r="AX628" s="19" t="s">
        <v>188</v>
      </c>
      <c r="AY628" s="19"/>
      <c r="AZ628" s="19" t="s">
        <v>189</v>
      </c>
      <c r="BA628" s="20">
        <v>44673</v>
      </c>
      <c r="BB628" s="19" t="s">
        <v>444</v>
      </c>
      <c r="BC628" s="19" t="s">
        <v>9793</v>
      </c>
      <c r="BD628" s="19" t="s">
        <v>5988</v>
      </c>
      <c r="BE628" s="19" t="s">
        <v>130</v>
      </c>
      <c r="BF628" s="19" t="s">
        <v>9794</v>
      </c>
      <c r="BG628" s="19"/>
      <c r="BH628" s="19" t="s">
        <v>9795</v>
      </c>
      <c r="BI628" s="19" t="s">
        <v>9795</v>
      </c>
      <c r="BJ628" s="19" t="s">
        <v>194</v>
      </c>
      <c r="BK628" s="19" t="s">
        <v>195</v>
      </c>
      <c r="BL628" s="19" t="s">
        <v>122</v>
      </c>
      <c r="BM628" s="19" t="s">
        <v>196</v>
      </c>
      <c r="BN628" s="21">
        <v>28.263999999999999</v>
      </c>
      <c r="BO628" s="21">
        <v>1001.2295888</v>
      </c>
      <c r="BQ628" s="2"/>
      <c r="BR628" s="2"/>
      <c r="BS628" s="2"/>
      <c r="BT628" s="2"/>
      <c r="BU628" s="22"/>
      <c r="BV628" s="2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</row>
    <row r="629" spans="1:95" x14ac:dyDescent="0.25">
      <c r="A629" s="18">
        <v>626</v>
      </c>
      <c r="B629" s="19" t="s">
        <v>9796</v>
      </c>
      <c r="C629" s="19" t="s">
        <v>9797</v>
      </c>
      <c r="D629" s="20">
        <v>46013</v>
      </c>
      <c r="E629" s="20">
        <v>31584</v>
      </c>
      <c r="F629" s="19"/>
      <c r="G629" s="19"/>
      <c r="H629" s="19" t="s">
        <v>94</v>
      </c>
      <c r="I629" s="19"/>
      <c r="J629" s="19" t="s">
        <v>287</v>
      </c>
      <c r="K629" s="19" t="s">
        <v>288</v>
      </c>
      <c r="L629" s="19" t="s">
        <v>2359</v>
      </c>
      <c r="M629" s="19" t="s">
        <v>2360</v>
      </c>
      <c r="N629" s="19" t="s">
        <v>9798</v>
      </c>
      <c r="O629" s="19" t="s">
        <v>100</v>
      </c>
      <c r="P629" s="19"/>
      <c r="Q629" s="19"/>
      <c r="R629" s="19"/>
      <c r="S629" s="19"/>
      <c r="T629" s="19"/>
      <c r="U629" s="19"/>
      <c r="V629" s="19"/>
      <c r="W629" s="19"/>
      <c r="X629" s="19"/>
      <c r="Y629" s="19" t="s">
        <v>101</v>
      </c>
      <c r="Z629" s="19" t="s">
        <v>102</v>
      </c>
      <c r="AA629" s="19" t="s">
        <v>103</v>
      </c>
      <c r="AB629" s="19" t="s">
        <v>2173</v>
      </c>
      <c r="AC629" s="19" t="s">
        <v>2174</v>
      </c>
      <c r="AD629" s="19" t="s">
        <v>9799</v>
      </c>
      <c r="AE629" s="19" t="s">
        <v>9800</v>
      </c>
      <c r="AF629" s="19"/>
      <c r="AG629" s="19" t="s">
        <v>8287</v>
      </c>
      <c r="AH629" s="19" t="s">
        <v>757</v>
      </c>
      <c r="AI629" s="19" t="s">
        <v>111</v>
      </c>
      <c r="AJ629" s="19" t="s">
        <v>8271</v>
      </c>
      <c r="AK629" s="19"/>
      <c r="AL629" s="19"/>
      <c r="AM629" s="19" t="s">
        <v>9801</v>
      </c>
      <c r="AN629" s="19" t="s">
        <v>9802</v>
      </c>
      <c r="AO629" s="19" t="s">
        <v>9803</v>
      </c>
      <c r="AP629" s="19" t="s">
        <v>9804</v>
      </c>
      <c r="AQ629" s="19" t="s">
        <v>117</v>
      </c>
      <c r="AR629" s="19" t="s">
        <v>9805</v>
      </c>
      <c r="AS629" s="19" t="s">
        <v>9806</v>
      </c>
      <c r="AT629" s="19" t="s">
        <v>9807</v>
      </c>
      <c r="AU629" s="19"/>
      <c r="AV629" s="19" t="s">
        <v>8287</v>
      </c>
      <c r="AW629" s="19" t="s">
        <v>8271</v>
      </c>
      <c r="AX629" s="19" t="s">
        <v>757</v>
      </c>
      <c r="AY629" s="19" t="s">
        <v>9808</v>
      </c>
      <c r="AZ629" s="19" t="s">
        <v>9809</v>
      </c>
      <c r="BA629" s="20">
        <v>45890</v>
      </c>
      <c r="BB629" s="19" t="s">
        <v>331</v>
      </c>
      <c r="BC629" s="19" t="s">
        <v>9810</v>
      </c>
      <c r="BD629" s="19" t="s">
        <v>8270</v>
      </c>
      <c r="BE629" s="19" t="s">
        <v>130</v>
      </c>
      <c r="BF629" s="19" t="s">
        <v>9811</v>
      </c>
      <c r="BG629" s="19"/>
      <c r="BH629" s="19" t="s">
        <v>9812</v>
      </c>
      <c r="BI629" s="19" t="s">
        <v>9812</v>
      </c>
      <c r="BJ629" s="19"/>
      <c r="BK629" s="19" t="s">
        <v>8286</v>
      </c>
      <c r="BL629" s="19" t="s">
        <v>8287</v>
      </c>
      <c r="BM629" s="19" t="s">
        <v>1045</v>
      </c>
      <c r="BN629" s="21">
        <v>0</v>
      </c>
      <c r="BO629" s="21">
        <v>0</v>
      </c>
      <c r="BQ629" s="2"/>
      <c r="BR629" s="2"/>
      <c r="BS629" s="2"/>
      <c r="BT629" s="2"/>
      <c r="BU629" s="22"/>
      <c r="BV629" s="2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</row>
    <row r="630" spans="1:95" x14ac:dyDescent="0.25">
      <c r="A630" s="18">
        <v>627</v>
      </c>
      <c r="B630" s="19" t="s">
        <v>9813</v>
      </c>
      <c r="C630" s="19" t="s">
        <v>9814</v>
      </c>
      <c r="D630" s="20">
        <v>46014</v>
      </c>
      <c r="E630" s="20">
        <v>21429</v>
      </c>
      <c r="F630" s="19"/>
      <c r="G630" s="19"/>
      <c r="H630" s="19" t="s">
        <v>94</v>
      </c>
      <c r="I630" s="19"/>
      <c r="J630" s="19"/>
      <c r="K630" s="19"/>
      <c r="L630" s="19" t="s">
        <v>687</v>
      </c>
      <c r="M630" s="19" t="s">
        <v>688</v>
      </c>
      <c r="N630" s="19" t="s">
        <v>9815</v>
      </c>
      <c r="O630" s="19" t="s">
        <v>100</v>
      </c>
      <c r="P630" s="19"/>
      <c r="Q630" s="19"/>
      <c r="R630" s="19"/>
      <c r="S630" s="19"/>
      <c r="T630" s="19"/>
      <c r="U630" s="19"/>
      <c r="V630" s="19"/>
      <c r="W630" s="19"/>
      <c r="X630" s="19"/>
      <c r="Y630" s="19" t="s">
        <v>101</v>
      </c>
      <c r="Z630" s="19" t="s">
        <v>102</v>
      </c>
      <c r="AA630" s="19" t="s">
        <v>103</v>
      </c>
      <c r="AB630" s="19" t="s">
        <v>3162</v>
      </c>
      <c r="AC630" s="19" t="s">
        <v>3163</v>
      </c>
      <c r="AD630" s="19" t="s">
        <v>9816</v>
      </c>
      <c r="AE630" s="19" t="s">
        <v>9817</v>
      </c>
      <c r="AF630" s="19"/>
      <c r="AG630" s="19" t="s">
        <v>9818</v>
      </c>
      <c r="AH630" s="19" t="s">
        <v>942</v>
      </c>
      <c r="AI630" s="19" t="s">
        <v>111</v>
      </c>
      <c r="AJ630" s="19" t="s">
        <v>4069</v>
      </c>
      <c r="AK630" s="19"/>
      <c r="AL630" s="19"/>
      <c r="AM630" s="19" t="s">
        <v>9819</v>
      </c>
      <c r="AN630" s="19" t="s">
        <v>9820</v>
      </c>
      <c r="AO630" s="19" t="s">
        <v>9821</v>
      </c>
      <c r="AP630" s="19" t="s">
        <v>9822</v>
      </c>
      <c r="AQ630" s="19" t="s">
        <v>117</v>
      </c>
      <c r="AR630" s="19" t="s">
        <v>9823</v>
      </c>
      <c r="AS630" s="19" t="s">
        <v>9824</v>
      </c>
      <c r="AT630" s="19" t="s">
        <v>9825</v>
      </c>
      <c r="AU630" s="19" t="s">
        <v>9826</v>
      </c>
      <c r="AV630" s="19" t="s">
        <v>9827</v>
      </c>
      <c r="AW630" s="19" t="s">
        <v>9828</v>
      </c>
      <c r="AX630" s="19" t="s">
        <v>942</v>
      </c>
      <c r="AY630" s="19" t="s">
        <v>9829</v>
      </c>
      <c r="AZ630" s="19" t="s">
        <v>9830</v>
      </c>
      <c r="BA630" s="20">
        <v>44930</v>
      </c>
      <c r="BB630" s="19" t="s">
        <v>1388</v>
      </c>
      <c r="BC630" s="19" t="s">
        <v>9831</v>
      </c>
      <c r="BD630" s="19" t="s">
        <v>6297</v>
      </c>
      <c r="BE630" s="19" t="s">
        <v>130</v>
      </c>
      <c r="BF630" s="19" t="s">
        <v>9832</v>
      </c>
      <c r="BG630" s="19"/>
      <c r="BH630" s="19" t="s">
        <v>9833</v>
      </c>
      <c r="BI630" s="19" t="s">
        <v>9833</v>
      </c>
      <c r="BJ630" s="19" t="s">
        <v>194</v>
      </c>
      <c r="BK630" s="19" t="s">
        <v>591</v>
      </c>
      <c r="BL630" s="19" t="s">
        <v>122</v>
      </c>
      <c r="BM630" s="19" t="s">
        <v>592</v>
      </c>
      <c r="BN630" s="21">
        <v>14599.714</v>
      </c>
      <c r="BO630" s="21">
        <v>602061.54596060002</v>
      </c>
      <c r="BQ630" s="2"/>
      <c r="BR630" s="2"/>
      <c r="BS630" s="2"/>
      <c r="BT630" s="2"/>
      <c r="BU630" s="22"/>
      <c r="BV630" s="2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</row>
    <row r="631" spans="1:95" x14ac:dyDescent="0.25">
      <c r="A631" s="18">
        <v>628</v>
      </c>
      <c r="B631" s="19" t="s">
        <v>9834</v>
      </c>
      <c r="C631" s="19" t="s">
        <v>9835</v>
      </c>
      <c r="D631" s="20">
        <v>46015</v>
      </c>
      <c r="E631" s="20">
        <v>27843</v>
      </c>
      <c r="F631" s="19" t="s">
        <v>9836</v>
      </c>
      <c r="G631" s="19" t="s">
        <v>139</v>
      </c>
      <c r="H631" s="19" t="s">
        <v>94</v>
      </c>
      <c r="I631" s="19"/>
      <c r="J631" s="19"/>
      <c r="K631" s="19"/>
      <c r="L631" s="19" t="s">
        <v>244</v>
      </c>
      <c r="M631" s="19" t="s">
        <v>245</v>
      </c>
      <c r="N631" s="19" t="s">
        <v>9837</v>
      </c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 t="s">
        <v>101</v>
      </c>
      <c r="Z631" s="19" t="s">
        <v>102</v>
      </c>
      <c r="AA631" s="19" t="s">
        <v>103</v>
      </c>
      <c r="AB631" s="19" t="s">
        <v>173</v>
      </c>
      <c r="AC631" s="19" t="s">
        <v>174</v>
      </c>
      <c r="AD631" s="19" t="s">
        <v>9838</v>
      </c>
      <c r="AE631" s="19"/>
      <c r="AF631" s="19"/>
      <c r="AG631" s="19" t="s">
        <v>6627</v>
      </c>
      <c r="AH631" s="19" t="s">
        <v>3352</v>
      </c>
      <c r="AI631" s="19" t="s">
        <v>111</v>
      </c>
      <c r="AJ631" s="19" t="s">
        <v>9839</v>
      </c>
      <c r="AK631" s="19"/>
      <c r="AL631" s="19" t="s">
        <v>9840</v>
      </c>
      <c r="AM631" s="19" t="s">
        <v>9841</v>
      </c>
      <c r="AN631" s="19" t="s">
        <v>9842</v>
      </c>
      <c r="AO631" s="19" t="s">
        <v>154</v>
      </c>
      <c r="AP631" s="19" t="s">
        <v>155</v>
      </c>
      <c r="AQ631" s="19" t="s">
        <v>117</v>
      </c>
      <c r="AR631" s="19" t="s">
        <v>156</v>
      </c>
      <c r="AS631" s="19" t="s">
        <v>157</v>
      </c>
      <c r="AT631" s="19" t="s">
        <v>158</v>
      </c>
      <c r="AU631" s="19"/>
      <c r="AV631" s="19" t="s">
        <v>122</v>
      </c>
      <c r="AW631" s="19"/>
      <c r="AX631" s="19" t="s">
        <v>124</v>
      </c>
      <c r="AY631" s="19" t="s">
        <v>159</v>
      </c>
      <c r="AZ631" s="19" t="s">
        <v>160</v>
      </c>
      <c r="BA631" s="20">
        <v>44676</v>
      </c>
      <c r="BB631" s="19" t="s">
        <v>331</v>
      </c>
      <c r="BC631" s="19" t="s">
        <v>9843</v>
      </c>
      <c r="BD631" s="19" t="s">
        <v>6627</v>
      </c>
      <c r="BE631" s="19" t="s">
        <v>130</v>
      </c>
      <c r="BF631" s="19" t="s">
        <v>9844</v>
      </c>
      <c r="BG631" s="19"/>
      <c r="BH631" s="19" t="s">
        <v>9845</v>
      </c>
      <c r="BI631" s="19" t="s">
        <v>9845</v>
      </c>
      <c r="BJ631" s="19" t="s">
        <v>166</v>
      </c>
      <c r="BK631" s="19" t="s">
        <v>167</v>
      </c>
      <c r="BL631" s="19" t="s">
        <v>168</v>
      </c>
      <c r="BM631" s="19" t="s">
        <v>169</v>
      </c>
      <c r="BN631" s="21">
        <v>2.9180000000000001</v>
      </c>
      <c r="BO631" s="21">
        <v>103.3678156</v>
      </c>
      <c r="BQ631" s="2"/>
      <c r="BR631" s="2"/>
      <c r="BS631" s="2"/>
      <c r="BT631" s="2"/>
      <c r="BU631" s="22"/>
      <c r="BV631" s="2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</row>
    <row r="632" spans="1:95" x14ac:dyDescent="0.25">
      <c r="A632" s="18">
        <v>629</v>
      </c>
      <c r="B632" s="19" t="s">
        <v>9846</v>
      </c>
      <c r="C632" s="19" t="s">
        <v>9847</v>
      </c>
      <c r="D632" s="20">
        <v>46016</v>
      </c>
      <c r="E632" s="20">
        <v>34435</v>
      </c>
      <c r="F632" s="19" t="s">
        <v>9848</v>
      </c>
      <c r="G632" s="19" t="s">
        <v>139</v>
      </c>
      <c r="H632" s="19" t="s">
        <v>94</v>
      </c>
      <c r="I632" s="19"/>
      <c r="J632" s="19"/>
      <c r="K632" s="19"/>
      <c r="L632" s="19" t="s">
        <v>244</v>
      </c>
      <c r="M632" s="19" t="s">
        <v>245</v>
      </c>
      <c r="N632" s="19" t="s">
        <v>9849</v>
      </c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 t="s">
        <v>101</v>
      </c>
      <c r="Z632" s="19" t="s">
        <v>102</v>
      </c>
      <c r="AA632" s="19" t="s">
        <v>103</v>
      </c>
      <c r="AB632" s="19" t="s">
        <v>247</v>
      </c>
      <c r="AC632" s="19" t="s">
        <v>248</v>
      </c>
      <c r="AD632" s="19" t="s">
        <v>9850</v>
      </c>
      <c r="AE632" s="19" t="s">
        <v>9851</v>
      </c>
      <c r="AF632" s="19" t="s">
        <v>9852</v>
      </c>
      <c r="AG632" s="19" t="s">
        <v>407</v>
      </c>
      <c r="AH632" s="19" t="s">
        <v>376</v>
      </c>
      <c r="AI632" s="19"/>
      <c r="AJ632" s="19" t="s">
        <v>9853</v>
      </c>
      <c r="AK632" s="19"/>
      <c r="AL632" s="19"/>
      <c r="AM632" s="19" t="s">
        <v>9854</v>
      </c>
      <c r="AN632" s="19" t="s">
        <v>9855</v>
      </c>
      <c r="AO632" s="19" t="s">
        <v>255</v>
      </c>
      <c r="AP632" s="19" t="s">
        <v>256</v>
      </c>
      <c r="AQ632" s="19" t="s">
        <v>117</v>
      </c>
      <c r="AR632" s="19" t="s">
        <v>257</v>
      </c>
      <c r="AS632" s="19" t="s">
        <v>258</v>
      </c>
      <c r="AT632" s="19" t="s">
        <v>259</v>
      </c>
      <c r="AU632" s="19" t="s">
        <v>260</v>
      </c>
      <c r="AV632" s="19" t="s">
        <v>260</v>
      </c>
      <c r="AW632" s="19" t="s">
        <v>261</v>
      </c>
      <c r="AX632" s="19" t="s">
        <v>262</v>
      </c>
      <c r="AY632" s="19" t="s">
        <v>263</v>
      </c>
      <c r="AZ632" s="19" t="s">
        <v>264</v>
      </c>
      <c r="BA632" s="20">
        <v>43627</v>
      </c>
      <c r="BB632" s="19" t="s">
        <v>331</v>
      </c>
      <c r="BC632" s="19" t="s">
        <v>9856</v>
      </c>
      <c r="BD632" s="19" t="s">
        <v>9857</v>
      </c>
      <c r="BE632" s="19" t="s">
        <v>130</v>
      </c>
      <c r="BF632" s="19" t="s">
        <v>9858</v>
      </c>
      <c r="BG632" s="19"/>
      <c r="BH632" s="19" t="s">
        <v>9859</v>
      </c>
      <c r="BI632" s="19" t="s">
        <v>9859</v>
      </c>
      <c r="BJ632" s="19" t="s">
        <v>166</v>
      </c>
      <c r="BK632" s="19" t="s">
        <v>167</v>
      </c>
      <c r="BL632" s="19" t="s">
        <v>168</v>
      </c>
      <c r="BM632" s="19" t="s">
        <v>169</v>
      </c>
      <c r="BN632" s="21">
        <v>4.5659999999999998</v>
      </c>
      <c r="BO632" s="21">
        <v>2002.2476184</v>
      </c>
      <c r="BQ632" s="2"/>
      <c r="BR632" s="2"/>
      <c r="BS632" s="2"/>
      <c r="BT632" s="2"/>
      <c r="BU632" s="22"/>
      <c r="BV632" s="2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</row>
    <row r="633" spans="1:95" x14ac:dyDescent="0.25">
      <c r="A633" s="18">
        <v>630</v>
      </c>
      <c r="B633" s="19" t="s">
        <v>9860</v>
      </c>
      <c r="C633" s="19" t="s">
        <v>9861</v>
      </c>
      <c r="D633" s="20">
        <v>46017</v>
      </c>
      <c r="E633" s="20">
        <v>22741</v>
      </c>
      <c r="F633" s="19" t="s">
        <v>9862</v>
      </c>
      <c r="G633" s="19" t="s">
        <v>139</v>
      </c>
      <c r="H633" s="19" t="s">
        <v>94</v>
      </c>
      <c r="I633" s="19"/>
      <c r="J633" s="19"/>
      <c r="K633" s="19"/>
      <c r="L633" s="19" t="s">
        <v>101</v>
      </c>
      <c r="M633" s="19" t="s">
        <v>290</v>
      </c>
      <c r="N633" s="19" t="s">
        <v>9863</v>
      </c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 t="s">
        <v>101</v>
      </c>
      <c r="Z633" s="19" t="s">
        <v>102</v>
      </c>
      <c r="AA633" s="19" t="s">
        <v>103</v>
      </c>
      <c r="AB633" s="19" t="s">
        <v>789</v>
      </c>
      <c r="AC633" s="19" t="s">
        <v>790</v>
      </c>
      <c r="AD633" s="19" t="s">
        <v>9864</v>
      </c>
      <c r="AE633" s="19" t="s">
        <v>9865</v>
      </c>
      <c r="AF633" s="19" t="s">
        <v>9866</v>
      </c>
      <c r="AG633" s="19" t="s">
        <v>815</v>
      </c>
      <c r="AH633" s="19" t="s">
        <v>149</v>
      </c>
      <c r="AI633" s="19" t="s">
        <v>111</v>
      </c>
      <c r="AJ633" s="19" t="s">
        <v>9867</v>
      </c>
      <c r="AK633" s="19"/>
      <c r="AL633" s="19"/>
      <c r="AM633" s="19" t="s">
        <v>9868</v>
      </c>
      <c r="AN633" s="19" t="s">
        <v>9869</v>
      </c>
      <c r="AO633" s="19" t="s">
        <v>208</v>
      </c>
      <c r="AP633" s="19" t="s">
        <v>209</v>
      </c>
      <c r="AQ633" s="19" t="s">
        <v>117</v>
      </c>
      <c r="AR633" s="19" t="s">
        <v>210</v>
      </c>
      <c r="AS633" s="19" t="s">
        <v>211</v>
      </c>
      <c r="AT633" s="19" t="s">
        <v>212</v>
      </c>
      <c r="AU633" s="19" t="s">
        <v>213</v>
      </c>
      <c r="AV633" s="19" t="s">
        <v>214</v>
      </c>
      <c r="AW633" s="19" t="s">
        <v>215</v>
      </c>
      <c r="AX633" s="19" t="s">
        <v>149</v>
      </c>
      <c r="AY633" s="19" t="s">
        <v>216</v>
      </c>
      <c r="AZ633" s="19" t="s">
        <v>217</v>
      </c>
      <c r="BA633" s="20">
        <v>35521</v>
      </c>
      <c r="BB633" s="19" t="s">
        <v>349</v>
      </c>
      <c r="BC633" s="19" t="s">
        <v>9870</v>
      </c>
      <c r="BD633" s="19" t="s">
        <v>815</v>
      </c>
      <c r="BE633" s="19" t="s">
        <v>130</v>
      </c>
      <c r="BF633" s="19" t="s">
        <v>9871</v>
      </c>
      <c r="BG633" s="19"/>
      <c r="BH633" s="19" t="s">
        <v>9872</v>
      </c>
      <c r="BI633" s="19" t="s">
        <v>9872</v>
      </c>
      <c r="BJ633" s="19" t="s">
        <v>166</v>
      </c>
      <c r="BK633" s="19" t="s">
        <v>907</v>
      </c>
      <c r="BL633" s="19" t="s">
        <v>122</v>
      </c>
      <c r="BM633" s="19" t="s">
        <v>592</v>
      </c>
      <c r="BN633" s="21">
        <v>2522.578</v>
      </c>
      <c r="BO633" s="21">
        <v>50098.399080000003</v>
      </c>
      <c r="BQ633" s="2"/>
      <c r="BR633" s="2"/>
      <c r="BS633" s="2"/>
      <c r="BT633" s="2"/>
      <c r="BU633" s="22"/>
      <c r="BV633" s="2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</row>
    <row r="634" spans="1:95" x14ac:dyDescent="0.25">
      <c r="A634" s="18">
        <v>631</v>
      </c>
      <c r="B634" s="19" t="s">
        <v>9873</v>
      </c>
      <c r="C634" s="19" t="s">
        <v>6702</v>
      </c>
      <c r="D634" s="20">
        <v>46017</v>
      </c>
      <c r="E634" s="20">
        <v>29194</v>
      </c>
      <c r="F634" s="19" t="s">
        <v>9874</v>
      </c>
      <c r="G634" s="19" t="s">
        <v>139</v>
      </c>
      <c r="H634" s="19" t="s">
        <v>94</v>
      </c>
      <c r="I634" s="19"/>
      <c r="J634" s="19"/>
      <c r="K634" s="19"/>
      <c r="L634" s="19" t="s">
        <v>244</v>
      </c>
      <c r="M634" s="19" t="s">
        <v>245</v>
      </c>
      <c r="N634" s="19" t="s">
        <v>9875</v>
      </c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 t="s">
        <v>101</v>
      </c>
      <c r="Z634" s="19" t="s">
        <v>102</v>
      </c>
      <c r="AA634" s="19" t="s">
        <v>103</v>
      </c>
      <c r="AB634" s="19" t="s">
        <v>173</v>
      </c>
      <c r="AC634" s="19" t="s">
        <v>174</v>
      </c>
      <c r="AD634" s="19" t="s">
        <v>9876</v>
      </c>
      <c r="AE634" s="19" t="s">
        <v>9877</v>
      </c>
      <c r="AF634" s="19" t="s">
        <v>9878</v>
      </c>
      <c r="AG634" s="19" t="s">
        <v>5758</v>
      </c>
      <c r="AH634" s="19" t="s">
        <v>231</v>
      </c>
      <c r="AI634" s="19"/>
      <c r="AJ634" s="19" t="s">
        <v>9879</v>
      </c>
      <c r="AK634" s="19"/>
      <c r="AL634" s="19"/>
      <c r="AM634" s="19" t="s">
        <v>9880</v>
      </c>
      <c r="AN634" s="19" t="s">
        <v>9881</v>
      </c>
      <c r="AO634" s="19" t="s">
        <v>255</v>
      </c>
      <c r="AP634" s="19" t="s">
        <v>256</v>
      </c>
      <c r="AQ634" s="19" t="s">
        <v>117</v>
      </c>
      <c r="AR634" s="19" t="s">
        <v>257</v>
      </c>
      <c r="AS634" s="19" t="s">
        <v>258</v>
      </c>
      <c r="AT634" s="19" t="s">
        <v>259</v>
      </c>
      <c r="AU634" s="19" t="s">
        <v>260</v>
      </c>
      <c r="AV634" s="19" t="s">
        <v>260</v>
      </c>
      <c r="AW634" s="19" t="s">
        <v>261</v>
      </c>
      <c r="AX634" s="19" t="s">
        <v>262</v>
      </c>
      <c r="AY634" s="19" t="s">
        <v>263</v>
      </c>
      <c r="AZ634" s="19" t="s">
        <v>264</v>
      </c>
      <c r="BA634" s="20">
        <v>43627</v>
      </c>
      <c r="BB634" s="19" t="s">
        <v>331</v>
      </c>
      <c r="BC634" s="19" t="s">
        <v>3074</v>
      </c>
      <c r="BD634" s="19" t="s">
        <v>3074</v>
      </c>
      <c r="BE634" s="19" t="s">
        <v>130</v>
      </c>
      <c r="BF634" s="19" t="s">
        <v>9882</v>
      </c>
      <c r="BG634" s="19"/>
      <c r="BH634" s="19" t="s">
        <v>9883</v>
      </c>
      <c r="BI634" s="19" t="s">
        <v>9883</v>
      </c>
      <c r="BJ634" s="19" t="s">
        <v>166</v>
      </c>
      <c r="BK634" s="19" t="s">
        <v>167</v>
      </c>
      <c r="BL634" s="19" t="s">
        <v>168</v>
      </c>
      <c r="BM634" s="19" t="s">
        <v>169</v>
      </c>
      <c r="BN634" s="21">
        <v>1409.6869999999999</v>
      </c>
      <c r="BO634" s="21">
        <v>49937.034225399999</v>
      </c>
      <c r="BQ634" s="2"/>
      <c r="BR634" s="2"/>
      <c r="BS634" s="2"/>
      <c r="BT634" s="2"/>
      <c r="BU634" s="22"/>
      <c r="BV634" s="2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</row>
    <row r="635" spans="1:95" x14ac:dyDescent="0.25">
      <c r="A635" s="18">
        <v>632</v>
      </c>
      <c r="B635" s="19" t="s">
        <v>9884</v>
      </c>
      <c r="C635" s="19" t="s">
        <v>9885</v>
      </c>
      <c r="D635" s="20">
        <v>46017</v>
      </c>
      <c r="E635" s="20">
        <v>32344</v>
      </c>
      <c r="F635" s="19"/>
      <c r="G635" s="19"/>
      <c r="H635" s="19" t="s">
        <v>94</v>
      </c>
      <c r="I635" s="19"/>
      <c r="J635" s="19"/>
      <c r="K635" s="19"/>
      <c r="L635" s="19" t="s">
        <v>244</v>
      </c>
      <c r="M635" s="19" t="s">
        <v>245</v>
      </c>
      <c r="N635" s="19" t="s">
        <v>9886</v>
      </c>
      <c r="O635" s="19" t="s">
        <v>100</v>
      </c>
      <c r="P635" s="19"/>
      <c r="Q635" s="19"/>
      <c r="R635" s="19"/>
      <c r="S635" s="19"/>
      <c r="T635" s="19"/>
      <c r="U635" s="19"/>
      <c r="V635" s="19"/>
      <c r="W635" s="19"/>
      <c r="X635" s="19"/>
      <c r="Y635" s="19" t="s">
        <v>101</v>
      </c>
      <c r="Z635" s="19" t="s">
        <v>102</v>
      </c>
      <c r="AA635" s="19" t="s">
        <v>103</v>
      </c>
      <c r="AB635" s="19" t="s">
        <v>612</v>
      </c>
      <c r="AC635" s="19" t="s">
        <v>613</v>
      </c>
      <c r="AD635" s="19" t="s">
        <v>9887</v>
      </c>
      <c r="AE635" s="19" t="s">
        <v>9888</v>
      </c>
      <c r="AF635" s="19" t="s">
        <v>9889</v>
      </c>
      <c r="AG635" s="19" t="s">
        <v>9890</v>
      </c>
      <c r="AH635" s="19" t="s">
        <v>1226</v>
      </c>
      <c r="AI635" s="19" t="s">
        <v>111</v>
      </c>
      <c r="AJ635" s="19" t="s">
        <v>9891</v>
      </c>
      <c r="AK635" s="19"/>
      <c r="AL635" s="19"/>
      <c r="AM635" s="19" t="s">
        <v>9892</v>
      </c>
      <c r="AN635" s="19" t="s">
        <v>9893</v>
      </c>
      <c r="AO635" s="19" t="s">
        <v>2307</v>
      </c>
      <c r="AP635" s="19" t="s">
        <v>2308</v>
      </c>
      <c r="AQ635" s="19" t="s">
        <v>94</v>
      </c>
      <c r="AR635" s="19" t="s">
        <v>2309</v>
      </c>
      <c r="AS635" s="19" t="s">
        <v>2310</v>
      </c>
      <c r="AT635" s="19" t="s">
        <v>2311</v>
      </c>
      <c r="AU635" s="19" t="s">
        <v>2312</v>
      </c>
      <c r="AV635" s="19" t="s">
        <v>122</v>
      </c>
      <c r="AW635" s="19" t="s">
        <v>2313</v>
      </c>
      <c r="AX635" s="19" t="s">
        <v>901</v>
      </c>
      <c r="AY635" s="19" t="s">
        <v>2314</v>
      </c>
      <c r="AZ635" s="19" t="s">
        <v>2315</v>
      </c>
      <c r="BA635" s="20">
        <v>43194</v>
      </c>
      <c r="BB635" s="19" t="s">
        <v>2308</v>
      </c>
      <c r="BC635" s="19" t="s">
        <v>9894</v>
      </c>
      <c r="BD635" s="19" t="s">
        <v>9895</v>
      </c>
      <c r="BE635" s="19" t="s">
        <v>130</v>
      </c>
      <c r="BF635" s="19" t="s">
        <v>9896</v>
      </c>
      <c r="BG635" s="19"/>
      <c r="BH635" s="19" t="s">
        <v>2319</v>
      </c>
      <c r="BI635" s="19" t="s">
        <v>2319</v>
      </c>
      <c r="BJ635" s="19" t="s">
        <v>166</v>
      </c>
      <c r="BK635" s="19" t="s">
        <v>195</v>
      </c>
      <c r="BL635" s="19" t="s">
        <v>122</v>
      </c>
      <c r="BM635" s="19" t="s">
        <v>196</v>
      </c>
      <c r="BN635" s="21">
        <v>1.8320000000000001</v>
      </c>
      <c r="BO635" s="21">
        <v>1003.88104</v>
      </c>
      <c r="BQ635" s="2"/>
      <c r="BR635" s="2"/>
      <c r="BS635" s="2"/>
      <c r="BT635" s="2"/>
      <c r="BU635" s="22"/>
      <c r="BV635" s="2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</row>
    <row r="636" spans="1:95" x14ac:dyDescent="0.25">
      <c r="A636" s="18">
        <v>633</v>
      </c>
      <c r="B636" s="19" t="s">
        <v>9897</v>
      </c>
      <c r="C636" s="19" t="s">
        <v>9898</v>
      </c>
      <c r="D636" s="20">
        <v>46001</v>
      </c>
      <c r="E636" s="20">
        <v>37066</v>
      </c>
      <c r="F636" s="19" t="s">
        <v>9899</v>
      </c>
      <c r="G636" s="19" t="s">
        <v>139</v>
      </c>
      <c r="H636" s="19" t="s">
        <v>94</v>
      </c>
      <c r="I636" s="19"/>
      <c r="J636" s="19"/>
      <c r="K636" s="19"/>
      <c r="L636" s="19" t="s">
        <v>244</v>
      </c>
      <c r="M636" s="19" t="s">
        <v>245</v>
      </c>
      <c r="N636" s="19" t="s">
        <v>9900</v>
      </c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 t="s">
        <v>101</v>
      </c>
      <c r="Z636" s="19" t="s">
        <v>102</v>
      </c>
      <c r="AA636" s="19" t="s">
        <v>103</v>
      </c>
      <c r="AB636" s="19" t="s">
        <v>953</v>
      </c>
      <c r="AC636" s="19" t="s">
        <v>954</v>
      </c>
      <c r="AD636" s="19" t="s">
        <v>9901</v>
      </c>
      <c r="AE636" s="19" t="s">
        <v>9902</v>
      </c>
      <c r="AF636" s="19" t="s">
        <v>9903</v>
      </c>
      <c r="AG636" s="19" t="s">
        <v>9904</v>
      </c>
      <c r="AH636" s="19" t="s">
        <v>149</v>
      </c>
      <c r="AI636" s="19" t="s">
        <v>111</v>
      </c>
      <c r="AJ636" s="19" t="s">
        <v>9754</v>
      </c>
      <c r="AK636" s="19"/>
      <c r="AL636" s="19"/>
      <c r="AM636" s="19" t="s">
        <v>9905</v>
      </c>
      <c r="AN636" s="19" t="s">
        <v>9906</v>
      </c>
      <c r="AO636" s="19" t="s">
        <v>255</v>
      </c>
      <c r="AP636" s="19" t="s">
        <v>256</v>
      </c>
      <c r="AQ636" s="19" t="s">
        <v>117</v>
      </c>
      <c r="AR636" s="19" t="s">
        <v>257</v>
      </c>
      <c r="AS636" s="19" t="s">
        <v>258</v>
      </c>
      <c r="AT636" s="19" t="s">
        <v>259</v>
      </c>
      <c r="AU636" s="19" t="s">
        <v>260</v>
      </c>
      <c r="AV636" s="19" t="s">
        <v>260</v>
      </c>
      <c r="AW636" s="19" t="s">
        <v>261</v>
      </c>
      <c r="AX636" s="19" t="s">
        <v>262</v>
      </c>
      <c r="AY636" s="19" t="s">
        <v>263</v>
      </c>
      <c r="AZ636" s="19" t="s">
        <v>264</v>
      </c>
      <c r="BA636" s="20">
        <v>43627</v>
      </c>
      <c r="BB636" s="19" t="s">
        <v>331</v>
      </c>
      <c r="BC636" s="19" t="s">
        <v>9907</v>
      </c>
      <c r="BD636" s="19" t="s">
        <v>9907</v>
      </c>
      <c r="BE636" s="19" t="s">
        <v>130</v>
      </c>
      <c r="BF636" s="19" t="s">
        <v>9908</v>
      </c>
      <c r="BG636" s="19"/>
      <c r="BH636" s="19" t="s">
        <v>9909</v>
      </c>
      <c r="BI636" s="19" t="s">
        <v>9909</v>
      </c>
      <c r="BJ636" s="19" t="s">
        <v>166</v>
      </c>
      <c r="BK636" s="19" t="s">
        <v>167</v>
      </c>
      <c r="BL636" s="19" t="s">
        <v>168</v>
      </c>
      <c r="BM636" s="19" t="s">
        <v>169</v>
      </c>
      <c r="BN636" s="21">
        <v>246.554</v>
      </c>
      <c r="BO636" s="21">
        <v>9931.6142617999994</v>
      </c>
      <c r="BQ636" s="2"/>
      <c r="BR636" s="2"/>
      <c r="BS636" s="2"/>
      <c r="BT636" s="2"/>
      <c r="BU636" s="22"/>
      <c r="BV636" s="2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</row>
    <row r="637" spans="1:95" x14ac:dyDescent="0.25">
      <c r="A637" s="18">
        <v>634</v>
      </c>
      <c r="B637" s="19" t="s">
        <v>9910</v>
      </c>
      <c r="C637" s="19" t="s">
        <v>9911</v>
      </c>
      <c r="D637" s="20">
        <v>45992</v>
      </c>
      <c r="E637" s="20">
        <v>35977</v>
      </c>
      <c r="F637" s="19"/>
      <c r="G637" s="19"/>
      <c r="H637" s="19" t="s">
        <v>94</v>
      </c>
      <c r="I637" s="19"/>
      <c r="J637" s="19" t="s">
        <v>287</v>
      </c>
      <c r="K637" s="19" t="s">
        <v>288</v>
      </c>
      <c r="L637" s="19" t="s">
        <v>140</v>
      </c>
      <c r="M637" s="19" t="s">
        <v>141</v>
      </c>
      <c r="N637" s="19" t="s">
        <v>9912</v>
      </c>
      <c r="O637" s="19" t="s">
        <v>100</v>
      </c>
      <c r="P637" s="19"/>
      <c r="Q637" s="19"/>
      <c r="R637" s="19"/>
      <c r="S637" s="19"/>
      <c r="T637" s="19"/>
      <c r="U637" s="19"/>
      <c r="V637" s="19"/>
      <c r="W637" s="19"/>
      <c r="X637" s="19"/>
      <c r="Y637" s="19" t="s">
        <v>101</v>
      </c>
      <c r="Z637" s="19" t="s">
        <v>102</v>
      </c>
      <c r="AA637" s="19" t="s">
        <v>103</v>
      </c>
      <c r="AB637" s="19" t="s">
        <v>9913</v>
      </c>
      <c r="AC637" s="19" t="s">
        <v>9914</v>
      </c>
      <c r="AD637" s="19" t="s">
        <v>9915</v>
      </c>
      <c r="AE637" s="19" t="s">
        <v>440</v>
      </c>
      <c r="AF637" s="19"/>
      <c r="AG637" s="19" t="s">
        <v>440</v>
      </c>
      <c r="AH637" s="19" t="s">
        <v>149</v>
      </c>
      <c r="AI637" s="19" t="s">
        <v>111</v>
      </c>
      <c r="AJ637" s="19" t="s">
        <v>9916</v>
      </c>
      <c r="AK637" s="19"/>
      <c r="AL637" s="19"/>
      <c r="AM637" s="19" t="s">
        <v>9917</v>
      </c>
      <c r="AN637" s="19" t="s">
        <v>9918</v>
      </c>
      <c r="AO637" s="19" t="s">
        <v>4616</v>
      </c>
      <c r="AP637" s="19" t="s">
        <v>2089</v>
      </c>
      <c r="AQ637" s="19" t="s">
        <v>117</v>
      </c>
      <c r="AR637" s="19" t="s">
        <v>2090</v>
      </c>
      <c r="AS637" s="19" t="s">
        <v>2091</v>
      </c>
      <c r="AT637" s="19" t="s">
        <v>2092</v>
      </c>
      <c r="AU637" s="19" t="s">
        <v>2093</v>
      </c>
      <c r="AV637" s="19" t="s">
        <v>122</v>
      </c>
      <c r="AW637" s="19" t="s">
        <v>2094</v>
      </c>
      <c r="AX637" s="19" t="s">
        <v>901</v>
      </c>
      <c r="AY637" s="19" t="s">
        <v>2095</v>
      </c>
      <c r="AZ637" s="19" t="s">
        <v>2096</v>
      </c>
      <c r="BA637" s="20">
        <v>37075</v>
      </c>
      <c r="BB637" s="19" t="s">
        <v>4617</v>
      </c>
      <c r="BC637" s="19" t="s">
        <v>9919</v>
      </c>
      <c r="BD637" s="19" t="s">
        <v>148</v>
      </c>
      <c r="BE637" s="19" t="s">
        <v>130</v>
      </c>
      <c r="BF637" s="19" t="s">
        <v>9920</v>
      </c>
      <c r="BG637" s="19" t="s">
        <v>9921</v>
      </c>
      <c r="BH637" s="19" t="s">
        <v>9922</v>
      </c>
      <c r="BI637" s="19" t="s">
        <v>9922</v>
      </c>
      <c r="BJ637" s="19" t="s">
        <v>166</v>
      </c>
      <c r="BK637" s="19" t="s">
        <v>1166</v>
      </c>
      <c r="BL637" s="19" t="s">
        <v>440</v>
      </c>
      <c r="BM637" s="19" t="s">
        <v>592</v>
      </c>
      <c r="BN637" s="21">
        <v>18.462</v>
      </c>
      <c r="BO637" s="21">
        <v>3011.33682</v>
      </c>
      <c r="BQ637" s="2"/>
      <c r="BR637" s="2"/>
      <c r="BS637" s="2"/>
      <c r="BT637" s="2"/>
      <c r="BU637" s="22"/>
      <c r="BV637" s="2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</row>
    <row r="638" spans="1:95" x14ac:dyDescent="0.25">
      <c r="A638" s="18">
        <v>635</v>
      </c>
      <c r="B638" s="19" t="s">
        <v>9923</v>
      </c>
      <c r="C638" s="19" t="s">
        <v>9924</v>
      </c>
      <c r="D638" s="20">
        <v>45999</v>
      </c>
      <c r="E638" s="20">
        <v>39150</v>
      </c>
      <c r="F638" s="19"/>
      <c r="G638" s="19"/>
      <c r="H638" s="19" t="s">
        <v>94</v>
      </c>
      <c r="I638" s="19"/>
      <c r="J638" s="19"/>
      <c r="K638" s="19"/>
      <c r="L638" s="19" t="s">
        <v>1262</v>
      </c>
      <c r="M638" s="19" t="s">
        <v>1263</v>
      </c>
      <c r="N638" s="19" t="s">
        <v>9925</v>
      </c>
      <c r="O638" s="19" t="s">
        <v>100</v>
      </c>
      <c r="P638" s="19"/>
      <c r="Q638" s="19"/>
      <c r="R638" s="19"/>
      <c r="S638" s="19"/>
      <c r="T638" s="19"/>
      <c r="U638" s="19"/>
      <c r="V638" s="19"/>
      <c r="W638" s="19"/>
      <c r="X638" s="19"/>
      <c r="Y638" s="19" t="s">
        <v>101</v>
      </c>
      <c r="Z638" s="19" t="s">
        <v>102</v>
      </c>
      <c r="AA638" s="19" t="s">
        <v>103</v>
      </c>
      <c r="AB638" s="19" t="s">
        <v>173</v>
      </c>
      <c r="AC638" s="19" t="s">
        <v>174</v>
      </c>
      <c r="AD638" s="19" t="s">
        <v>9926</v>
      </c>
      <c r="AE638" s="19" t="s">
        <v>9927</v>
      </c>
      <c r="AF638" s="19" t="s">
        <v>9928</v>
      </c>
      <c r="AG638" s="19" t="s">
        <v>490</v>
      </c>
      <c r="AH638" s="19" t="s">
        <v>262</v>
      </c>
      <c r="AI638" s="19" t="s">
        <v>111</v>
      </c>
      <c r="AJ638" s="19" t="s">
        <v>5861</v>
      </c>
      <c r="AK638" s="19"/>
      <c r="AL638" s="19"/>
      <c r="AM638" s="19" t="s">
        <v>9929</v>
      </c>
      <c r="AN638" s="19" t="s">
        <v>9930</v>
      </c>
      <c r="AO638" s="19" t="s">
        <v>181</v>
      </c>
      <c r="AP638" s="19" t="s">
        <v>182</v>
      </c>
      <c r="AQ638" s="19" t="s">
        <v>117</v>
      </c>
      <c r="AR638" s="19" t="s">
        <v>183</v>
      </c>
      <c r="AS638" s="19" t="s">
        <v>184</v>
      </c>
      <c r="AT638" s="19" t="s">
        <v>185</v>
      </c>
      <c r="AU638" s="19"/>
      <c r="AV638" s="19" t="s">
        <v>186</v>
      </c>
      <c r="AW638" s="19" t="s">
        <v>187</v>
      </c>
      <c r="AX638" s="19" t="s">
        <v>188</v>
      </c>
      <c r="AY638" s="19"/>
      <c r="AZ638" s="19" t="s">
        <v>189</v>
      </c>
      <c r="BA638" s="20">
        <v>44673</v>
      </c>
      <c r="BB638" s="19" t="s">
        <v>331</v>
      </c>
      <c r="BC638" s="19" t="s">
        <v>9931</v>
      </c>
      <c r="BD638" s="19" t="s">
        <v>9932</v>
      </c>
      <c r="BE638" s="19" t="s">
        <v>130</v>
      </c>
      <c r="BF638" s="19" t="s">
        <v>9933</v>
      </c>
      <c r="BG638" s="19"/>
      <c r="BH638" s="19" t="s">
        <v>9934</v>
      </c>
      <c r="BI638" s="19" t="s">
        <v>9934</v>
      </c>
      <c r="BJ638" s="19" t="s">
        <v>194</v>
      </c>
      <c r="BK638" s="19" t="s">
        <v>195</v>
      </c>
      <c r="BL638" s="19" t="s">
        <v>122</v>
      </c>
      <c r="BM638" s="19" t="s">
        <v>196</v>
      </c>
      <c r="BN638" s="21">
        <v>7.1559999999999997</v>
      </c>
      <c r="BO638" s="21">
        <v>253.49557519999999</v>
      </c>
      <c r="BQ638" s="2"/>
      <c r="BR638" s="2"/>
      <c r="BS638" s="2"/>
      <c r="BT638" s="2"/>
      <c r="BU638" s="22"/>
      <c r="BV638" s="2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</row>
    <row r="639" spans="1:95" x14ac:dyDescent="0.25">
      <c r="A639" s="18">
        <v>636</v>
      </c>
      <c r="B639" s="19" t="s">
        <v>9935</v>
      </c>
      <c r="C639" s="19" t="s">
        <v>9936</v>
      </c>
      <c r="D639" s="20">
        <v>45992</v>
      </c>
      <c r="E639" s="20">
        <v>38211</v>
      </c>
      <c r="F639" s="19"/>
      <c r="G639" s="19"/>
      <c r="H639" s="19" t="s">
        <v>94</v>
      </c>
      <c r="I639" s="19"/>
      <c r="J639" s="19"/>
      <c r="K639" s="19"/>
      <c r="L639" s="19" t="s">
        <v>244</v>
      </c>
      <c r="M639" s="19" t="s">
        <v>245</v>
      </c>
      <c r="N639" s="19" t="s">
        <v>9937</v>
      </c>
      <c r="O639" s="19" t="s">
        <v>100</v>
      </c>
      <c r="P639" s="19"/>
      <c r="Q639" s="19"/>
      <c r="R639" s="19"/>
      <c r="S639" s="19"/>
      <c r="T639" s="19"/>
      <c r="U639" s="19"/>
      <c r="V639" s="19"/>
      <c r="W639" s="19"/>
      <c r="X639" s="19"/>
      <c r="Y639" s="19" t="s">
        <v>101</v>
      </c>
      <c r="Z639" s="19" t="s">
        <v>102</v>
      </c>
      <c r="AA639" s="19" t="s">
        <v>103</v>
      </c>
      <c r="AB639" s="19" t="s">
        <v>402</v>
      </c>
      <c r="AC639" s="19" t="s">
        <v>403</v>
      </c>
      <c r="AD639" s="19" t="s">
        <v>9938</v>
      </c>
      <c r="AE639" s="19" t="s">
        <v>9939</v>
      </c>
      <c r="AF639" s="19" t="s">
        <v>9940</v>
      </c>
      <c r="AG639" s="19" t="s">
        <v>9941</v>
      </c>
      <c r="AH639" s="19" t="s">
        <v>677</v>
      </c>
      <c r="AI639" s="19" t="s">
        <v>111</v>
      </c>
      <c r="AJ639" s="19" t="s">
        <v>9942</v>
      </c>
      <c r="AK639" s="19"/>
      <c r="AL639" s="19"/>
      <c r="AM639" s="19" t="s">
        <v>9943</v>
      </c>
      <c r="AN639" s="19" t="s">
        <v>9944</v>
      </c>
      <c r="AO639" s="19" t="s">
        <v>9945</v>
      </c>
      <c r="AP639" s="19" t="s">
        <v>9946</v>
      </c>
      <c r="AQ639" s="19" t="s">
        <v>117</v>
      </c>
      <c r="AR639" s="19" t="s">
        <v>9947</v>
      </c>
      <c r="AS639" s="19" t="s">
        <v>9948</v>
      </c>
      <c r="AT639" s="19" t="s">
        <v>9949</v>
      </c>
      <c r="AU639" s="19"/>
      <c r="AV639" s="19" t="s">
        <v>9950</v>
      </c>
      <c r="AW639" s="19" t="s">
        <v>9951</v>
      </c>
      <c r="AX639" s="19" t="s">
        <v>9952</v>
      </c>
      <c r="AY639" s="19" t="s">
        <v>9953</v>
      </c>
      <c r="AZ639" s="19" t="s">
        <v>9954</v>
      </c>
      <c r="BA639" s="20">
        <v>44524</v>
      </c>
      <c r="BB639" s="19" t="s">
        <v>331</v>
      </c>
      <c r="BC639" s="19" t="s">
        <v>9955</v>
      </c>
      <c r="BD639" s="19" t="s">
        <v>9956</v>
      </c>
      <c r="BE639" s="19" t="s">
        <v>130</v>
      </c>
      <c r="BF639" s="19" t="s">
        <v>9957</v>
      </c>
      <c r="BG639" s="19" t="s">
        <v>9958</v>
      </c>
      <c r="BH639" s="19" t="s">
        <v>9959</v>
      </c>
      <c r="BI639" s="19" t="s">
        <v>9959</v>
      </c>
      <c r="BJ639" s="19" t="s">
        <v>1259</v>
      </c>
      <c r="BK639" s="19" t="s">
        <v>221</v>
      </c>
      <c r="BL639" s="19" t="s">
        <v>222</v>
      </c>
      <c r="BM639" s="19" t="s">
        <v>169</v>
      </c>
      <c r="BN639" s="21">
        <v>1.59</v>
      </c>
      <c r="BO639" s="21">
        <v>3010.3946999999998</v>
      </c>
      <c r="BQ639" s="2"/>
      <c r="BR639" s="2"/>
      <c r="BS639" s="2"/>
      <c r="BT639" s="2"/>
      <c r="BU639" s="22"/>
      <c r="BV639" s="2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</row>
    <row r="640" spans="1:95" x14ac:dyDescent="0.25">
      <c r="A640" s="18">
        <v>637</v>
      </c>
      <c r="B640" s="19" t="s">
        <v>9960</v>
      </c>
      <c r="C640" s="19" t="s">
        <v>9961</v>
      </c>
      <c r="D640" s="20">
        <v>45993</v>
      </c>
      <c r="E640" s="20">
        <v>19314</v>
      </c>
      <c r="F640" s="19" t="s">
        <v>9962</v>
      </c>
      <c r="G640" s="19" t="s">
        <v>139</v>
      </c>
      <c r="H640" s="19" t="s">
        <v>94</v>
      </c>
      <c r="I640" s="19"/>
      <c r="J640" s="19"/>
      <c r="K640" s="19"/>
      <c r="L640" s="19" t="s">
        <v>140</v>
      </c>
      <c r="M640" s="19" t="s">
        <v>141</v>
      </c>
      <c r="N640" s="19" t="s">
        <v>9963</v>
      </c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 t="s">
        <v>101</v>
      </c>
      <c r="Z640" s="19" t="s">
        <v>102</v>
      </c>
      <c r="AA640" s="19" t="s">
        <v>103</v>
      </c>
      <c r="AB640" s="19" t="s">
        <v>3488</v>
      </c>
      <c r="AC640" s="19" t="s">
        <v>3489</v>
      </c>
      <c r="AD640" s="19" t="s">
        <v>9964</v>
      </c>
      <c r="AE640" s="19" t="s">
        <v>9965</v>
      </c>
      <c r="AF640" s="19"/>
      <c r="AG640" s="19" t="s">
        <v>9338</v>
      </c>
      <c r="AH640" s="19" t="s">
        <v>515</v>
      </c>
      <c r="AI640" s="19" t="s">
        <v>111</v>
      </c>
      <c r="AJ640" s="19" t="s">
        <v>9966</v>
      </c>
      <c r="AK640" s="19"/>
      <c r="AL640" s="19"/>
      <c r="AM640" s="19" t="s">
        <v>9967</v>
      </c>
      <c r="AN640" s="19" t="s">
        <v>9968</v>
      </c>
      <c r="AO640" s="19" t="s">
        <v>5187</v>
      </c>
      <c r="AP640" s="19" t="s">
        <v>5188</v>
      </c>
      <c r="AQ640" s="19" t="s">
        <v>94</v>
      </c>
      <c r="AR640" s="19" t="s">
        <v>5189</v>
      </c>
      <c r="AS640" s="19" t="s">
        <v>5190</v>
      </c>
      <c r="AT640" s="19" t="s">
        <v>5191</v>
      </c>
      <c r="AU640" s="19" t="s">
        <v>5192</v>
      </c>
      <c r="AV640" s="19" t="s">
        <v>5193</v>
      </c>
      <c r="AW640" s="19" t="s">
        <v>5194</v>
      </c>
      <c r="AX640" s="19" t="s">
        <v>124</v>
      </c>
      <c r="AY640" s="19" t="s">
        <v>5195</v>
      </c>
      <c r="AZ640" s="19" t="s">
        <v>5196</v>
      </c>
      <c r="BA640" s="20">
        <v>36115</v>
      </c>
      <c r="BB640" s="19" t="s">
        <v>479</v>
      </c>
      <c r="BC640" s="19" t="s">
        <v>9969</v>
      </c>
      <c r="BD640" s="19" t="s">
        <v>9338</v>
      </c>
      <c r="BE640" s="19" t="s">
        <v>130</v>
      </c>
      <c r="BF640" s="19" t="s">
        <v>9970</v>
      </c>
      <c r="BG640" s="19"/>
      <c r="BH640" s="19" t="s">
        <v>9971</v>
      </c>
      <c r="BI640" s="19" t="s">
        <v>9971</v>
      </c>
      <c r="BJ640" s="19" t="s">
        <v>194</v>
      </c>
      <c r="BK640" s="19" t="s">
        <v>907</v>
      </c>
      <c r="BL640" s="19" t="s">
        <v>122</v>
      </c>
      <c r="BM640" s="19" t="s">
        <v>592</v>
      </c>
      <c r="BN640" s="21">
        <v>1E-3</v>
      </c>
      <c r="BO640" s="21">
        <v>1.0966099999999999E-2</v>
      </c>
      <c r="BQ640" s="2"/>
      <c r="BR640" s="2"/>
      <c r="BS640" s="2"/>
      <c r="BT640" s="2"/>
      <c r="BU640" s="22"/>
      <c r="BV640" s="2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</row>
    <row r="641" spans="1:95" x14ac:dyDescent="0.25">
      <c r="A641" s="18">
        <v>638</v>
      </c>
      <c r="B641" s="19" t="s">
        <v>9972</v>
      </c>
      <c r="C641" s="19" t="s">
        <v>9973</v>
      </c>
      <c r="D641" s="20">
        <v>46000</v>
      </c>
      <c r="E641" s="20">
        <v>35466</v>
      </c>
      <c r="F641" s="19" t="s">
        <v>9974</v>
      </c>
      <c r="G641" s="19" t="s">
        <v>139</v>
      </c>
      <c r="H641" s="19" t="s">
        <v>94</v>
      </c>
      <c r="I641" s="19"/>
      <c r="J641" s="19"/>
      <c r="K641" s="19"/>
      <c r="L641" s="19" t="s">
        <v>244</v>
      </c>
      <c r="M641" s="19" t="s">
        <v>245</v>
      </c>
      <c r="N641" s="19" t="s">
        <v>9975</v>
      </c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 t="s">
        <v>101</v>
      </c>
      <c r="Z641" s="19" t="s">
        <v>102</v>
      </c>
      <c r="AA641" s="19" t="s">
        <v>103</v>
      </c>
      <c r="AB641" s="19" t="s">
        <v>247</v>
      </c>
      <c r="AC641" s="19" t="s">
        <v>248</v>
      </c>
      <c r="AD641" s="19" t="s">
        <v>9976</v>
      </c>
      <c r="AE641" s="19" t="s">
        <v>9977</v>
      </c>
      <c r="AF641" s="19" t="s">
        <v>9978</v>
      </c>
      <c r="AG641" s="19" t="s">
        <v>1859</v>
      </c>
      <c r="AH641" s="19" t="s">
        <v>110</v>
      </c>
      <c r="AI641" s="19" t="s">
        <v>111</v>
      </c>
      <c r="AJ641" s="19" t="s">
        <v>9979</v>
      </c>
      <c r="AK641" s="19"/>
      <c r="AL641" s="19"/>
      <c r="AM641" s="19" t="s">
        <v>9980</v>
      </c>
      <c r="AN641" s="19" t="s">
        <v>9981</v>
      </c>
      <c r="AO641" s="19" t="s">
        <v>255</v>
      </c>
      <c r="AP641" s="19" t="s">
        <v>256</v>
      </c>
      <c r="AQ641" s="19" t="s">
        <v>117</v>
      </c>
      <c r="AR641" s="19" t="s">
        <v>257</v>
      </c>
      <c r="AS641" s="19" t="s">
        <v>258</v>
      </c>
      <c r="AT641" s="19" t="s">
        <v>259</v>
      </c>
      <c r="AU641" s="19" t="s">
        <v>260</v>
      </c>
      <c r="AV641" s="19" t="s">
        <v>260</v>
      </c>
      <c r="AW641" s="19" t="s">
        <v>261</v>
      </c>
      <c r="AX641" s="19" t="s">
        <v>262</v>
      </c>
      <c r="AY641" s="19" t="s">
        <v>263</v>
      </c>
      <c r="AZ641" s="19" t="s">
        <v>264</v>
      </c>
      <c r="BA641" s="20">
        <v>43627</v>
      </c>
      <c r="BB641" s="19" t="s">
        <v>1002</v>
      </c>
      <c r="BC641" s="19" t="s">
        <v>1896</v>
      </c>
      <c r="BD641" s="19" t="s">
        <v>260</v>
      </c>
      <c r="BE641" s="19" t="s">
        <v>130</v>
      </c>
      <c r="BF641" s="19" t="s">
        <v>9982</v>
      </c>
      <c r="BG641" s="19"/>
      <c r="BH641" s="19" t="s">
        <v>1898</v>
      </c>
      <c r="BI641" s="19" t="s">
        <v>1898</v>
      </c>
      <c r="BJ641" s="19" t="s">
        <v>166</v>
      </c>
      <c r="BK641" s="19" t="s">
        <v>167</v>
      </c>
      <c r="BL641" s="19" t="s">
        <v>168</v>
      </c>
      <c r="BM641" s="19" t="s">
        <v>169</v>
      </c>
      <c r="BN641" s="21">
        <v>1.1479999999999999</v>
      </c>
      <c r="BO641" s="21">
        <v>503.4122352</v>
      </c>
      <c r="BQ641" s="2"/>
      <c r="BR641" s="2"/>
      <c r="BS641" s="2"/>
      <c r="BT641" s="2"/>
      <c r="BU641" s="22"/>
      <c r="BV641" s="2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</row>
    <row r="642" spans="1:95" x14ac:dyDescent="0.25">
      <c r="A642" s="18">
        <v>639</v>
      </c>
      <c r="B642" s="19" t="s">
        <v>9983</v>
      </c>
      <c r="C642" s="19" t="s">
        <v>9984</v>
      </c>
      <c r="D642" s="20">
        <v>46000</v>
      </c>
      <c r="E642" s="20">
        <v>35763</v>
      </c>
      <c r="F642" s="19" t="s">
        <v>9985</v>
      </c>
      <c r="G642" s="19" t="s">
        <v>139</v>
      </c>
      <c r="H642" s="19" t="s">
        <v>94</v>
      </c>
      <c r="I642" s="19"/>
      <c r="J642" s="19"/>
      <c r="K642" s="19"/>
      <c r="L642" s="19" t="s">
        <v>244</v>
      </c>
      <c r="M642" s="19" t="s">
        <v>245</v>
      </c>
      <c r="N642" s="19" t="s">
        <v>9986</v>
      </c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 t="s">
        <v>101</v>
      </c>
      <c r="Z642" s="19" t="s">
        <v>102</v>
      </c>
      <c r="AA642" s="19" t="s">
        <v>103</v>
      </c>
      <c r="AB642" s="19" t="s">
        <v>953</v>
      </c>
      <c r="AC642" s="19" t="s">
        <v>954</v>
      </c>
      <c r="AD642" s="19" t="s">
        <v>9987</v>
      </c>
      <c r="AE642" s="19" t="s">
        <v>9988</v>
      </c>
      <c r="AF642" s="19" t="s">
        <v>9989</v>
      </c>
      <c r="AG642" s="19" t="s">
        <v>9990</v>
      </c>
      <c r="AH642" s="19" t="s">
        <v>2860</v>
      </c>
      <c r="AI642" s="19" t="s">
        <v>111</v>
      </c>
      <c r="AJ642" s="19" t="s">
        <v>9991</v>
      </c>
      <c r="AK642" s="19"/>
      <c r="AL642" s="19"/>
      <c r="AM642" s="19" t="s">
        <v>9992</v>
      </c>
      <c r="AN642" s="19" t="s">
        <v>9993</v>
      </c>
      <c r="AO642" s="19" t="s">
        <v>255</v>
      </c>
      <c r="AP642" s="19" t="s">
        <v>256</v>
      </c>
      <c r="AQ642" s="19" t="s">
        <v>117</v>
      </c>
      <c r="AR642" s="19" t="s">
        <v>257</v>
      </c>
      <c r="AS642" s="19" t="s">
        <v>258</v>
      </c>
      <c r="AT642" s="19" t="s">
        <v>259</v>
      </c>
      <c r="AU642" s="19" t="s">
        <v>260</v>
      </c>
      <c r="AV642" s="19" t="s">
        <v>260</v>
      </c>
      <c r="AW642" s="19" t="s">
        <v>261</v>
      </c>
      <c r="AX642" s="19" t="s">
        <v>262</v>
      </c>
      <c r="AY642" s="19" t="s">
        <v>263</v>
      </c>
      <c r="AZ642" s="19" t="s">
        <v>264</v>
      </c>
      <c r="BA642" s="20">
        <v>43627</v>
      </c>
      <c r="BB642" s="19" t="s">
        <v>349</v>
      </c>
      <c r="BC642" s="19" t="s">
        <v>4719</v>
      </c>
      <c r="BD642" s="19" t="s">
        <v>9990</v>
      </c>
      <c r="BE642" s="19" t="s">
        <v>130</v>
      </c>
      <c r="BF642" s="19" t="s">
        <v>9994</v>
      </c>
      <c r="BG642" s="19"/>
      <c r="BH642" s="19" t="s">
        <v>9995</v>
      </c>
      <c r="BI642" s="19" t="s">
        <v>9995</v>
      </c>
      <c r="BJ642" s="19" t="s">
        <v>166</v>
      </c>
      <c r="BK642" s="19" t="s">
        <v>167</v>
      </c>
      <c r="BL642" s="19" t="s">
        <v>168</v>
      </c>
      <c r="BM642" s="19" t="s">
        <v>169</v>
      </c>
      <c r="BN642" s="21">
        <v>12.949</v>
      </c>
      <c r="BO642" s="21">
        <v>521.60773329999995</v>
      </c>
      <c r="BQ642" s="2"/>
      <c r="BR642" s="2"/>
      <c r="BS642" s="2"/>
      <c r="BT642" s="2"/>
      <c r="BU642" s="22"/>
      <c r="BV642" s="2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</row>
    <row r="643" spans="1:95" x14ac:dyDescent="0.25">
      <c r="A643" s="18">
        <v>640</v>
      </c>
      <c r="B643" s="19" t="s">
        <v>9996</v>
      </c>
      <c r="C643" s="19" t="s">
        <v>9997</v>
      </c>
      <c r="D643" s="20">
        <v>45999</v>
      </c>
      <c r="E643" s="20">
        <v>36863</v>
      </c>
      <c r="F643" s="19"/>
      <c r="G643" s="19"/>
      <c r="H643" s="19" t="s">
        <v>94</v>
      </c>
      <c r="I643" s="19"/>
      <c r="J643" s="19"/>
      <c r="K643" s="19"/>
      <c r="L643" s="19" t="s">
        <v>289</v>
      </c>
      <c r="M643" s="19" t="s">
        <v>290</v>
      </c>
      <c r="N643" s="19" t="s">
        <v>9998</v>
      </c>
      <c r="O643" s="19" t="s">
        <v>100</v>
      </c>
      <c r="P643" s="19"/>
      <c r="Q643" s="19"/>
      <c r="R643" s="19"/>
      <c r="S643" s="19"/>
      <c r="T643" s="19"/>
      <c r="U643" s="19"/>
      <c r="V643" s="19"/>
      <c r="W643" s="19"/>
      <c r="X643" s="19"/>
      <c r="Y643" s="19" t="s">
        <v>101</v>
      </c>
      <c r="Z643" s="19" t="s">
        <v>102</v>
      </c>
      <c r="AA643" s="19" t="s">
        <v>103</v>
      </c>
      <c r="AB643" s="19" t="s">
        <v>487</v>
      </c>
      <c r="AC643" s="19" t="s">
        <v>488</v>
      </c>
      <c r="AD643" s="19" t="s">
        <v>9999</v>
      </c>
      <c r="AE643" s="19" t="s">
        <v>10000</v>
      </c>
      <c r="AF643" s="19"/>
      <c r="AG643" s="19" t="s">
        <v>3637</v>
      </c>
      <c r="AH643" s="19" t="s">
        <v>262</v>
      </c>
      <c r="AI643" s="19" t="s">
        <v>111</v>
      </c>
      <c r="AJ643" s="19" t="s">
        <v>10001</v>
      </c>
      <c r="AK643" s="19"/>
      <c r="AL643" s="19"/>
      <c r="AM643" s="19" t="s">
        <v>10002</v>
      </c>
      <c r="AN643" s="19" t="s">
        <v>10003</v>
      </c>
      <c r="AO643" s="19" t="s">
        <v>494</v>
      </c>
      <c r="AP643" s="19" t="s">
        <v>495</v>
      </c>
      <c r="AQ643" s="19" t="s">
        <v>117</v>
      </c>
      <c r="AR643" s="19" t="s">
        <v>496</v>
      </c>
      <c r="AS643" s="19" t="s">
        <v>497</v>
      </c>
      <c r="AT643" s="19" t="s">
        <v>498</v>
      </c>
      <c r="AU643" s="19" t="s">
        <v>499</v>
      </c>
      <c r="AV643" s="19" t="s">
        <v>168</v>
      </c>
      <c r="AW643" s="19" t="s">
        <v>500</v>
      </c>
      <c r="AX643" s="19" t="s">
        <v>262</v>
      </c>
      <c r="AY643" s="19" t="s">
        <v>501</v>
      </c>
      <c r="AZ643" s="19" t="s">
        <v>502</v>
      </c>
      <c r="BA643" s="20">
        <v>45832</v>
      </c>
      <c r="BB643" s="19" t="s">
        <v>331</v>
      </c>
      <c r="BC643" s="19" t="s">
        <v>10004</v>
      </c>
      <c r="BD643" s="19" t="s">
        <v>3637</v>
      </c>
      <c r="BE643" s="19" t="s">
        <v>130</v>
      </c>
      <c r="BF643" s="19" t="s">
        <v>10005</v>
      </c>
      <c r="BG643" s="19"/>
      <c r="BH643" s="19" t="s">
        <v>10006</v>
      </c>
      <c r="BI643" s="19" t="s">
        <v>10006</v>
      </c>
      <c r="BJ643" s="19" t="s">
        <v>166</v>
      </c>
      <c r="BK643" s="19" t="s">
        <v>167</v>
      </c>
      <c r="BL643" s="19" t="s">
        <v>168</v>
      </c>
      <c r="BM643" s="19" t="s">
        <v>169</v>
      </c>
      <c r="BN643" s="21">
        <v>0</v>
      </c>
      <c r="BO643" s="21">
        <v>0</v>
      </c>
      <c r="BQ643" s="2"/>
      <c r="BR643" s="2"/>
      <c r="BS643" s="2"/>
      <c r="BT643" s="2"/>
      <c r="BU643" s="22"/>
      <c r="BV643" s="2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</row>
    <row r="644" spans="1:95" x14ac:dyDescent="0.25">
      <c r="A644" s="18">
        <v>641</v>
      </c>
      <c r="B644" s="19" t="s">
        <v>10007</v>
      </c>
      <c r="C644" s="19" t="s">
        <v>10008</v>
      </c>
      <c r="D644" s="20">
        <v>46000</v>
      </c>
      <c r="E644" s="20">
        <v>32071</v>
      </c>
      <c r="F644" s="19" t="s">
        <v>10009</v>
      </c>
      <c r="G644" s="19" t="s">
        <v>139</v>
      </c>
      <c r="H644" s="19" t="s">
        <v>94</v>
      </c>
      <c r="I644" s="19"/>
      <c r="J644" s="19"/>
      <c r="K644" s="19"/>
      <c r="L644" s="19" t="s">
        <v>140</v>
      </c>
      <c r="M644" s="19" t="s">
        <v>141</v>
      </c>
      <c r="N644" s="19" t="s">
        <v>10010</v>
      </c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 t="s">
        <v>101</v>
      </c>
      <c r="Z644" s="19" t="s">
        <v>102</v>
      </c>
      <c r="AA644" s="19" t="s">
        <v>103</v>
      </c>
      <c r="AB644" s="19" t="s">
        <v>702</v>
      </c>
      <c r="AC644" s="19" t="s">
        <v>703</v>
      </c>
      <c r="AD644" s="19" t="s">
        <v>10011</v>
      </c>
      <c r="AE644" s="19" t="s">
        <v>10012</v>
      </c>
      <c r="AF644" s="19" t="s">
        <v>10013</v>
      </c>
      <c r="AG644" s="19" t="s">
        <v>219</v>
      </c>
      <c r="AH644" s="19" t="s">
        <v>124</v>
      </c>
      <c r="AI644" s="19" t="s">
        <v>111</v>
      </c>
      <c r="AJ644" s="19" t="s">
        <v>10014</v>
      </c>
      <c r="AK644" s="19"/>
      <c r="AL644" s="19"/>
      <c r="AM644" s="19" t="s">
        <v>10015</v>
      </c>
      <c r="AN644" s="19" t="s">
        <v>10016</v>
      </c>
      <c r="AO644" s="19" t="s">
        <v>476</v>
      </c>
      <c r="AP644" s="19" t="s">
        <v>477</v>
      </c>
      <c r="AQ644" s="19" t="s">
        <v>117</v>
      </c>
      <c r="AR644" s="19" t="s">
        <v>478</v>
      </c>
      <c r="AS644" s="19"/>
      <c r="AT644" s="19"/>
      <c r="AU644" s="19"/>
      <c r="AV644" s="19"/>
      <c r="AW644" s="19"/>
      <c r="AX644" s="19"/>
      <c r="AY644" s="19"/>
      <c r="AZ644" s="19"/>
      <c r="BA644" s="20">
        <v>44452</v>
      </c>
      <c r="BB644" s="19" t="s">
        <v>444</v>
      </c>
      <c r="BC644" s="19" t="s">
        <v>10017</v>
      </c>
      <c r="BD644" s="19" t="s">
        <v>219</v>
      </c>
      <c r="BE644" s="19" t="s">
        <v>130</v>
      </c>
      <c r="BF644" s="19" t="s">
        <v>10018</v>
      </c>
      <c r="BG644" s="19"/>
      <c r="BH644" s="19" t="s">
        <v>10019</v>
      </c>
      <c r="BI644" s="19" t="s">
        <v>10019</v>
      </c>
      <c r="BJ644" s="19" t="s">
        <v>166</v>
      </c>
      <c r="BK644" s="19" t="s">
        <v>167</v>
      </c>
      <c r="BL644" s="19" t="s">
        <v>168</v>
      </c>
      <c r="BM644" s="19" t="s">
        <v>169</v>
      </c>
      <c r="BN644" s="21">
        <v>3397.2849999999999</v>
      </c>
      <c r="BO644" s="21">
        <v>100421.026772</v>
      </c>
      <c r="BQ644" s="2"/>
      <c r="BR644" s="2"/>
      <c r="BS644" s="2"/>
      <c r="BT644" s="2"/>
      <c r="BU644" s="22"/>
      <c r="BV644" s="2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</row>
    <row r="645" spans="1:95" x14ac:dyDescent="0.25">
      <c r="A645" s="18">
        <v>642</v>
      </c>
      <c r="B645" s="19" t="s">
        <v>10020</v>
      </c>
      <c r="C645" s="19" t="s">
        <v>10021</v>
      </c>
      <c r="D645" s="20">
        <v>45996</v>
      </c>
      <c r="E645" s="20">
        <v>31314</v>
      </c>
      <c r="F645" s="19"/>
      <c r="G645" s="19"/>
      <c r="H645" s="19" t="s">
        <v>94</v>
      </c>
      <c r="I645" s="19"/>
      <c r="J645" s="19"/>
      <c r="K645" s="19"/>
      <c r="L645" s="19" t="s">
        <v>244</v>
      </c>
      <c r="M645" s="19" t="s">
        <v>245</v>
      </c>
      <c r="N645" s="19" t="s">
        <v>10022</v>
      </c>
      <c r="O645" s="19" t="s">
        <v>100</v>
      </c>
      <c r="P645" s="19"/>
      <c r="Q645" s="19"/>
      <c r="R645" s="19"/>
      <c r="S645" s="19"/>
      <c r="T645" s="19"/>
      <c r="U645" s="19"/>
      <c r="V645" s="19"/>
      <c r="W645" s="19"/>
      <c r="X645" s="19"/>
      <c r="Y645" s="19" t="s">
        <v>101</v>
      </c>
      <c r="Z645" s="19" t="s">
        <v>102</v>
      </c>
      <c r="AA645" s="19" t="s">
        <v>103</v>
      </c>
      <c r="AB645" s="19" t="s">
        <v>1940</v>
      </c>
      <c r="AC645" s="19" t="s">
        <v>1941</v>
      </c>
      <c r="AD645" s="19" t="s">
        <v>10023</v>
      </c>
      <c r="AE645" s="19" t="s">
        <v>10024</v>
      </c>
      <c r="AF645" s="19"/>
      <c r="AG645" s="19" t="s">
        <v>122</v>
      </c>
      <c r="AH645" s="19" t="s">
        <v>124</v>
      </c>
      <c r="AI645" s="19" t="s">
        <v>111</v>
      </c>
      <c r="AJ645" s="19" t="s">
        <v>6673</v>
      </c>
      <c r="AK645" s="19"/>
      <c r="AL645" s="19"/>
      <c r="AM645" s="19" t="s">
        <v>10025</v>
      </c>
      <c r="AN645" s="19" t="s">
        <v>10026</v>
      </c>
      <c r="AO645" s="19" t="s">
        <v>10027</v>
      </c>
      <c r="AP645" s="19" t="s">
        <v>10028</v>
      </c>
      <c r="AQ645" s="19" t="s">
        <v>117</v>
      </c>
      <c r="AR645" s="19" t="s">
        <v>10029</v>
      </c>
      <c r="AS645" s="19" t="s">
        <v>10030</v>
      </c>
      <c r="AT645" s="19" t="s">
        <v>10031</v>
      </c>
      <c r="AU645" s="19" t="s">
        <v>1955</v>
      </c>
      <c r="AV645" s="19" t="s">
        <v>1955</v>
      </c>
      <c r="AW645" s="19" t="s">
        <v>10032</v>
      </c>
      <c r="AX645" s="19" t="s">
        <v>901</v>
      </c>
      <c r="AY645" s="19" t="s">
        <v>10033</v>
      </c>
      <c r="AZ645" s="19" t="s">
        <v>10034</v>
      </c>
      <c r="BA645" s="20">
        <v>45860</v>
      </c>
      <c r="BB645" s="19" t="s">
        <v>444</v>
      </c>
      <c r="BC645" s="19" t="s">
        <v>3371</v>
      </c>
      <c r="BD645" s="19" t="s">
        <v>219</v>
      </c>
      <c r="BE645" s="19" t="s">
        <v>130</v>
      </c>
      <c r="BF645" s="19" t="s">
        <v>10035</v>
      </c>
      <c r="BG645" s="19" t="s">
        <v>10036</v>
      </c>
      <c r="BH645" s="19" t="s">
        <v>3373</v>
      </c>
      <c r="BI645" s="19" t="s">
        <v>3373</v>
      </c>
      <c r="BJ645" s="19" t="s">
        <v>1259</v>
      </c>
      <c r="BK645" s="19" t="s">
        <v>221</v>
      </c>
      <c r="BL645" s="19" t="s">
        <v>222</v>
      </c>
      <c r="BM645" s="19" t="s">
        <v>169</v>
      </c>
      <c r="BN645" s="21">
        <v>4.4450000000000003</v>
      </c>
      <c r="BO645" s="21">
        <v>3006.3072969999998</v>
      </c>
      <c r="BQ645" s="2"/>
      <c r="BR645" s="2"/>
      <c r="BS645" s="2"/>
      <c r="BT645" s="2"/>
      <c r="BU645" s="22"/>
      <c r="BV645" s="2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</row>
    <row r="646" spans="1:95" x14ac:dyDescent="0.25">
      <c r="A646" s="18">
        <v>643</v>
      </c>
      <c r="B646" s="19" t="s">
        <v>10037</v>
      </c>
      <c r="C646" s="19" t="s">
        <v>10038</v>
      </c>
      <c r="D646" s="20">
        <v>46012</v>
      </c>
      <c r="E646" s="20">
        <v>29627</v>
      </c>
      <c r="F646" s="19" t="s">
        <v>10039</v>
      </c>
      <c r="G646" s="19" t="s">
        <v>139</v>
      </c>
      <c r="H646" s="19" t="s">
        <v>94</v>
      </c>
      <c r="I646" s="19"/>
      <c r="J646" s="19"/>
      <c r="K646" s="19"/>
      <c r="L646" s="19" t="s">
        <v>244</v>
      </c>
      <c r="M646" s="19" t="s">
        <v>245</v>
      </c>
      <c r="N646" s="19" t="s">
        <v>10040</v>
      </c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 t="s">
        <v>101</v>
      </c>
      <c r="Z646" s="19" t="s">
        <v>102</v>
      </c>
      <c r="AA646" s="19" t="s">
        <v>103</v>
      </c>
      <c r="AB646" s="19" t="s">
        <v>247</v>
      </c>
      <c r="AC646" s="19" t="s">
        <v>248</v>
      </c>
      <c r="AD646" s="19" t="s">
        <v>10041</v>
      </c>
      <c r="AE646" s="19" t="s">
        <v>10042</v>
      </c>
      <c r="AF646" s="19" t="s">
        <v>10043</v>
      </c>
      <c r="AG646" s="19" t="s">
        <v>5157</v>
      </c>
      <c r="AH646" s="19" t="s">
        <v>124</v>
      </c>
      <c r="AI646" s="19"/>
      <c r="AJ646" s="19" t="s">
        <v>10044</v>
      </c>
      <c r="AK646" s="19"/>
      <c r="AL646" s="19"/>
      <c r="AM646" s="19" t="s">
        <v>10045</v>
      </c>
      <c r="AN646" s="19" t="s">
        <v>10046</v>
      </c>
      <c r="AO646" s="19" t="s">
        <v>255</v>
      </c>
      <c r="AP646" s="19" t="s">
        <v>256</v>
      </c>
      <c r="AQ646" s="19" t="s">
        <v>117</v>
      </c>
      <c r="AR646" s="19" t="s">
        <v>257</v>
      </c>
      <c r="AS646" s="19" t="s">
        <v>258</v>
      </c>
      <c r="AT646" s="19" t="s">
        <v>259</v>
      </c>
      <c r="AU646" s="19" t="s">
        <v>260</v>
      </c>
      <c r="AV646" s="19" t="s">
        <v>260</v>
      </c>
      <c r="AW646" s="19" t="s">
        <v>261</v>
      </c>
      <c r="AX646" s="19" t="s">
        <v>262</v>
      </c>
      <c r="AY646" s="19" t="s">
        <v>263</v>
      </c>
      <c r="AZ646" s="19" t="s">
        <v>264</v>
      </c>
      <c r="BA646" s="20">
        <v>43627</v>
      </c>
      <c r="BB646" s="19" t="s">
        <v>349</v>
      </c>
      <c r="BC646" s="19" t="s">
        <v>10047</v>
      </c>
      <c r="BD646" s="19" t="s">
        <v>277</v>
      </c>
      <c r="BE646" s="19" t="s">
        <v>130</v>
      </c>
      <c r="BF646" s="19" t="s">
        <v>10048</v>
      </c>
      <c r="BG646" s="19"/>
      <c r="BH646" s="19" t="s">
        <v>10049</v>
      </c>
      <c r="BI646" s="19" t="s">
        <v>10049</v>
      </c>
      <c r="BJ646" s="19" t="s">
        <v>166</v>
      </c>
      <c r="BK646" s="19" t="s">
        <v>167</v>
      </c>
      <c r="BL646" s="19" t="s">
        <v>168</v>
      </c>
      <c r="BM646" s="19" t="s">
        <v>169</v>
      </c>
      <c r="BN646" s="21">
        <v>1.1419999999999999</v>
      </c>
      <c r="BO646" s="21">
        <v>500.78116080000001</v>
      </c>
      <c r="BQ646" s="2"/>
      <c r="BR646" s="2"/>
      <c r="BS646" s="2"/>
      <c r="BT646" s="2"/>
      <c r="BU646" s="22"/>
      <c r="BV646" s="2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</row>
    <row r="647" spans="1:95" x14ac:dyDescent="0.25">
      <c r="A647" s="18">
        <v>644</v>
      </c>
      <c r="B647" s="19" t="s">
        <v>10050</v>
      </c>
      <c r="C647" s="19" t="s">
        <v>10051</v>
      </c>
      <c r="D647" s="20">
        <v>46002</v>
      </c>
      <c r="E647" s="20">
        <v>33729</v>
      </c>
      <c r="F647" s="19"/>
      <c r="G647" s="19"/>
      <c r="H647" s="19" t="s">
        <v>94</v>
      </c>
      <c r="I647" s="19"/>
      <c r="J647" s="19"/>
      <c r="K647" s="19"/>
      <c r="L647" s="19" t="s">
        <v>467</v>
      </c>
      <c r="M647" s="19" t="s">
        <v>468</v>
      </c>
      <c r="N647" s="19" t="s">
        <v>10052</v>
      </c>
      <c r="O647" s="19" t="s">
        <v>100</v>
      </c>
      <c r="P647" s="19"/>
      <c r="Q647" s="19"/>
      <c r="R647" s="19"/>
      <c r="S647" s="19"/>
      <c r="T647" s="19"/>
      <c r="U647" s="19"/>
      <c r="V647" s="19"/>
      <c r="W647" s="19"/>
      <c r="X647" s="19"/>
      <c r="Y647" s="19" t="s">
        <v>101</v>
      </c>
      <c r="Z647" s="19" t="s">
        <v>102</v>
      </c>
      <c r="AA647" s="19" t="s">
        <v>103</v>
      </c>
      <c r="AB647" s="19" t="s">
        <v>173</v>
      </c>
      <c r="AC647" s="19" t="s">
        <v>174</v>
      </c>
      <c r="AD647" s="19" t="s">
        <v>10053</v>
      </c>
      <c r="AE647" s="19" t="s">
        <v>10054</v>
      </c>
      <c r="AF647" s="19" t="s">
        <v>10055</v>
      </c>
      <c r="AG647" s="19" t="s">
        <v>10056</v>
      </c>
      <c r="AH647" s="19" t="s">
        <v>110</v>
      </c>
      <c r="AI647" s="19" t="s">
        <v>111</v>
      </c>
      <c r="AJ647" s="19" t="s">
        <v>10057</v>
      </c>
      <c r="AK647" s="19"/>
      <c r="AL647" s="19"/>
      <c r="AM647" s="19" t="s">
        <v>10058</v>
      </c>
      <c r="AN647" s="19" t="s">
        <v>10059</v>
      </c>
      <c r="AO647" s="19" t="s">
        <v>2797</v>
      </c>
      <c r="AP647" s="19" t="s">
        <v>1034</v>
      </c>
      <c r="AQ647" s="19" t="s">
        <v>94</v>
      </c>
      <c r="AR647" s="19" t="s">
        <v>1035</v>
      </c>
      <c r="AS647" s="19" t="s">
        <v>2798</v>
      </c>
      <c r="AT647" s="19" t="s">
        <v>2799</v>
      </c>
      <c r="AU647" s="19" t="s">
        <v>2800</v>
      </c>
      <c r="AV647" s="19" t="s">
        <v>2800</v>
      </c>
      <c r="AW647" s="19" t="s">
        <v>1755</v>
      </c>
      <c r="AX647" s="19" t="s">
        <v>188</v>
      </c>
      <c r="AY647" s="19" t="s">
        <v>2801</v>
      </c>
      <c r="AZ647" s="19" t="s">
        <v>2802</v>
      </c>
      <c r="BA647" s="20">
        <v>45467</v>
      </c>
      <c r="BB647" s="19" t="s">
        <v>444</v>
      </c>
      <c r="BC647" s="19" t="s">
        <v>10060</v>
      </c>
      <c r="BD647" s="19" t="s">
        <v>129</v>
      </c>
      <c r="BE647" s="19" t="s">
        <v>130</v>
      </c>
      <c r="BF647" s="19" t="s">
        <v>10061</v>
      </c>
      <c r="BG647" s="19"/>
      <c r="BH647" s="19" t="s">
        <v>10062</v>
      </c>
      <c r="BI647" s="19" t="s">
        <v>10062</v>
      </c>
      <c r="BJ647" s="19" t="s">
        <v>194</v>
      </c>
      <c r="BK647" s="19" t="s">
        <v>1043</v>
      </c>
      <c r="BL647" s="19" t="s">
        <v>1044</v>
      </c>
      <c r="BM647" s="19" t="s">
        <v>1045</v>
      </c>
      <c r="BN647" s="21">
        <v>34.237000000000002</v>
      </c>
      <c r="BO647" s="21">
        <v>1212.8183354</v>
      </c>
      <c r="BQ647" s="2"/>
      <c r="BR647" s="2"/>
      <c r="BS647" s="2"/>
      <c r="BT647" s="2"/>
      <c r="BU647" s="22"/>
      <c r="BV647" s="2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</row>
    <row r="648" spans="1:95" x14ac:dyDescent="0.25">
      <c r="A648" s="18">
        <v>645</v>
      </c>
      <c r="B648" s="19" t="s">
        <v>10063</v>
      </c>
      <c r="C648" s="19" t="s">
        <v>10064</v>
      </c>
      <c r="D648" s="20">
        <v>46002</v>
      </c>
      <c r="E648" s="20">
        <v>36681</v>
      </c>
      <c r="F648" s="19"/>
      <c r="G648" s="19"/>
      <c r="H648" s="19" t="s">
        <v>94</v>
      </c>
      <c r="I648" s="19"/>
      <c r="J648" s="19"/>
      <c r="K648" s="19"/>
      <c r="L648" s="19" t="s">
        <v>244</v>
      </c>
      <c r="M648" s="19" t="s">
        <v>245</v>
      </c>
      <c r="N648" s="19" t="s">
        <v>10065</v>
      </c>
      <c r="O648" s="19" t="s">
        <v>100</v>
      </c>
      <c r="P648" s="19"/>
      <c r="Q648" s="19"/>
      <c r="R648" s="19"/>
      <c r="S648" s="19"/>
      <c r="T648" s="19"/>
      <c r="U648" s="19"/>
      <c r="V648" s="19"/>
      <c r="W648" s="19"/>
      <c r="X648" s="19"/>
      <c r="Y648" s="19" t="s">
        <v>101</v>
      </c>
      <c r="Z648" s="19" t="s">
        <v>102</v>
      </c>
      <c r="AA648" s="19" t="s">
        <v>103</v>
      </c>
      <c r="AB648" s="19" t="s">
        <v>850</v>
      </c>
      <c r="AC648" s="19" t="s">
        <v>851</v>
      </c>
      <c r="AD648" s="19" t="s">
        <v>10066</v>
      </c>
      <c r="AE648" s="19" t="s">
        <v>10067</v>
      </c>
      <c r="AF648" s="19" t="s">
        <v>10068</v>
      </c>
      <c r="AG648" s="19" t="s">
        <v>6188</v>
      </c>
      <c r="AH648" s="19" t="s">
        <v>327</v>
      </c>
      <c r="AI648" s="19" t="s">
        <v>111</v>
      </c>
      <c r="AJ648" s="19" t="s">
        <v>10069</v>
      </c>
      <c r="AK648" s="19"/>
      <c r="AL648" s="19"/>
      <c r="AM648" s="19" t="s">
        <v>10070</v>
      </c>
      <c r="AN648" s="19" t="s">
        <v>10071</v>
      </c>
      <c r="AO648" s="19" t="s">
        <v>10072</v>
      </c>
      <c r="AP648" s="19" t="s">
        <v>10073</v>
      </c>
      <c r="AQ648" s="19" t="s">
        <v>117</v>
      </c>
      <c r="AR648" s="19" t="s">
        <v>10074</v>
      </c>
      <c r="AS648" s="19" t="s">
        <v>10075</v>
      </c>
      <c r="AT648" s="19" t="s">
        <v>10076</v>
      </c>
      <c r="AU648" s="19" t="s">
        <v>10077</v>
      </c>
      <c r="AV648" s="19" t="s">
        <v>219</v>
      </c>
      <c r="AW648" s="19" t="s">
        <v>1212</v>
      </c>
      <c r="AX648" s="19" t="s">
        <v>124</v>
      </c>
      <c r="AY648" s="19" t="s">
        <v>10078</v>
      </c>
      <c r="AZ648" s="19" t="s">
        <v>10079</v>
      </c>
      <c r="BA648" s="20">
        <v>42535</v>
      </c>
      <c r="BB648" s="19" t="s">
        <v>331</v>
      </c>
      <c r="BC648" s="19" t="s">
        <v>10080</v>
      </c>
      <c r="BD648" s="19" t="s">
        <v>6188</v>
      </c>
      <c r="BE648" s="19" t="s">
        <v>130</v>
      </c>
      <c r="BF648" s="19" t="s">
        <v>10081</v>
      </c>
      <c r="BG648" s="19"/>
      <c r="BH648" s="19" t="s">
        <v>10082</v>
      </c>
      <c r="BI648" s="19" t="s">
        <v>10082</v>
      </c>
      <c r="BJ648" s="19" t="s">
        <v>194</v>
      </c>
      <c r="BK648" s="19" t="s">
        <v>591</v>
      </c>
      <c r="BL648" s="19" t="s">
        <v>122</v>
      </c>
      <c r="BM648" s="19" t="s">
        <v>592</v>
      </c>
      <c r="BN648" s="21">
        <v>18.311</v>
      </c>
      <c r="BO648" s="21">
        <v>2014.0268900000001</v>
      </c>
      <c r="BQ648" s="2"/>
      <c r="BR648" s="2"/>
      <c r="BS648" s="2"/>
      <c r="BT648" s="2"/>
      <c r="BU648" s="22"/>
      <c r="BV648" s="2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</row>
    <row r="649" spans="1:95" x14ac:dyDescent="0.25">
      <c r="A649" s="18">
        <v>646</v>
      </c>
      <c r="B649" s="19" t="s">
        <v>10083</v>
      </c>
      <c r="C649" s="19" t="s">
        <v>10084</v>
      </c>
      <c r="D649" s="20">
        <v>46020</v>
      </c>
      <c r="E649" s="20">
        <v>13275</v>
      </c>
      <c r="F649" s="19"/>
      <c r="G649" s="19"/>
      <c r="H649" s="19" t="s">
        <v>94</v>
      </c>
      <c r="I649" s="19"/>
      <c r="J649" s="19"/>
      <c r="K649" s="19"/>
      <c r="L649" s="19" t="s">
        <v>1150</v>
      </c>
      <c r="M649" s="19" t="s">
        <v>688</v>
      </c>
      <c r="N649" s="19" t="s">
        <v>10085</v>
      </c>
      <c r="O649" s="19" t="s">
        <v>100</v>
      </c>
      <c r="P649" s="19"/>
      <c r="Q649" s="19"/>
      <c r="R649" s="19"/>
      <c r="S649" s="19"/>
      <c r="T649" s="19"/>
      <c r="U649" s="19"/>
      <c r="V649" s="19"/>
      <c r="W649" s="19"/>
      <c r="X649" s="19"/>
      <c r="Y649" s="19" t="s">
        <v>101</v>
      </c>
      <c r="Z649" s="19" t="s">
        <v>102</v>
      </c>
      <c r="AA649" s="19" t="s">
        <v>103</v>
      </c>
      <c r="AB649" s="19" t="s">
        <v>10086</v>
      </c>
      <c r="AC649" s="19" t="s">
        <v>10087</v>
      </c>
      <c r="AD649" s="19" t="s">
        <v>10088</v>
      </c>
      <c r="AE649" s="19" t="s">
        <v>10089</v>
      </c>
      <c r="AF649" s="19"/>
      <c r="AG649" s="19" t="s">
        <v>219</v>
      </c>
      <c r="AH649" s="19" t="s">
        <v>124</v>
      </c>
      <c r="AI649" s="19" t="s">
        <v>111</v>
      </c>
      <c r="AJ649" s="19" t="s">
        <v>778</v>
      </c>
      <c r="AK649" s="19"/>
      <c r="AL649" s="19"/>
      <c r="AM649" s="19" t="s">
        <v>10090</v>
      </c>
      <c r="AN649" s="19" t="s">
        <v>10091</v>
      </c>
      <c r="AO649" s="19" t="s">
        <v>10092</v>
      </c>
      <c r="AP649" s="19" t="s">
        <v>10093</v>
      </c>
      <c r="AQ649" s="19" t="s">
        <v>117</v>
      </c>
      <c r="AR649" s="19" t="s">
        <v>10094</v>
      </c>
      <c r="AS649" s="19" t="s">
        <v>10095</v>
      </c>
      <c r="AT649" s="19" t="s">
        <v>10096</v>
      </c>
      <c r="AU649" s="19"/>
      <c r="AV649" s="19" t="s">
        <v>219</v>
      </c>
      <c r="AW649" s="19" t="s">
        <v>10097</v>
      </c>
      <c r="AX649" s="19" t="s">
        <v>124</v>
      </c>
      <c r="AY649" s="19" t="s">
        <v>10098</v>
      </c>
      <c r="AZ649" s="19" t="s">
        <v>10099</v>
      </c>
      <c r="BA649" s="20">
        <v>39763</v>
      </c>
      <c r="BB649" s="19" t="s">
        <v>331</v>
      </c>
      <c r="BC649" s="19" t="s">
        <v>10100</v>
      </c>
      <c r="BD649" s="19" t="s">
        <v>219</v>
      </c>
      <c r="BE649" s="19" t="s">
        <v>130</v>
      </c>
      <c r="BF649" s="19" t="s">
        <v>10101</v>
      </c>
      <c r="BG649" s="19" t="s">
        <v>10102</v>
      </c>
      <c r="BH649" s="19" t="s">
        <v>10103</v>
      </c>
      <c r="BI649" s="19" t="s">
        <v>10103</v>
      </c>
      <c r="BJ649" s="19" t="s">
        <v>10104</v>
      </c>
      <c r="BK649" s="19" t="s">
        <v>10105</v>
      </c>
      <c r="BL649" s="19" t="s">
        <v>122</v>
      </c>
      <c r="BM649" s="19" t="s">
        <v>196</v>
      </c>
      <c r="BN649" s="21">
        <v>0</v>
      </c>
      <c r="BO649" s="21">
        <v>0</v>
      </c>
      <c r="BQ649" s="2"/>
      <c r="BR649" s="2"/>
      <c r="BS649" s="2"/>
      <c r="BT649" s="2"/>
      <c r="BU649" s="22"/>
      <c r="BV649" s="2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</row>
    <row r="650" spans="1:95" x14ac:dyDescent="0.25">
      <c r="A650" s="18">
        <v>647</v>
      </c>
      <c r="B650" s="19" t="s">
        <v>10106</v>
      </c>
      <c r="C650" s="19" t="s">
        <v>10107</v>
      </c>
      <c r="D650" s="20">
        <v>46003</v>
      </c>
      <c r="E650" s="20">
        <v>35005</v>
      </c>
      <c r="F650" s="19"/>
      <c r="G650" s="19"/>
      <c r="H650" s="19" t="s">
        <v>94</v>
      </c>
      <c r="I650" s="19"/>
      <c r="J650" s="19"/>
      <c r="K650" s="19"/>
      <c r="L650" s="19" t="s">
        <v>140</v>
      </c>
      <c r="M650" s="19" t="s">
        <v>141</v>
      </c>
      <c r="N650" s="19" t="s">
        <v>10108</v>
      </c>
      <c r="O650" s="19" t="s">
        <v>100</v>
      </c>
      <c r="P650" s="19"/>
      <c r="Q650" s="19"/>
      <c r="R650" s="19"/>
      <c r="S650" s="19"/>
      <c r="T650" s="19"/>
      <c r="U650" s="19"/>
      <c r="V650" s="19"/>
      <c r="W650" s="19"/>
      <c r="X650" s="19"/>
      <c r="Y650" s="19" t="s">
        <v>101</v>
      </c>
      <c r="Z650" s="19" t="s">
        <v>102</v>
      </c>
      <c r="AA650" s="19" t="s">
        <v>103</v>
      </c>
      <c r="AB650" s="19" t="s">
        <v>1025</v>
      </c>
      <c r="AC650" s="19" t="s">
        <v>1026</v>
      </c>
      <c r="AD650" s="19" t="s">
        <v>10109</v>
      </c>
      <c r="AE650" s="19" t="s">
        <v>10110</v>
      </c>
      <c r="AF650" s="19"/>
      <c r="AG650" s="19" t="s">
        <v>10111</v>
      </c>
      <c r="AH650" s="19" t="s">
        <v>515</v>
      </c>
      <c r="AI650" s="19" t="s">
        <v>111</v>
      </c>
      <c r="AJ650" s="19" t="s">
        <v>10112</v>
      </c>
      <c r="AK650" s="19"/>
      <c r="AL650" s="19"/>
      <c r="AM650" s="19" t="s">
        <v>10113</v>
      </c>
      <c r="AN650" s="19" t="s">
        <v>10114</v>
      </c>
      <c r="AO650" s="19" t="s">
        <v>1729</v>
      </c>
      <c r="AP650" s="19" t="s">
        <v>1730</v>
      </c>
      <c r="AQ650" s="19" t="s">
        <v>117</v>
      </c>
      <c r="AR650" s="19" t="s">
        <v>1731</v>
      </c>
      <c r="AS650" s="19" t="s">
        <v>1732</v>
      </c>
      <c r="AT650" s="19" t="s">
        <v>1733</v>
      </c>
      <c r="AU650" s="19" t="s">
        <v>168</v>
      </c>
      <c r="AV650" s="19" t="s">
        <v>168</v>
      </c>
      <c r="AW650" s="19" t="s">
        <v>1734</v>
      </c>
      <c r="AX650" s="19" t="s">
        <v>262</v>
      </c>
      <c r="AY650" s="19" t="s">
        <v>1735</v>
      </c>
      <c r="AZ650" s="19" t="s">
        <v>1736</v>
      </c>
      <c r="BA650" s="20">
        <v>42224</v>
      </c>
      <c r="BB650" s="19" t="s">
        <v>1796</v>
      </c>
      <c r="BC650" s="19" t="s">
        <v>10115</v>
      </c>
      <c r="BD650" s="19" t="s">
        <v>10116</v>
      </c>
      <c r="BE650" s="19" t="s">
        <v>130</v>
      </c>
      <c r="BF650" s="19" t="s">
        <v>10117</v>
      </c>
      <c r="BG650" s="19"/>
      <c r="BH650" s="19" t="s">
        <v>10118</v>
      </c>
      <c r="BI650" s="19" t="s">
        <v>10118</v>
      </c>
      <c r="BJ650" s="19" t="s">
        <v>194</v>
      </c>
      <c r="BK650" s="19" t="s">
        <v>591</v>
      </c>
      <c r="BL650" s="19" t="s">
        <v>122</v>
      </c>
      <c r="BM650" s="19" t="s">
        <v>592</v>
      </c>
      <c r="BN650" s="21">
        <v>33.878</v>
      </c>
      <c r="BO650" s="21">
        <v>1178.4394543999999</v>
      </c>
      <c r="BQ650" s="2"/>
      <c r="BR650" s="2"/>
      <c r="BS650" s="2"/>
      <c r="BT650" s="2"/>
      <c r="BU650" s="22"/>
      <c r="BV650" s="2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</row>
    <row r="651" spans="1:95" x14ac:dyDescent="0.25">
      <c r="A651" s="18">
        <v>648</v>
      </c>
      <c r="B651" s="19" t="s">
        <v>10119</v>
      </c>
      <c r="C651" s="19" t="s">
        <v>10120</v>
      </c>
      <c r="D651" s="20">
        <v>46007</v>
      </c>
      <c r="E651" s="20">
        <v>29291</v>
      </c>
      <c r="F651" s="19"/>
      <c r="G651" s="19"/>
      <c r="H651" s="19" t="s">
        <v>94</v>
      </c>
      <c r="I651" s="19"/>
      <c r="J651" s="19" t="s">
        <v>95</v>
      </c>
      <c r="K651" s="19" t="s">
        <v>96</v>
      </c>
      <c r="L651" s="19" t="s">
        <v>97</v>
      </c>
      <c r="M651" s="19" t="s">
        <v>98</v>
      </c>
      <c r="N651" s="19" t="s">
        <v>10121</v>
      </c>
      <c r="O651" s="19" t="s">
        <v>100</v>
      </c>
      <c r="P651" s="19"/>
      <c r="Q651" s="19"/>
      <c r="R651" s="19"/>
      <c r="S651" s="19"/>
      <c r="T651" s="19"/>
      <c r="U651" s="19"/>
      <c r="V651" s="19"/>
      <c r="W651" s="19"/>
      <c r="X651" s="19"/>
      <c r="Y651" s="19" t="s">
        <v>101</v>
      </c>
      <c r="Z651" s="19" t="s">
        <v>102</v>
      </c>
      <c r="AA651" s="19" t="s">
        <v>103</v>
      </c>
      <c r="AB651" s="19" t="s">
        <v>1372</v>
      </c>
      <c r="AC651" s="19" t="s">
        <v>1373</v>
      </c>
      <c r="AD651" s="19" t="s">
        <v>10122</v>
      </c>
      <c r="AE651" s="19" t="s">
        <v>10123</v>
      </c>
      <c r="AF651" s="19" t="s">
        <v>10124</v>
      </c>
      <c r="AG651" s="19" t="s">
        <v>616</v>
      </c>
      <c r="AH651" s="19" t="s">
        <v>124</v>
      </c>
      <c r="AI651" s="19" t="s">
        <v>111</v>
      </c>
      <c r="AJ651" s="19" t="s">
        <v>5080</v>
      </c>
      <c r="AK651" s="19"/>
      <c r="AL651" s="19"/>
      <c r="AM651" s="19" t="s">
        <v>10125</v>
      </c>
      <c r="AN651" s="19" t="s">
        <v>10126</v>
      </c>
      <c r="AO651" s="19" t="s">
        <v>10127</v>
      </c>
      <c r="AP651" s="19" t="s">
        <v>10128</v>
      </c>
      <c r="AQ651" s="19" t="s">
        <v>117</v>
      </c>
      <c r="AR651" s="19" t="s">
        <v>10129</v>
      </c>
      <c r="AS651" s="19" t="s">
        <v>10130</v>
      </c>
      <c r="AT651" s="19" t="s">
        <v>10131</v>
      </c>
      <c r="AU651" s="19" t="s">
        <v>10132</v>
      </c>
      <c r="AV651" s="19" t="s">
        <v>122</v>
      </c>
      <c r="AW651" s="19" t="s">
        <v>10133</v>
      </c>
      <c r="AX651" s="19" t="s">
        <v>124</v>
      </c>
      <c r="AY651" s="19" t="s">
        <v>10134</v>
      </c>
      <c r="AZ651" s="19" t="s">
        <v>10135</v>
      </c>
      <c r="BA651" s="20">
        <v>39891</v>
      </c>
      <c r="BB651" s="19" t="s">
        <v>331</v>
      </c>
      <c r="BC651" s="19" t="s">
        <v>5689</v>
      </c>
      <c r="BD651" s="19" t="s">
        <v>219</v>
      </c>
      <c r="BE651" s="19" t="s">
        <v>130</v>
      </c>
      <c r="BF651" s="19" t="s">
        <v>10136</v>
      </c>
      <c r="BG651" s="19" t="s">
        <v>10137</v>
      </c>
      <c r="BH651" s="19" t="s">
        <v>10138</v>
      </c>
      <c r="BI651" s="19" t="s">
        <v>10138</v>
      </c>
      <c r="BJ651" s="19" t="s">
        <v>166</v>
      </c>
      <c r="BK651" s="19" t="s">
        <v>10139</v>
      </c>
      <c r="BL651" s="19" t="s">
        <v>122</v>
      </c>
      <c r="BM651" s="19" t="s">
        <v>196</v>
      </c>
      <c r="BN651" s="21">
        <v>7568.6890000000003</v>
      </c>
      <c r="BO651" s="21">
        <v>292894.64065979997</v>
      </c>
      <c r="BQ651" s="2"/>
      <c r="BR651" s="2"/>
      <c r="BS651" s="2"/>
      <c r="BT651" s="2"/>
      <c r="BU651" s="22"/>
      <c r="BV651" s="2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</row>
    <row r="652" spans="1:95" x14ac:dyDescent="0.25">
      <c r="A652" s="18">
        <v>649</v>
      </c>
      <c r="B652" s="19" t="s">
        <v>10140</v>
      </c>
      <c r="C652" s="19" t="s">
        <v>10141</v>
      </c>
      <c r="D652" s="20">
        <v>46008</v>
      </c>
      <c r="E652" s="20">
        <v>36932</v>
      </c>
      <c r="F652" s="19" t="s">
        <v>10142</v>
      </c>
      <c r="G652" s="19" t="s">
        <v>139</v>
      </c>
      <c r="H652" s="19" t="s">
        <v>94</v>
      </c>
      <c r="I652" s="19"/>
      <c r="J652" s="19"/>
      <c r="K652" s="19"/>
      <c r="L652" s="19" t="s">
        <v>244</v>
      </c>
      <c r="M652" s="19" t="s">
        <v>245</v>
      </c>
      <c r="N652" s="19" t="s">
        <v>10143</v>
      </c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 t="s">
        <v>101</v>
      </c>
      <c r="Z652" s="19" t="s">
        <v>102</v>
      </c>
      <c r="AA652" s="19" t="s">
        <v>103</v>
      </c>
      <c r="AB652" s="19" t="s">
        <v>247</v>
      </c>
      <c r="AC652" s="19" t="s">
        <v>248</v>
      </c>
      <c r="AD652" s="19" t="s">
        <v>10144</v>
      </c>
      <c r="AE652" s="19" t="s">
        <v>10145</v>
      </c>
      <c r="AF652" s="19" t="s">
        <v>10146</v>
      </c>
      <c r="AG652" s="19" t="s">
        <v>3919</v>
      </c>
      <c r="AH652" s="19" t="s">
        <v>515</v>
      </c>
      <c r="AI652" s="19"/>
      <c r="AJ652" s="19" t="s">
        <v>10147</v>
      </c>
      <c r="AK652" s="19"/>
      <c r="AL652" s="19"/>
      <c r="AM652" s="19" t="s">
        <v>10148</v>
      </c>
      <c r="AN652" s="19" t="s">
        <v>10149</v>
      </c>
      <c r="AO652" s="19" t="s">
        <v>255</v>
      </c>
      <c r="AP652" s="19" t="s">
        <v>256</v>
      </c>
      <c r="AQ652" s="19" t="s">
        <v>117</v>
      </c>
      <c r="AR652" s="19" t="s">
        <v>257</v>
      </c>
      <c r="AS652" s="19" t="s">
        <v>258</v>
      </c>
      <c r="AT652" s="19" t="s">
        <v>259</v>
      </c>
      <c r="AU652" s="19" t="s">
        <v>260</v>
      </c>
      <c r="AV652" s="19" t="s">
        <v>260</v>
      </c>
      <c r="AW652" s="19" t="s">
        <v>261</v>
      </c>
      <c r="AX652" s="19" t="s">
        <v>262</v>
      </c>
      <c r="AY652" s="19" t="s">
        <v>263</v>
      </c>
      <c r="AZ652" s="19" t="s">
        <v>264</v>
      </c>
      <c r="BA652" s="20">
        <v>43627</v>
      </c>
      <c r="BB652" s="19" t="s">
        <v>331</v>
      </c>
      <c r="BC652" s="19" t="s">
        <v>10150</v>
      </c>
      <c r="BD652" s="19" t="s">
        <v>3919</v>
      </c>
      <c r="BE652" s="19" t="s">
        <v>130</v>
      </c>
      <c r="BF652" s="19" t="s">
        <v>10151</v>
      </c>
      <c r="BG652" s="19"/>
      <c r="BH652" s="19" t="s">
        <v>10152</v>
      </c>
      <c r="BI652" s="19" t="s">
        <v>10152</v>
      </c>
      <c r="BJ652" s="19" t="s">
        <v>166</v>
      </c>
      <c r="BK652" s="19" t="s">
        <v>167</v>
      </c>
      <c r="BL652" s="19" t="s">
        <v>168</v>
      </c>
      <c r="BM652" s="19" t="s">
        <v>169</v>
      </c>
      <c r="BN652" s="21">
        <v>17.145</v>
      </c>
      <c r="BO652" s="21">
        <v>7518.2950979999996</v>
      </c>
      <c r="BQ652" s="2"/>
      <c r="BR652" s="2"/>
      <c r="BS652" s="2"/>
      <c r="BT652" s="2"/>
      <c r="BU652" s="22"/>
      <c r="BV652" s="2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</row>
    <row r="653" spans="1:95" x14ac:dyDescent="0.25">
      <c r="A653" s="18">
        <v>650</v>
      </c>
      <c r="B653" s="19" t="s">
        <v>10153</v>
      </c>
      <c r="C653" s="19" t="s">
        <v>10154</v>
      </c>
      <c r="D653" s="20">
        <v>46009</v>
      </c>
      <c r="E653" s="20">
        <v>34058</v>
      </c>
      <c r="F653" s="19"/>
      <c r="G653" s="19"/>
      <c r="H653" s="19" t="s">
        <v>94</v>
      </c>
      <c r="I653" s="19"/>
      <c r="J653" s="19" t="s">
        <v>287</v>
      </c>
      <c r="K653" s="19" t="s">
        <v>288</v>
      </c>
      <c r="L653" s="19" t="s">
        <v>97</v>
      </c>
      <c r="M653" s="19" t="s">
        <v>98</v>
      </c>
      <c r="N653" s="19" t="s">
        <v>10155</v>
      </c>
      <c r="O653" s="19" t="s">
        <v>100</v>
      </c>
      <c r="P653" s="19"/>
      <c r="Q653" s="19"/>
      <c r="R653" s="19"/>
      <c r="S653" s="19"/>
      <c r="T653" s="19"/>
      <c r="U653" s="19"/>
      <c r="V653" s="19"/>
      <c r="W653" s="19"/>
      <c r="X653" s="19"/>
      <c r="Y653" s="19" t="s">
        <v>101</v>
      </c>
      <c r="Z653" s="19" t="s">
        <v>102</v>
      </c>
      <c r="AA653" s="19" t="s">
        <v>103</v>
      </c>
      <c r="AB653" s="19" t="s">
        <v>402</v>
      </c>
      <c r="AC653" s="19" t="s">
        <v>403</v>
      </c>
      <c r="AD653" s="19" t="s">
        <v>10156</v>
      </c>
      <c r="AE653" s="19"/>
      <c r="AF653" s="19"/>
      <c r="AG653" s="19" t="s">
        <v>559</v>
      </c>
      <c r="AH653" s="19" t="s">
        <v>298</v>
      </c>
      <c r="AI653" s="19" t="s">
        <v>111</v>
      </c>
      <c r="AJ653" s="19" t="s">
        <v>9779</v>
      </c>
      <c r="AK653" s="19"/>
      <c r="AL653" s="19"/>
      <c r="AM653" s="19" t="s">
        <v>10157</v>
      </c>
      <c r="AN653" s="19" t="s">
        <v>10158</v>
      </c>
      <c r="AO653" s="19" t="s">
        <v>10159</v>
      </c>
      <c r="AP653" s="19" t="s">
        <v>10160</v>
      </c>
      <c r="AQ653" s="19" t="s">
        <v>117</v>
      </c>
      <c r="AR653" s="19" t="s">
        <v>10161</v>
      </c>
      <c r="AS653" s="19" t="s">
        <v>10162</v>
      </c>
      <c r="AT653" s="19" t="s">
        <v>10163</v>
      </c>
      <c r="AU653" s="19" t="s">
        <v>10164</v>
      </c>
      <c r="AV653" s="19" t="s">
        <v>559</v>
      </c>
      <c r="AW653" s="19" t="s">
        <v>10165</v>
      </c>
      <c r="AX653" s="19" t="s">
        <v>309</v>
      </c>
      <c r="AY653" s="19" t="s">
        <v>10166</v>
      </c>
      <c r="AZ653" s="19" t="s">
        <v>10167</v>
      </c>
      <c r="BA653" s="20">
        <v>45701</v>
      </c>
      <c r="BB653" s="19" t="s">
        <v>331</v>
      </c>
      <c r="BC653" s="19" t="s">
        <v>10168</v>
      </c>
      <c r="BD653" s="19" t="s">
        <v>343</v>
      </c>
      <c r="BE653" s="19" t="s">
        <v>130</v>
      </c>
      <c r="BF653" s="19" t="s">
        <v>10169</v>
      </c>
      <c r="BG653" s="19" t="s">
        <v>10170</v>
      </c>
      <c r="BH653" s="19" t="s">
        <v>10171</v>
      </c>
      <c r="BI653" s="19" t="s">
        <v>10171</v>
      </c>
      <c r="BJ653" s="19" t="s">
        <v>166</v>
      </c>
      <c r="BK653" s="19" t="s">
        <v>566</v>
      </c>
      <c r="BL653" s="19" t="s">
        <v>559</v>
      </c>
      <c r="BM653" s="19" t="s">
        <v>135</v>
      </c>
      <c r="BN653" s="21">
        <v>0.53</v>
      </c>
      <c r="BO653" s="21">
        <v>1003.4648999999999</v>
      </c>
      <c r="BQ653" s="2"/>
      <c r="BR653" s="2"/>
      <c r="BS653" s="2"/>
      <c r="BT653" s="2"/>
      <c r="BU653" s="22"/>
      <c r="BV653" s="2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</row>
    <row r="654" spans="1:95" x14ac:dyDescent="0.25">
      <c r="A654" s="18">
        <v>651</v>
      </c>
      <c r="B654" s="19" t="s">
        <v>10172</v>
      </c>
      <c r="C654" s="19" t="s">
        <v>10173</v>
      </c>
      <c r="D654" s="20">
        <v>46013</v>
      </c>
      <c r="E654" s="20">
        <v>37063</v>
      </c>
      <c r="F654" s="19" t="s">
        <v>10174</v>
      </c>
      <c r="G654" s="19" t="s">
        <v>139</v>
      </c>
      <c r="H654" s="19" t="s">
        <v>94</v>
      </c>
      <c r="I654" s="19"/>
      <c r="J654" s="19"/>
      <c r="K654" s="19"/>
      <c r="L654" s="19" t="s">
        <v>244</v>
      </c>
      <c r="M654" s="19" t="s">
        <v>245</v>
      </c>
      <c r="N654" s="19" t="s">
        <v>10175</v>
      </c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 t="s">
        <v>101</v>
      </c>
      <c r="Z654" s="19" t="s">
        <v>102</v>
      </c>
      <c r="AA654" s="19" t="s">
        <v>103</v>
      </c>
      <c r="AB654" s="19" t="s">
        <v>143</v>
      </c>
      <c r="AC654" s="19" t="s">
        <v>144</v>
      </c>
      <c r="AD654" s="19" t="s">
        <v>10176</v>
      </c>
      <c r="AE654" s="19" t="s">
        <v>10177</v>
      </c>
      <c r="AF654" s="19" t="s">
        <v>10178</v>
      </c>
      <c r="AG654" s="19" t="s">
        <v>10179</v>
      </c>
      <c r="AH654" s="19" t="s">
        <v>1015</v>
      </c>
      <c r="AI654" s="19" t="s">
        <v>111</v>
      </c>
      <c r="AJ654" s="19" t="s">
        <v>10180</v>
      </c>
      <c r="AK654" s="19"/>
      <c r="AL654" s="19"/>
      <c r="AM654" s="19" t="s">
        <v>10181</v>
      </c>
      <c r="AN654" s="19" t="s">
        <v>10182</v>
      </c>
      <c r="AO654" s="19" t="s">
        <v>255</v>
      </c>
      <c r="AP654" s="19" t="s">
        <v>256</v>
      </c>
      <c r="AQ654" s="19" t="s">
        <v>117</v>
      </c>
      <c r="AR654" s="19" t="s">
        <v>257</v>
      </c>
      <c r="AS654" s="19" t="s">
        <v>258</v>
      </c>
      <c r="AT654" s="19" t="s">
        <v>259</v>
      </c>
      <c r="AU654" s="19" t="s">
        <v>260</v>
      </c>
      <c r="AV654" s="19" t="s">
        <v>260</v>
      </c>
      <c r="AW654" s="19" t="s">
        <v>261</v>
      </c>
      <c r="AX654" s="19" t="s">
        <v>262</v>
      </c>
      <c r="AY654" s="19" t="s">
        <v>263</v>
      </c>
      <c r="AZ654" s="19" t="s">
        <v>264</v>
      </c>
      <c r="BA654" s="20">
        <v>43627</v>
      </c>
      <c r="BB654" s="19" t="s">
        <v>349</v>
      </c>
      <c r="BC654" s="19" t="s">
        <v>10183</v>
      </c>
      <c r="BD654" s="19" t="s">
        <v>260</v>
      </c>
      <c r="BE654" s="19" t="s">
        <v>130</v>
      </c>
      <c r="BF654" s="19" t="s">
        <v>10184</v>
      </c>
      <c r="BG654" s="19"/>
      <c r="BH654" s="19" t="s">
        <v>10185</v>
      </c>
      <c r="BI654" s="19" t="s">
        <v>10185</v>
      </c>
      <c r="BJ654" s="19" t="s">
        <v>166</v>
      </c>
      <c r="BK654" s="19" t="s">
        <v>167</v>
      </c>
      <c r="BL654" s="19" t="s">
        <v>168</v>
      </c>
      <c r="BM654" s="19" t="s">
        <v>169</v>
      </c>
      <c r="BN654" s="21">
        <v>267.36599999999999</v>
      </c>
      <c r="BO654" s="21">
        <v>10183.970939999999</v>
      </c>
      <c r="BQ654" s="2"/>
      <c r="BR654" s="2"/>
      <c r="BS654" s="2"/>
      <c r="BT654" s="2"/>
      <c r="BU654" s="22"/>
      <c r="BV654" s="2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</row>
    <row r="655" spans="1:95" x14ac:dyDescent="0.25">
      <c r="A655" s="18">
        <v>652</v>
      </c>
      <c r="B655" s="19" t="s">
        <v>10186</v>
      </c>
      <c r="C655" s="19" t="s">
        <v>10187</v>
      </c>
      <c r="D655" s="20">
        <v>46009</v>
      </c>
      <c r="E655" s="20">
        <v>36307</v>
      </c>
      <c r="F655" s="19"/>
      <c r="G655" s="19"/>
      <c r="H655" s="19" t="s">
        <v>94</v>
      </c>
      <c r="I655" s="19"/>
      <c r="J655" s="19"/>
      <c r="K655" s="19"/>
      <c r="L655" s="19" t="s">
        <v>467</v>
      </c>
      <c r="M655" s="19" t="s">
        <v>468</v>
      </c>
      <c r="N655" s="19" t="s">
        <v>10188</v>
      </c>
      <c r="O655" s="19" t="s">
        <v>100</v>
      </c>
      <c r="P655" s="19"/>
      <c r="Q655" s="19"/>
      <c r="R655" s="19"/>
      <c r="S655" s="19"/>
      <c r="T655" s="19"/>
      <c r="U655" s="19"/>
      <c r="V655" s="19"/>
      <c r="W655" s="19"/>
      <c r="X655" s="19"/>
      <c r="Y655" s="19" t="s">
        <v>101</v>
      </c>
      <c r="Z655" s="19" t="s">
        <v>102</v>
      </c>
      <c r="AA655" s="19" t="s">
        <v>103</v>
      </c>
      <c r="AB655" s="19" t="s">
        <v>387</v>
      </c>
      <c r="AC655" s="19" t="s">
        <v>388</v>
      </c>
      <c r="AD655" s="19" t="s">
        <v>10189</v>
      </c>
      <c r="AE655" s="19" t="s">
        <v>10190</v>
      </c>
      <c r="AF655" s="19"/>
      <c r="AG655" s="19" t="s">
        <v>10191</v>
      </c>
      <c r="AH655" s="19" t="s">
        <v>110</v>
      </c>
      <c r="AI655" s="19" t="s">
        <v>111</v>
      </c>
      <c r="AJ655" s="19" t="s">
        <v>1311</v>
      </c>
      <c r="AK655" s="19"/>
      <c r="AL655" s="19"/>
      <c r="AM655" s="19" t="s">
        <v>10192</v>
      </c>
      <c r="AN655" s="19" t="s">
        <v>10193</v>
      </c>
      <c r="AO655" s="19" t="s">
        <v>10194</v>
      </c>
      <c r="AP655" s="19" t="s">
        <v>10195</v>
      </c>
      <c r="AQ655" s="19" t="s">
        <v>94</v>
      </c>
      <c r="AR655" s="19" t="s">
        <v>10196</v>
      </c>
      <c r="AS655" s="19" t="s">
        <v>10197</v>
      </c>
      <c r="AT655" s="19" t="s">
        <v>10198</v>
      </c>
      <c r="AU655" s="19" t="s">
        <v>10199</v>
      </c>
      <c r="AV655" s="19" t="s">
        <v>6393</v>
      </c>
      <c r="AW655" s="19" t="s">
        <v>10200</v>
      </c>
      <c r="AX655" s="19" t="s">
        <v>262</v>
      </c>
      <c r="AY655" s="19" t="s">
        <v>10201</v>
      </c>
      <c r="AZ655" s="19" t="s">
        <v>10202</v>
      </c>
      <c r="BA655" s="20">
        <v>45645</v>
      </c>
      <c r="BB655" s="19" t="s">
        <v>3671</v>
      </c>
      <c r="BC655" s="19" t="s">
        <v>10203</v>
      </c>
      <c r="BD655" s="19" t="s">
        <v>1310</v>
      </c>
      <c r="BE655" s="19" t="s">
        <v>130</v>
      </c>
      <c r="BF655" s="19" t="s">
        <v>10204</v>
      </c>
      <c r="BG655" s="19" t="s">
        <v>10205</v>
      </c>
      <c r="BH655" s="19" t="s">
        <v>10206</v>
      </c>
      <c r="BI655" s="19" t="s">
        <v>10206</v>
      </c>
      <c r="BJ655" s="19" t="s">
        <v>194</v>
      </c>
      <c r="BK655" s="19" t="s">
        <v>3332</v>
      </c>
      <c r="BL655" s="19" t="s">
        <v>1955</v>
      </c>
      <c r="BM655" s="19" t="s">
        <v>196</v>
      </c>
      <c r="BN655" s="21">
        <v>2.3849999999999998</v>
      </c>
      <c r="BO655" s="21">
        <v>5064.6667500000003</v>
      </c>
      <c r="BQ655" s="2"/>
      <c r="BR655" s="2"/>
      <c r="BS655" s="2"/>
      <c r="BT655" s="2"/>
      <c r="BU655" s="22"/>
      <c r="BV655" s="2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</row>
    <row r="656" spans="1:95" x14ac:dyDescent="0.25">
      <c r="A656" s="18">
        <v>653</v>
      </c>
      <c r="B656" s="19" t="s">
        <v>10207</v>
      </c>
      <c r="C656" s="19" t="s">
        <v>10208</v>
      </c>
      <c r="D656" s="20">
        <v>46013</v>
      </c>
      <c r="E656" s="20">
        <v>30239</v>
      </c>
      <c r="F656" s="19"/>
      <c r="G656" s="19"/>
      <c r="H656" s="19" t="s">
        <v>94</v>
      </c>
      <c r="I656" s="19"/>
      <c r="J656" s="19"/>
      <c r="K656" s="19"/>
      <c r="L656" s="19" t="s">
        <v>244</v>
      </c>
      <c r="M656" s="19" t="s">
        <v>245</v>
      </c>
      <c r="N656" s="19" t="s">
        <v>10209</v>
      </c>
      <c r="O656" s="19" t="s">
        <v>100</v>
      </c>
      <c r="P656" s="19"/>
      <c r="Q656" s="19"/>
      <c r="R656" s="19"/>
      <c r="S656" s="19"/>
      <c r="T656" s="19"/>
      <c r="U656" s="19"/>
      <c r="V656" s="19"/>
      <c r="W656" s="19"/>
      <c r="X656" s="19"/>
      <c r="Y656" s="19" t="s">
        <v>101</v>
      </c>
      <c r="Z656" s="19" t="s">
        <v>102</v>
      </c>
      <c r="AA656" s="19" t="s">
        <v>103</v>
      </c>
      <c r="AB656" s="19" t="s">
        <v>10210</v>
      </c>
      <c r="AC656" s="19" t="s">
        <v>10211</v>
      </c>
      <c r="AD656" s="19" t="s">
        <v>10212</v>
      </c>
      <c r="AE656" s="19" t="s">
        <v>10213</v>
      </c>
      <c r="AF656" s="19" t="s">
        <v>10214</v>
      </c>
      <c r="AG656" s="19" t="s">
        <v>10215</v>
      </c>
      <c r="AH656" s="19" t="s">
        <v>515</v>
      </c>
      <c r="AI656" s="19" t="s">
        <v>111</v>
      </c>
      <c r="AJ656" s="19" t="s">
        <v>10216</v>
      </c>
      <c r="AK656" s="19"/>
      <c r="AL656" s="19"/>
      <c r="AM656" s="19" t="s">
        <v>10217</v>
      </c>
      <c r="AN656" s="19" t="s">
        <v>10218</v>
      </c>
      <c r="AO656" s="19" t="s">
        <v>255</v>
      </c>
      <c r="AP656" s="19" t="s">
        <v>256</v>
      </c>
      <c r="AQ656" s="19" t="s">
        <v>117</v>
      </c>
      <c r="AR656" s="19" t="s">
        <v>257</v>
      </c>
      <c r="AS656" s="19" t="s">
        <v>258</v>
      </c>
      <c r="AT656" s="19" t="s">
        <v>259</v>
      </c>
      <c r="AU656" s="19" t="s">
        <v>260</v>
      </c>
      <c r="AV656" s="19" t="s">
        <v>260</v>
      </c>
      <c r="AW656" s="19" t="s">
        <v>261</v>
      </c>
      <c r="AX656" s="19" t="s">
        <v>262</v>
      </c>
      <c r="AY656" s="19" t="s">
        <v>263</v>
      </c>
      <c r="AZ656" s="19" t="s">
        <v>264</v>
      </c>
      <c r="BA656" s="20">
        <v>43627</v>
      </c>
      <c r="BB656" s="19" t="s">
        <v>3172</v>
      </c>
      <c r="BC656" s="19" t="s">
        <v>10219</v>
      </c>
      <c r="BD656" s="19" t="s">
        <v>10220</v>
      </c>
      <c r="BE656" s="19" t="s">
        <v>130</v>
      </c>
      <c r="BF656" s="19" t="s">
        <v>10221</v>
      </c>
      <c r="BG656" s="19"/>
      <c r="BH656" s="19" t="s">
        <v>10222</v>
      </c>
      <c r="BI656" s="19" t="s">
        <v>10222</v>
      </c>
      <c r="BJ656" s="19" t="s">
        <v>194</v>
      </c>
      <c r="BK656" s="19" t="s">
        <v>195</v>
      </c>
      <c r="BL656" s="19" t="s">
        <v>122</v>
      </c>
      <c r="BM656" s="19" t="s">
        <v>196</v>
      </c>
      <c r="BN656" s="21">
        <v>13.827</v>
      </c>
      <c r="BO656" s="21">
        <v>1003.42539</v>
      </c>
      <c r="BQ656" s="2"/>
      <c r="BR656" s="2"/>
      <c r="BS656" s="2"/>
      <c r="BT656" s="2"/>
      <c r="BU656" s="22"/>
      <c r="BV656" s="2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</row>
    <row r="657" spans="1:95" x14ac:dyDescent="0.25">
      <c r="A657" s="18">
        <v>654</v>
      </c>
      <c r="B657" s="19" t="s">
        <v>10223</v>
      </c>
      <c r="C657" s="19" t="s">
        <v>10224</v>
      </c>
      <c r="D657" s="20">
        <v>46010</v>
      </c>
      <c r="E657" s="20">
        <v>36688</v>
      </c>
      <c r="F657" s="19"/>
      <c r="G657" s="19"/>
      <c r="H657" s="19" t="s">
        <v>94</v>
      </c>
      <c r="I657" s="19"/>
      <c r="J657" s="19"/>
      <c r="K657" s="19"/>
      <c r="L657" s="19" t="s">
        <v>244</v>
      </c>
      <c r="M657" s="19" t="s">
        <v>245</v>
      </c>
      <c r="N657" s="19" t="s">
        <v>10225</v>
      </c>
      <c r="O657" s="19" t="s">
        <v>100</v>
      </c>
      <c r="P657" s="19"/>
      <c r="Q657" s="19"/>
      <c r="R657" s="19"/>
      <c r="S657" s="19"/>
      <c r="T657" s="19"/>
      <c r="U657" s="19"/>
      <c r="V657" s="19"/>
      <c r="W657" s="19"/>
      <c r="X657" s="19"/>
      <c r="Y657" s="19" t="s">
        <v>101</v>
      </c>
      <c r="Z657" s="19" t="s">
        <v>102</v>
      </c>
      <c r="AA657" s="19" t="s">
        <v>103</v>
      </c>
      <c r="AB657" s="19" t="s">
        <v>143</v>
      </c>
      <c r="AC657" s="19" t="s">
        <v>144</v>
      </c>
      <c r="AD657" s="19" t="s">
        <v>10226</v>
      </c>
      <c r="AE657" s="19" t="s">
        <v>10227</v>
      </c>
      <c r="AF657" s="19" t="s">
        <v>10228</v>
      </c>
      <c r="AG657" s="19" t="s">
        <v>10228</v>
      </c>
      <c r="AH657" s="19" t="s">
        <v>1015</v>
      </c>
      <c r="AI657" s="19" t="s">
        <v>111</v>
      </c>
      <c r="AJ657" s="19" t="s">
        <v>10229</v>
      </c>
      <c r="AK657" s="19"/>
      <c r="AL657" s="19"/>
      <c r="AM657" s="19" t="s">
        <v>10230</v>
      </c>
      <c r="AN657" s="19" t="s">
        <v>10231</v>
      </c>
      <c r="AO657" s="19" t="s">
        <v>255</v>
      </c>
      <c r="AP657" s="19" t="s">
        <v>256</v>
      </c>
      <c r="AQ657" s="19" t="s">
        <v>117</v>
      </c>
      <c r="AR657" s="19" t="s">
        <v>257</v>
      </c>
      <c r="AS657" s="19" t="s">
        <v>258</v>
      </c>
      <c r="AT657" s="19" t="s">
        <v>259</v>
      </c>
      <c r="AU657" s="19" t="s">
        <v>260</v>
      </c>
      <c r="AV657" s="19" t="s">
        <v>260</v>
      </c>
      <c r="AW657" s="19" t="s">
        <v>261</v>
      </c>
      <c r="AX657" s="19" t="s">
        <v>262</v>
      </c>
      <c r="AY657" s="19" t="s">
        <v>263</v>
      </c>
      <c r="AZ657" s="19" t="s">
        <v>264</v>
      </c>
      <c r="BA657" s="20">
        <v>43627</v>
      </c>
      <c r="BB657" s="19" t="s">
        <v>661</v>
      </c>
      <c r="BC657" s="19" t="s">
        <v>10232</v>
      </c>
      <c r="BD657" s="19" t="s">
        <v>260</v>
      </c>
      <c r="BE657" s="19" t="s">
        <v>130</v>
      </c>
      <c r="BF657" s="19" t="s">
        <v>10233</v>
      </c>
      <c r="BG657" s="19"/>
      <c r="BH657" s="19" t="s">
        <v>10234</v>
      </c>
      <c r="BI657" s="19" t="s">
        <v>10234</v>
      </c>
      <c r="BJ657" s="19" t="s">
        <v>194</v>
      </c>
      <c r="BK657" s="19" t="s">
        <v>195</v>
      </c>
      <c r="BL657" s="19" t="s">
        <v>122</v>
      </c>
      <c r="BM657" s="19" t="s">
        <v>196</v>
      </c>
      <c r="BN657" s="21">
        <v>59.216000000000001</v>
      </c>
      <c r="BO657" s="21">
        <v>2255.5374400000001</v>
      </c>
      <c r="BQ657" s="2"/>
      <c r="BR657" s="2"/>
      <c r="BS657" s="2"/>
      <c r="BT657" s="2"/>
      <c r="BU657" s="22"/>
      <c r="BV657" s="2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</row>
    <row r="658" spans="1:95" x14ac:dyDescent="0.25">
      <c r="A658" s="18">
        <v>655</v>
      </c>
      <c r="B658" s="19" t="s">
        <v>10235</v>
      </c>
      <c r="C658" s="19" t="s">
        <v>10236</v>
      </c>
      <c r="D658" s="20">
        <v>46016</v>
      </c>
      <c r="E658" s="20">
        <v>27613</v>
      </c>
      <c r="F658" s="19" t="s">
        <v>10237</v>
      </c>
      <c r="G658" s="19" t="s">
        <v>139</v>
      </c>
      <c r="H658" s="19" t="s">
        <v>94</v>
      </c>
      <c r="I658" s="19"/>
      <c r="J658" s="19"/>
      <c r="K658" s="19"/>
      <c r="L658" s="19" t="s">
        <v>244</v>
      </c>
      <c r="M658" s="19" t="s">
        <v>245</v>
      </c>
      <c r="N658" s="19" t="s">
        <v>10238</v>
      </c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 t="s">
        <v>101</v>
      </c>
      <c r="Z658" s="19" t="s">
        <v>102</v>
      </c>
      <c r="AA658" s="19" t="s">
        <v>103</v>
      </c>
      <c r="AB658" s="19" t="s">
        <v>247</v>
      </c>
      <c r="AC658" s="19" t="s">
        <v>248</v>
      </c>
      <c r="AD658" s="19" t="s">
        <v>10239</v>
      </c>
      <c r="AE658" s="19" t="s">
        <v>10240</v>
      </c>
      <c r="AF658" s="19" t="s">
        <v>10241</v>
      </c>
      <c r="AG658" s="19" t="s">
        <v>481</v>
      </c>
      <c r="AH658" s="19" t="s">
        <v>707</v>
      </c>
      <c r="AI658" s="19" t="s">
        <v>111</v>
      </c>
      <c r="AJ658" s="19" t="s">
        <v>10242</v>
      </c>
      <c r="AK658" s="19"/>
      <c r="AL658" s="19"/>
      <c r="AM658" s="19" t="s">
        <v>10243</v>
      </c>
      <c r="AN658" s="19" t="s">
        <v>10244</v>
      </c>
      <c r="AO658" s="19" t="s">
        <v>255</v>
      </c>
      <c r="AP658" s="19" t="s">
        <v>256</v>
      </c>
      <c r="AQ658" s="19" t="s">
        <v>117</v>
      </c>
      <c r="AR658" s="19" t="s">
        <v>257</v>
      </c>
      <c r="AS658" s="19" t="s">
        <v>258</v>
      </c>
      <c r="AT658" s="19" t="s">
        <v>259</v>
      </c>
      <c r="AU658" s="19" t="s">
        <v>260</v>
      </c>
      <c r="AV658" s="19" t="s">
        <v>260</v>
      </c>
      <c r="AW658" s="19" t="s">
        <v>261</v>
      </c>
      <c r="AX658" s="19" t="s">
        <v>262</v>
      </c>
      <c r="AY658" s="19" t="s">
        <v>263</v>
      </c>
      <c r="AZ658" s="19" t="s">
        <v>264</v>
      </c>
      <c r="BA658" s="20">
        <v>43627</v>
      </c>
      <c r="BB658" s="19" t="s">
        <v>1388</v>
      </c>
      <c r="BC658" s="19" t="s">
        <v>10245</v>
      </c>
      <c r="BD658" s="19" t="s">
        <v>481</v>
      </c>
      <c r="BE658" s="19" t="s">
        <v>130</v>
      </c>
      <c r="BF658" s="19" t="s">
        <v>10246</v>
      </c>
      <c r="BG658" s="19"/>
      <c r="BH658" s="19" t="s">
        <v>10247</v>
      </c>
      <c r="BI658" s="19" t="s">
        <v>10247</v>
      </c>
      <c r="BJ658" s="19" t="s">
        <v>166</v>
      </c>
      <c r="BK658" s="19" t="s">
        <v>167</v>
      </c>
      <c r="BL658" s="19" t="s">
        <v>168</v>
      </c>
      <c r="BM658" s="19" t="s">
        <v>169</v>
      </c>
      <c r="BN658" s="21">
        <v>799.05</v>
      </c>
      <c r="BO658" s="21">
        <v>350393.33321999997</v>
      </c>
      <c r="BQ658" s="2"/>
      <c r="BR658" s="2"/>
      <c r="BS658" s="2"/>
      <c r="BT658" s="2"/>
      <c r="BU658" s="22"/>
      <c r="BV658" s="2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</row>
    <row r="659" spans="1:95" x14ac:dyDescent="0.25">
      <c r="A659" s="18">
        <v>656</v>
      </c>
      <c r="B659" s="19" t="s">
        <v>10248</v>
      </c>
      <c r="C659" s="19" t="s">
        <v>10249</v>
      </c>
      <c r="D659" s="20">
        <v>46017</v>
      </c>
      <c r="E659" s="20">
        <v>25690</v>
      </c>
      <c r="F659" s="19" t="s">
        <v>10250</v>
      </c>
      <c r="G659" s="19" t="s">
        <v>139</v>
      </c>
      <c r="H659" s="19" t="s">
        <v>94</v>
      </c>
      <c r="I659" s="19"/>
      <c r="J659" s="19"/>
      <c r="K659" s="19"/>
      <c r="L659" s="19" t="s">
        <v>244</v>
      </c>
      <c r="M659" s="19" t="s">
        <v>245</v>
      </c>
      <c r="N659" s="19" t="s">
        <v>10251</v>
      </c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 t="s">
        <v>101</v>
      </c>
      <c r="Z659" s="19" t="s">
        <v>102</v>
      </c>
      <c r="AA659" s="19" t="s">
        <v>103</v>
      </c>
      <c r="AB659" s="19" t="s">
        <v>173</v>
      </c>
      <c r="AC659" s="19" t="s">
        <v>174</v>
      </c>
      <c r="AD659" s="19" t="s">
        <v>10252</v>
      </c>
      <c r="AE659" s="19" t="s">
        <v>10253</v>
      </c>
      <c r="AF659" s="19"/>
      <c r="AG659" s="19" t="s">
        <v>129</v>
      </c>
      <c r="AH659" s="19" t="s">
        <v>110</v>
      </c>
      <c r="AI659" s="19" t="s">
        <v>111</v>
      </c>
      <c r="AJ659" s="19" t="s">
        <v>10254</v>
      </c>
      <c r="AK659" s="19"/>
      <c r="AL659" s="19" t="s">
        <v>10255</v>
      </c>
      <c r="AM659" s="19" t="s">
        <v>10256</v>
      </c>
      <c r="AN659" s="19" t="s">
        <v>10257</v>
      </c>
      <c r="AO659" s="19" t="s">
        <v>154</v>
      </c>
      <c r="AP659" s="19" t="s">
        <v>155</v>
      </c>
      <c r="AQ659" s="19" t="s">
        <v>117</v>
      </c>
      <c r="AR659" s="19" t="s">
        <v>156</v>
      </c>
      <c r="AS659" s="19" t="s">
        <v>157</v>
      </c>
      <c r="AT659" s="19" t="s">
        <v>158</v>
      </c>
      <c r="AU659" s="19"/>
      <c r="AV659" s="19" t="s">
        <v>122</v>
      </c>
      <c r="AW659" s="19"/>
      <c r="AX659" s="19" t="s">
        <v>124</v>
      </c>
      <c r="AY659" s="19" t="s">
        <v>159</v>
      </c>
      <c r="AZ659" s="19" t="s">
        <v>160</v>
      </c>
      <c r="BA659" s="20">
        <v>44676</v>
      </c>
      <c r="BB659" s="19" t="s">
        <v>1388</v>
      </c>
      <c r="BC659" s="19" t="s">
        <v>10258</v>
      </c>
      <c r="BD659" s="19" t="s">
        <v>129</v>
      </c>
      <c r="BE659" s="19" t="s">
        <v>130</v>
      </c>
      <c r="BF659" s="19" t="s">
        <v>10259</v>
      </c>
      <c r="BG659" s="19"/>
      <c r="BH659" s="19" t="s">
        <v>10260</v>
      </c>
      <c r="BI659" s="19" t="s">
        <v>10260</v>
      </c>
      <c r="BJ659" s="19" t="s">
        <v>166</v>
      </c>
      <c r="BK659" s="19" t="s">
        <v>167</v>
      </c>
      <c r="BL659" s="19" t="s">
        <v>168</v>
      </c>
      <c r="BM659" s="19" t="s">
        <v>169</v>
      </c>
      <c r="BN659" s="21">
        <v>13.957000000000001</v>
      </c>
      <c r="BO659" s="21">
        <v>494.41555940000001</v>
      </c>
      <c r="BQ659" s="2"/>
      <c r="BR659" s="2"/>
      <c r="BS659" s="2"/>
      <c r="BT659" s="2"/>
      <c r="BU659" s="22"/>
      <c r="BV659" s="2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</row>
    <row r="660" spans="1:95" x14ac:dyDescent="0.25">
      <c r="A660" s="18">
        <v>657</v>
      </c>
      <c r="B660" s="19" t="s">
        <v>10261</v>
      </c>
      <c r="C660" s="19" t="s">
        <v>10262</v>
      </c>
      <c r="D660" s="20">
        <v>46017</v>
      </c>
      <c r="E660" s="20">
        <v>36526</v>
      </c>
      <c r="F660" s="19" t="s">
        <v>10263</v>
      </c>
      <c r="G660" s="19" t="s">
        <v>139</v>
      </c>
      <c r="H660" s="19" t="s">
        <v>94</v>
      </c>
      <c r="I660" s="19"/>
      <c r="J660" s="19"/>
      <c r="K660" s="19"/>
      <c r="L660" s="19" t="s">
        <v>244</v>
      </c>
      <c r="M660" s="19" t="s">
        <v>245</v>
      </c>
      <c r="N660" s="19" t="s">
        <v>10264</v>
      </c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 t="s">
        <v>101</v>
      </c>
      <c r="Z660" s="19" t="s">
        <v>102</v>
      </c>
      <c r="AA660" s="19" t="s">
        <v>103</v>
      </c>
      <c r="AB660" s="19" t="s">
        <v>173</v>
      </c>
      <c r="AC660" s="19" t="s">
        <v>174</v>
      </c>
      <c r="AD660" s="19" t="s">
        <v>10265</v>
      </c>
      <c r="AE660" s="19" t="s">
        <v>10266</v>
      </c>
      <c r="AF660" s="19" t="s">
        <v>10267</v>
      </c>
      <c r="AG660" s="19" t="s">
        <v>10268</v>
      </c>
      <c r="AH660" s="19" t="s">
        <v>149</v>
      </c>
      <c r="AI660" s="19" t="s">
        <v>111</v>
      </c>
      <c r="AJ660" s="19" t="s">
        <v>10269</v>
      </c>
      <c r="AK660" s="19"/>
      <c r="AL660" s="19"/>
      <c r="AM660" s="19" t="s">
        <v>10270</v>
      </c>
      <c r="AN660" s="19" t="s">
        <v>10271</v>
      </c>
      <c r="AO660" s="19" t="s">
        <v>255</v>
      </c>
      <c r="AP660" s="19" t="s">
        <v>256</v>
      </c>
      <c r="AQ660" s="19" t="s">
        <v>117</v>
      </c>
      <c r="AR660" s="19" t="s">
        <v>257</v>
      </c>
      <c r="AS660" s="19" t="s">
        <v>258</v>
      </c>
      <c r="AT660" s="19" t="s">
        <v>259</v>
      </c>
      <c r="AU660" s="19" t="s">
        <v>260</v>
      </c>
      <c r="AV660" s="19" t="s">
        <v>260</v>
      </c>
      <c r="AW660" s="19" t="s">
        <v>261</v>
      </c>
      <c r="AX660" s="19" t="s">
        <v>262</v>
      </c>
      <c r="AY660" s="19" t="s">
        <v>263</v>
      </c>
      <c r="AZ660" s="19" t="s">
        <v>264</v>
      </c>
      <c r="BA660" s="20">
        <v>43627</v>
      </c>
      <c r="BB660" s="19" t="s">
        <v>161</v>
      </c>
      <c r="BC660" s="19" t="s">
        <v>4658</v>
      </c>
      <c r="BD660" s="19" t="s">
        <v>148</v>
      </c>
      <c r="BE660" s="19" t="s">
        <v>130</v>
      </c>
      <c r="BF660" s="19" t="s">
        <v>10272</v>
      </c>
      <c r="BG660" s="19"/>
      <c r="BH660" s="19" t="s">
        <v>4660</v>
      </c>
      <c r="BI660" s="19" t="s">
        <v>4660</v>
      </c>
      <c r="BJ660" s="19" t="s">
        <v>166</v>
      </c>
      <c r="BK660" s="19" t="s">
        <v>167</v>
      </c>
      <c r="BL660" s="19" t="s">
        <v>168</v>
      </c>
      <c r="BM660" s="19" t="s">
        <v>169</v>
      </c>
      <c r="BN660" s="21">
        <v>27.914000000000001</v>
      </c>
      <c r="BO660" s="21">
        <v>988.83111880000001</v>
      </c>
      <c r="BQ660" s="2"/>
      <c r="BR660" s="2"/>
      <c r="BS660" s="2"/>
      <c r="BT660" s="2"/>
      <c r="BU660" s="22"/>
      <c r="BV660" s="2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</row>
    <row r="661" spans="1:95" x14ac:dyDescent="0.25">
      <c r="A661" s="18">
        <v>658</v>
      </c>
      <c r="B661" s="19" t="s">
        <v>10273</v>
      </c>
      <c r="C661" s="19" t="s">
        <v>10274</v>
      </c>
      <c r="D661" s="20">
        <v>46017</v>
      </c>
      <c r="E661" s="20">
        <v>35417</v>
      </c>
      <c r="F661" s="19" t="s">
        <v>10275</v>
      </c>
      <c r="G661" s="19" t="s">
        <v>139</v>
      </c>
      <c r="H661" s="19" t="s">
        <v>94</v>
      </c>
      <c r="I661" s="19"/>
      <c r="J661" s="19"/>
      <c r="K661" s="19"/>
      <c r="L661" s="19" t="s">
        <v>140</v>
      </c>
      <c r="M661" s="19" t="s">
        <v>141</v>
      </c>
      <c r="N661" s="19" t="s">
        <v>10276</v>
      </c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 t="s">
        <v>101</v>
      </c>
      <c r="Z661" s="19" t="s">
        <v>102</v>
      </c>
      <c r="AA661" s="19" t="s">
        <v>103</v>
      </c>
      <c r="AB661" s="19" t="s">
        <v>387</v>
      </c>
      <c r="AC661" s="19" t="s">
        <v>388</v>
      </c>
      <c r="AD661" s="19" t="s">
        <v>10277</v>
      </c>
      <c r="AE661" s="19" t="s">
        <v>10278</v>
      </c>
      <c r="AF661" s="19" t="s">
        <v>10279</v>
      </c>
      <c r="AG661" s="19" t="s">
        <v>623</v>
      </c>
      <c r="AH661" s="19" t="s">
        <v>124</v>
      </c>
      <c r="AI661" s="19" t="s">
        <v>111</v>
      </c>
      <c r="AJ661" s="19" t="s">
        <v>1654</v>
      </c>
      <c r="AK661" s="19"/>
      <c r="AL661" s="19" t="s">
        <v>10280</v>
      </c>
      <c r="AM661" s="19" t="s">
        <v>10281</v>
      </c>
      <c r="AN661" s="19" t="s">
        <v>10282</v>
      </c>
      <c r="AO661" s="19" t="s">
        <v>2705</v>
      </c>
      <c r="AP661" s="19" t="s">
        <v>2706</v>
      </c>
      <c r="AQ661" s="19" t="s">
        <v>117</v>
      </c>
      <c r="AR661" s="19"/>
      <c r="AS661" s="19"/>
      <c r="AT661" s="19"/>
      <c r="AU661" s="19"/>
      <c r="AV661" s="19"/>
      <c r="AW661" s="19"/>
      <c r="AX661" s="19"/>
      <c r="AY661" s="19"/>
      <c r="AZ661" s="19" t="s">
        <v>2707</v>
      </c>
      <c r="BA661" s="20">
        <v>45363</v>
      </c>
      <c r="BB661" s="19" t="s">
        <v>444</v>
      </c>
      <c r="BC661" s="19" t="s">
        <v>3431</v>
      </c>
      <c r="BD661" s="19" t="s">
        <v>219</v>
      </c>
      <c r="BE661" s="19" t="s">
        <v>130</v>
      </c>
      <c r="BF661" s="19" t="s">
        <v>10283</v>
      </c>
      <c r="BG661" s="19"/>
      <c r="BH661" s="19" t="s">
        <v>3433</v>
      </c>
      <c r="BI661" s="19" t="s">
        <v>3433</v>
      </c>
      <c r="BJ661" s="19" t="s">
        <v>166</v>
      </c>
      <c r="BK661" s="19" t="s">
        <v>167</v>
      </c>
      <c r="BL661" s="19" t="s">
        <v>168</v>
      </c>
      <c r="BM661" s="19" t="s">
        <v>169</v>
      </c>
      <c r="BN661" s="21">
        <v>4.7309999999999999</v>
      </c>
      <c r="BO661" s="21">
        <v>10046.51505</v>
      </c>
      <c r="BQ661" s="2"/>
      <c r="BR661" s="2"/>
      <c r="BS661" s="2"/>
      <c r="BT661" s="2"/>
      <c r="BU661" s="22"/>
      <c r="BV661" s="2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</row>
    <row r="662" spans="1:95" x14ac:dyDescent="0.25">
      <c r="A662" s="18">
        <v>659</v>
      </c>
      <c r="B662" s="19" t="s">
        <v>10284</v>
      </c>
      <c r="C662" s="19" t="s">
        <v>10285</v>
      </c>
      <c r="D662" s="20">
        <v>46020</v>
      </c>
      <c r="E662" s="20">
        <v>38482</v>
      </c>
      <c r="F662" s="19" t="s">
        <v>10286</v>
      </c>
      <c r="G662" s="19" t="s">
        <v>139</v>
      </c>
      <c r="H662" s="19" t="s">
        <v>94</v>
      </c>
      <c r="I662" s="19"/>
      <c r="J662" s="19"/>
      <c r="K662" s="19"/>
      <c r="L662" s="19" t="s">
        <v>244</v>
      </c>
      <c r="M662" s="19" t="s">
        <v>245</v>
      </c>
      <c r="N662" s="19" t="s">
        <v>10287</v>
      </c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 t="s">
        <v>101</v>
      </c>
      <c r="Z662" s="19" t="s">
        <v>102</v>
      </c>
      <c r="AA662" s="19" t="s">
        <v>103</v>
      </c>
      <c r="AB662" s="19" t="s">
        <v>247</v>
      </c>
      <c r="AC662" s="19" t="s">
        <v>248</v>
      </c>
      <c r="AD662" s="19" t="s">
        <v>10288</v>
      </c>
      <c r="AE662" s="19" t="s">
        <v>10289</v>
      </c>
      <c r="AF662" s="19"/>
      <c r="AG662" s="19" t="s">
        <v>277</v>
      </c>
      <c r="AH662" s="19" t="s">
        <v>124</v>
      </c>
      <c r="AI662" s="19"/>
      <c r="AJ662" s="19" t="s">
        <v>10290</v>
      </c>
      <c r="AK662" s="19"/>
      <c r="AL662" s="19"/>
      <c r="AM662" s="19" t="s">
        <v>10291</v>
      </c>
      <c r="AN662" s="19" t="s">
        <v>10292</v>
      </c>
      <c r="AO662" s="19" t="s">
        <v>255</v>
      </c>
      <c r="AP662" s="19" t="s">
        <v>256</v>
      </c>
      <c r="AQ662" s="19" t="s">
        <v>117</v>
      </c>
      <c r="AR662" s="19" t="s">
        <v>257</v>
      </c>
      <c r="AS662" s="19" t="s">
        <v>258</v>
      </c>
      <c r="AT662" s="19" t="s">
        <v>259</v>
      </c>
      <c r="AU662" s="19" t="s">
        <v>260</v>
      </c>
      <c r="AV662" s="19" t="s">
        <v>260</v>
      </c>
      <c r="AW662" s="19" t="s">
        <v>261</v>
      </c>
      <c r="AX662" s="19" t="s">
        <v>262</v>
      </c>
      <c r="AY662" s="19" t="s">
        <v>263</v>
      </c>
      <c r="AZ662" s="19" t="s">
        <v>264</v>
      </c>
      <c r="BA662" s="20">
        <v>43627</v>
      </c>
      <c r="BB662" s="19" t="s">
        <v>444</v>
      </c>
      <c r="BC662" s="19" t="s">
        <v>10293</v>
      </c>
      <c r="BD662" s="19" t="s">
        <v>277</v>
      </c>
      <c r="BE662" s="19" t="s">
        <v>130</v>
      </c>
      <c r="BF662" s="19" t="s">
        <v>10294</v>
      </c>
      <c r="BG662" s="19"/>
      <c r="BH662" s="19" t="s">
        <v>10295</v>
      </c>
      <c r="BI662" s="19" t="s">
        <v>10295</v>
      </c>
      <c r="BJ662" s="19" t="s">
        <v>166</v>
      </c>
      <c r="BK662" s="19" t="s">
        <v>167</v>
      </c>
      <c r="BL662" s="19" t="s">
        <v>168</v>
      </c>
      <c r="BM662" s="19" t="s">
        <v>169</v>
      </c>
      <c r="BN662" s="21">
        <v>114.07899999999999</v>
      </c>
      <c r="BO662" s="21">
        <v>50025.056079599999</v>
      </c>
      <c r="BQ662" s="2"/>
      <c r="BR662" s="2"/>
      <c r="BS662" s="2"/>
      <c r="BT662" s="2"/>
      <c r="BU662" s="22"/>
      <c r="BV662" s="2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</row>
    <row r="663" spans="1:95" x14ac:dyDescent="0.25">
      <c r="A663" s="18">
        <v>660</v>
      </c>
      <c r="B663" s="19" t="s">
        <v>10296</v>
      </c>
      <c r="C663" s="19" t="s">
        <v>10297</v>
      </c>
      <c r="D663" s="20">
        <v>46021</v>
      </c>
      <c r="E663" s="20">
        <v>36011</v>
      </c>
      <c r="F663" s="19" t="s">
        <v>10298</v>
      </c>
      <c r="G663" s="19" t="s">
        <v>139</v>
      </c>
      <c r="H663" s="19" t="s">
        <v>94</v>
      </c>
      <c r="I663" s="19"/>
      <c r="J663" s="19"/>
      <c r="K663" s="19"/>
      <c r="L663" s="19" t="s">
        <v>140</v>
      </c>
      <c r="M663" s="19" t="s">
        <v>141</v>
      </c>
      <c r="N663" s="19" t="s">
        <v>10299</v>
      </c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 t="s">
        <v>101</v>
      </c>
      <c r="Z663" s="19" t="s">
        <v>102</v>
      </c>
      <c r="AA663" s="19" t="s">
        <v>103</v>
      </c>
      <c r="AB663" s="19" t="s">
        <v>812</v>
      </c>
      <c r="AC663" s="19" t="s">
        <v>813</v>
      </c>
      <c r="AD663" s="19" t="s">
        <v>10300</v>
      </c>
      <c r="AE663" s="19" t="s">
        <v>3837</v>
      </c>
      <c r="AF663" s="19"/>
      <c r="AG663" s="19" t="s">
        <v>3837</v>
      </c>
      <c r="AH663" s="19" t="s">
        <v>149</v>
      </c>
      <c r="AI663" s="19" t="s">
        <v>111</v>
      </c>
      <c r="AJ663" s="19" t="s">
        <v>10301</v>
      </c>
      <c r="AK663" s="19"/>
      <c r="AL663" s="19" t="s">
        <v>10302</v>
      </c>
      <c r="AM663" s="19" t="s">
        <v>10303</v>
      </c>
      <c r="AN663" s="19" t="s">
        <v>10304</v>
      </c>
      <c r="AO663" s="19" t="s">
        <v>1407</v>
      </c>
      <c r="AP663" s="19" t="s">
        <v>1408</v>
      </c>
      <c r="AQ663" s="19" t="s">
        <v>117</v>
      </c>
      <c r="AR663" s="19" t="s">
        <v>156</v>
      </c>
      <c r="AS663" s="19" t="s">
        <v>1409</v>
      </c>
      <c r="AT663" s="19" t="s">
        <v>1410</v>
      </c>
      <c r="AU663" s="19" t="s">
        <v>1411</v>
      </c>
      <c r="AV663" s="19" t="s">
        <v>219</v>
      </c>
      <c r="AW663" s="19" t="s">
        <v>1412</v>
      </c>
      <c r="AX663" s="19" t="s">
        <v>124</v>
      </c>
      <c r="AY663" s="19" t="s">
        <v>1413</v>
      </c>
      <c r="AZ663" s="19" t="s">
        <v>1414</v>
      </c>
      <c r="BA663" s="20">
        <v>40180</v>
      </c>
      <c r="BB663" s="19" t="s">
        <v>363</v>
      </c>
      <c r="BC663" s="19" t="s">
        <v>10305</v>
      </c>
      <c r="BD663" s="19" t="s">
        <v>10305</v>
      </c>
      <c r="BE663" s="19" t="s">
        <v>130</v>
      </c>
      <c r="BF663" s="19" t="s">
        <v>10306</v>
      </c>
      <c r="BG663" s="19"/>
      <c r="BH663" s="19" t="s">
        <v>10307</v>
      </c>
      <c r="BI663" s="19" t="s">
        <v>10307</v>
      </c>
      <c r="BJ663" s="19" t="s">
        <v>166</v>
      </c>
      <c r="BK663" s="19" t="s">
        <v>907</v>
      </c>
      <c r="BL663" s="19" t="s">
        <v>122</v>
      </c>
      <c r="BM663" s="19" t="s">
        <v>592</v>
      </c>
      <c r="BN663" s="21">
        <v>2.927</v>
      </c>
      <c r="BO663" s="21">
        <v>101.47909</v>
      </c>
      <c r="BQ663" s="2"/>
      <c r="BR663" s="2"/>
      <c r="BS663" s="2"/>
      <c r="BT663" s="2"/>
      <c r="BU663" s="22"/>
      <c r="BV663" s="2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</row>
    <row r="664" spans="1:95" x14ac:dyDescent="0.25">
      <c r="A664" s="18">
        <v>661</v>
      </c>
      <c r="B664" s="19" t="s">
        <v>10308</v>
      </c>
      <c r="C664" s="19" t="s">
        <v>10309</v>
      </c>
      <c r="D664" s="20">
        <v>46022</v>
      </c>
      <c r="E664" s="20">
        <v>37557</v>
      </c>
      <c r="F664" s="19"/>
      <c r="G664" s="19"/>
      <c r="H664" s="19" t="s">
        <v>94</v>
      </c>
      <c r="I664" s="19"/>
      <c r="J664" s="19"/>
      <c r="K664" s="19"/>
      <c r="L664" s="19" t="s">
        <v>687</v>
      </c>
      <c r="M664" s="19" t="s">
        <v>688</v>
      </c>
      <c r="N664" s="19" t="s">
        <v>10310</v>
      </c>
      <c r="O664" s="19" t="s">
        <v>100</v>
      </c>
      <c r="P664" s="19"/>
      <c r="Q664" s="19"/>
      <c r="R664" s="19"/>
      <c r="S664" s="19"/>
      <c r="T664" s="19"/>
      <c r="U664" s="19"/>
      <c r="V664" s="19"/>
      <c r="W664" s="19"/>
      <c r="X664" s="19"/>
      <c r="Y664" s="19" t="s">
        <v>101</v>
      </c>
      <c r="Z664" s="19" t="s">
        <v>102</v>
      </c>
      <c r="AA664" s="19" t="s">
        <v>103</v>
      </c>
      <c r="AB664" s="19" t="s">
        <v>10311</v>
      </c>
      <c r="AC664" s="19" t="s">
        <v>10312</v>
      </c>
      <c r="AD664" s="19" t="s">
        <v>10313</v>
      </c>
      <c r="AE664" s="19" t="s">
        <v>10314</v>
      </c>
      <c r="AF664" s="19" t="s">
        <v>440</v>
      </c>
      <c r="AG664" s="19" t="s">
        <v>148</v>
      </c>
      <c r="AH664" s="19" t="s">
        <v>149</v>
      </c>
      <c r="AI664" s="19" t="s">
        <v>111</v>
      </c>
      <c r="AJ664" s="19" t="s">
        <v>3203</v>
      </c>
      <c r="AK664" s="19"/>
      <c r="AL664" s="19"/>
      <c r="AM664" s="19" t="s">
        <v>10315</v>
      </c>
      <c r="AN664" s="19" t="s">
        <v>10316</v>
      </c>
      <c r="AO664" s="19" t="s">
        <v>208</v>
      </c>
      <c r="AP664" s="19" t="s">
        <v>209</v>
      </c>
      <c r="AQ664" s="19" t="s">
        <v>117</v>
      </c>
      <c r="AR664" s="19" t="s">
        <v>210</v>
      </c>
      <c r="AS664" s="19" t="s">
        <v>211</v>
      </c>
      <c r="AT664" s="19" t="s">
        <v>212</v>
      </c>
      <c r="AU664" s="19" t="s">
        <v>213</v>
      </c>
      <c r="AV664" s="19" t="s">
        <v>214</v>
      </c>
      <c r="AW664" s="19" t="s">
        <v>215</v>
      </c>
      <c r="AX664" s="19" t="s">
        <v>149</v>
      </c>
      <c r="AY664" s="19" t="s">
        <v>216</v>
      </c>
      <c r="AZ664" s="19" t="s">
        <v>217</v>
      </c>
      <c r="BA664" s="20">
        <v>35521</v>
      </c>
      <c r="BB664" s="19" t="s">
        <v>363</v>
      </c>
      <c r="BC664" s="19" t="s">
        <v>10317</v>
      </c>
      <c r="BD664" s="19" t="s">
        <v>148</v>
      </c>
      <c r="BE664" s="19" t="s">
        <v>130</v>
      </c>
      <c r="BF664" s="19" t="s">
        <v>10318</v>
      </c>
      <c r="BG664" s="19"/>
      <c r="BH664" s="19" t="s">
        <v>10319</v>
      </c>
      <c r="BI664" s="19" t="s">
        <v>10319</v>
      </c>
      <c r="BJ664" s="19" t="s">
        <v>194</v>
      </c>
      <c r="BK664" s="19" t="s">
        <v>3715</v>
      </c>
      <c r="BL664" s="19" t="s">
        <v>122</v>
      </c>
      <c r="BM664" s="19" t="s">
        <v>196</v>
      </c>
      <c r="BN664" s="21">
        <v>1491.6880000000001</v>
      </c>
      <c r="BO664" s="21">
        <v>24998.7516856</v>
      </c>
      <c r="BQ664" s="2"/>
      <c r="BR664" s="2"/>
      <c r="BS664" s="2"/>
      <c r="BT664" s="2"/>
      <c r="BU664" s="22"/>
      <c r="BV664" s="2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</row>
    <row r="665" spans="1:95" x14ac:dyDescent="0.25">
      <c r="A665" s="18">
        <v>662</v>
      </c>
      <c r="B665" s="19" t="s">
        <v>10320</v>
      </c>
      <c r="C665" s="19" t="s">
        <v>10321</v>
      </c>
      <c r="D665" s="20">
        <v>45998</v>
      </c>
      <c r="E665" s="20">
        <v>36025</v>
      </c>
      <c r="F665" s="19" t="s">
        <v>10322</v>
      </c>
      <c r="G665" s="19" t="s">
        <v>139</v>
      </c>
      <c r="H665" s="19" t="s">
        <v>94</v>
      </c>
      <c r="I665" s="19"/>
      <c r="J665" s="19"/>
      <c r="K665" s="19"/>
      <c r="L665" s="19" t="s">
        <v>467</v>
      </c>
      <c r="M665" s="19" t="s">
        <v>468</v>
      </c>
      <c r="N665" s="19" t="s">
        <v>10323</v>
      </c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 t="s">
        <v>101</v>
      </c>
      <c r="Z665" s="19" t="s">
        <v>102</v>
      </c>
      <c r="AA665" s="19" t="s">
        <v>103</v>
      </c>
      <c r="AB665" s="19" t="s">
        <v>247</v>
      </c>
      <c r="AC665" s="19" t="s">
        <v>248</v>
      </c>
      <c r="AD665" s="19" t="s">
        <v>10324</v>
      </c>
      <c r="AE665" s="19" t="s">
        <v>10325</v>
      </c>
      <c r="AF665" s="19" t="s">
        <v>10326</v>
      </c>
      <c r="AG665" s="19" t="s">
        <v>10327</v>
      </c>
      <c r="AH665" s="19" t="s">
        <v>1015</v>
      </c>
      <c r="AI665" s="19" t="s">
        <v>111</v>
      </c>
      <c r="AJ665" s="19" t="s">
        <v>10328</v>
      </c>
      <c r="AK665" s="19"/>
      <c r="AL665" s="19"/>
      <c r="AM665" s="19" t="s">
        <v>10329</v>
      </c>
      <c r="AN665" s="19" t="s">
        <v>10330</v>
      </c>
      <c r="AO665" s="19" t="s">
        <v>476</v>
      </c>
      <c r="AP665" s="19" t="s">
        <v>477</v>
      </c>
      <c r="AQ665" s="19" t="s">
        <v>117</v>
      </c>
      <c r="AR665" s="19" t="s">
        <v>478</v>
      </c>
      <c r="AS665" s="19"/>
      <c r="AT665" s="19"/>
      <c r="AU665" s="19"/>
      <c r="AV665" s="19"/>
      <c r="AW665" s="19"/>
      <c r="AX665" s="19"/>
      <c r="AY665" s="19"/>
      <c r="AZ665" s="19"/>
      <c r="BA665" s="20">
        <v>44452</v>
      </c>
      <c r="BB665" s="19" t="s">
        <v>444</v>
      </c>
      <c r="BC665" s="19" t="s">
        <v>10331</v>
      </c>
      <c r="BD665" s="19" t="s">
        <v>2599</v>
      </c>
      <c r="BE665" s="19" t="s">
        <v>130</v>
      </c>
      <c r="BF665" s="19" t="s">
        <v>10332</v>
      </c>
      <c r="BG665" s="19"/>
      <c r="BH665" s="19" t="s">
        <v>10333</v>
      </c>
      <c r="BI665" s="19" t="s">
        <v>10333</v>
      </c>
      <c r="BJ665" s="19" t="s">
        <v>166</v>
      </c>
      <c r="BK665" s="19" t="s">
        <v>167</v>
      </c>
      <c r="BL665" s="19" t="s">
        <v>168</v>
      </c>
      <c r="BM665" s="19" t="s">
        <v>169</v>
      </c>
      <c r="BN665" s="21">
        <v>57.231000000000002</v>
      </c>
      <c r="BO665" s="21">
        <v>25096.503164400001</v>
      </c>
      <c r="BQ665" s="2"/>
      <c r="BR665" s="2"/>
      <c r="BS665" s="2"/>
      <c r="BT665" s="2"/>
      <c r="BU665" s="22"/>
      <c r="BV665" s="2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</row>
    <row r="666" spans="1:95" x14ac:dyDescent="0.25">
      <c r="A666" s="18">
        <v>663</v>
      </c>
      <c r="B666" s="19" t="s">
        <v>10334</v>
      </c>
      <c r="C666" s="19" t="s">
        <v>10335</v>
      </c>
      <c r="D666" s="20">
        <v>45999</v>
      </c>
      <c r="E666" s="20">
        <v>31154</v>
      </c>
      <c r="F666" s="19" t="s">
        <v>10336</v>
      </c>
      <c r="G666" s="19" t="s">
        <v>139</v>
      </c>
      <c r="H666" s="19" t="s">
        <v>94</v>
      </c>
      <c r="I666" s="19"/>
      <c r="J666" s="19"/>
      <c r="K666" s="19"/>
      <c r="L666" s="19" t="s">
        <v>101</v>
      </c>
      <c r="M666" s="19" t="s">
        <v>290</v>
      </c>
      <c r="N666" s="19" t="s">
        <v>10337</v>
      </c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 t="s">
        <v>101</v>
      </c>
      <c r="Z666" s="19" t="s">
        <v>102</v>
      </c>
      <c r="AA666" s="19" t="s">
        <v>103</v>
      </c>
      <c r="AB666" s="19" t="s">
        <v>7970</v>
      </c>
      <c r="AC666" s="19" t="s">
        <v>7971</v>
      </c>
      <c r="AD666" s="19" t="s">
        <v>10338</v>
      </c>
      <c r="AE666" s="19" t="s">
        <v>10339</v>
      </c>
      <c r="AF666" s="19" t="s">
        <v>10340</v>
      </c>
      <c r="AG666" s="19" t="s">
        <v>490</v>
      </c>
      <c r="AH666" s="19" t="s">
        <v>262</v>
      </c>
      <c r="AI666" s="19" t="s">
        <v>111</v>
      </c>
      <c r="AJ666" s="19" t="s">
        <v>261</v>
      </c>
      <c r="AK666" s="19"/>
      <c r="AL666" s="19"/>
      <c r="AM666" s="19" t="s">
        <v>10341</v>
      </c>
      <c r="AN666" s="19" t="s">
        <v>10342</v>
      </c>
      <c r="AO666" s="19" t="s">
        <v>476</v>
      </c>
      <c r="AP666" s="19" t="s">
        <v>477</v>
      </c>
      <c r="AQ666" s="19" t="s">
        <v>117</v>
      </c>
      <c r="AR666" s="19" t="s">
        <v>478</v>
      </c>
      <c r="AS666" s="19"/>
      <c r="AT666" s="19"/>
      <c r="AU666" s="19"/>
      <c r="AV666" s="19"/>
      <c r="AW666" s="19"/>
      <c r="AX666" s="19"/>
      <c r="AY666" s="19"/>
      <c r="AZ666" s="19"/>
      <c r="BA666" s="20">
        <v>44452</v>
      </c>
      <c r="BB666" s="19" t="s">
        <v>444</v>
      </c>
      <c r="BC666" s="19" t="s">
        <v>10343</v>
      </c>
      <c r="BD666" s="19" t="s">
        <v>1300</v>
      </c>
      <c r="BE666" s="19" t="s">
        <v>130</v>
      </c>
      <c r="BF666" s="19" t="s">
        <v>10344</v>
      </c>
      <c r="BG666" s="19"/>
      <c r="BH666" s="19" t="s">
        <v>10345</v>
      </c>
      <c r="BI666" s="19" t="s">
        <v>10345</v>
      </c>
      <c r="BJ666" s="19" t="s">
        <v>166</v>
      </c>
      <c r="BK666" s="19" t="s">
        <v>167</v>
      </c>
      <c r="BL666" s="19" t="s">
        <v>168</v>
      </c>
      <c r="BM666" s="19" t="s">
        <v>169</v>
      </c>
      <c r="BN666" s="21">
        <v>5.18</v>
      </c>
      <c r="BO666" s="21">
        <v>2006.6123419999999</v>
      </c>
      <c r="BQ666" s="2"/>
      <c r="BR666" s="2"/>
      <c r="BS666" s="2"/>
      <c r="BT666" s="2"/>
      <c r="BU666" s="22"/>
      <c r="BV666" s="2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</row>
    <row r="667" spans="1:95" x14ac:dyDescent="0.25">
      <c r="A667" s="18">
        <v>664</v>
      </c>
      <c r="B667" s="19" t="s">
        <v>10346</v>
      </c>
      <c r="C667" s="19" t="s">
        <v>10347</v>
      </c>
      <c r="D667" s="20">
        <v>45992</v>
      </c>
      <c r="E667" s="20">
        <v>29809</v>
      </c>
      <c r="F667" s="19" t="s">
        <v>10348</v>
      </c>
      <c r="G667" s="19" t="s">
        <v>139</v>
      </c>
      <c r="H667" s="19" t="s">
        <v>94</v>
      </c>
      <c r="I667" s="19"/>
      <c r="J667" s="19"/>
      <c r="K667" s="19"/>
      <c r="L667" s="19" t="s">
        <v>244</v>
      </c>
      <c r="M667" s="19" t="s">
        <v>245</v>
      </c>
      <c r="N667" s="19" t="s">
        <v>10349</v>
      </c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 t="s">
        <v>101</v>
      </c>
      <c r="Z667" s="19" t="s">
        <v>102</v>
      </c>
      <c r="AA667" s="19" t="s">
        <v>103</v>
      </c>
      <c r="AB667" s="19" t="s">
        <v>143</v>
      </c>
      <c r="AC667" s="19" t="s">
        <v>144</v>
      </c>
      <c r="AD667" s="19" t="s">
        <v>10350</v>
      </c>
      <c r="AE667" s="19" t="s">
        <v>10351</v>
      </c>
      <c r="AF667" s="19" t="s">
        <v>10352</v>
      </c>
      <c r="AG667" s="19" t="s">
        <v>10353</v>
      </c>
      <c r="AH667" s="19" t="s">
        <v>10354</v>
      </c>
      <c r="AI667" s="19" t="s">
        <v>111</v>
      </c>
      <c r="AJ667" s="19" t="s">
        <v>10355</v>
      </c>
      <c r="AK667" s="19"/>
      <c r="AL667" s="19"/>
      <c r="AM667" s="19" t="s">
        <v>10356</v>
      </c>
      <c r="AN667" s="19" t="s">
        <v>10357</v>
      </c>
      <c r="AO667" s="19" t="s">
        <v>255</v>
      </c>
      <c r="AP667" s="19" t="s">
        <v>256</v>
      </c>
      <c r="AQ667" s="19" t="s">
        <v>117</v>
      </c>
      <c r="AR667" s="19" t="s">
        <v>257</v>
      </c>
      <c r="AS667" s="19" t="s">
        <v>258</v>
      </c>
      <c r="AT667" s="19" t="s">
        <v>259</v>
      </c>
      <c r="AU667" s="19" t="s">
        <v>260</v>
      </c>
      <c r="AV667" s="19" t="s">
        <v>260</v>
      </c>
      <c r="AW667" s="19" t="s">
        <v>261</v>
      </c>
      <c r="AX667" s="19" t="s">
        <v>262</v>
      </c>
      <c r="AY667" s="19" t="s">
        <v>263</v>
      </c>
      <c r="AZ667" s="19" t="s">
        <v>264</v>
      </c>
      <c r="BA667" s="20">
        <v>43627</v>
      </c>
      <c r="BB667" s="19" t="s">
        <v>444</v>
      </c>
      <c r="BC667" s="19" t="s">
        <v>10358</v>
      </c>
      <c r="BD667" s="19" t="s">
        <v>260</v>
      </c>
      <c r="BE667" s="19" t="s">
        <v>130</v>
      </c>
      <c r="BF667" s="19" t="s">
        <v>10359</v>
      </c>
      <c r="BG667" s="19"/>
      <c r="BH667" s="19" t="s">
        <v>10360</v>
      </c>
      <c r="BI667" s="19" t="s">
        <v>10360</v>
      </c>
      <c r="BJ667" s="19" t="s">
        <v>166</v>
      </c>
      <c r="BK667" s="19" t="s">
        <v>167</v>
      </c>
      <c r="BL667" s="19" t="s">
        <v>168</v>
      </c>
      <c r="BM667" s="19" t="s">
        <v>169</v>
      </c>
      <c r="BN667" s="21">
        <v>265.30900000000003</v>
      </c>
      <c r="BO667" s="21">
        <v>10105.61981</v>
      </c>
      <c r="BQ667" s="2"/>
      <c r="BR667" s="2"/>
      <c r="BS667" s="2"/>
      <c r="BT667" s="2"/>
      <c r="BU667" s="22"/>
      <c r="BV667" s="2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</row>
    <row r="668" spans="1:95" x14ac:dyDescent="0.25">
      <c r="A668" s="18">
        <v>665</v>
      </c>
      <c r="B668" s="19" t="s">
        <v>10361</v>
      </c>
      <c r="C668" s="19" t="s">
        <v>10362</v>
      </c>
      <c r="D668" s="20">
        <v>45992</v>
      </c>
      <c r="E668" s="20">
        <v>30604</v>
      </c>
      <c r="F668" s="19"/>
      <c r="G668" s="19"/>
      <c r="H668" s="19" t="s">
        <v>94</v>
      </c>
      <c r="I668" s="19"/>
      <c r="J668" s="19"/>
      <c r="K668" s="19"/>
      <c r="L668" s="19" t="s">
        <v>140</v>
      </c>
      <c r="M668" s="19" t="s">
        <v>141</v>
      </c>
      <c r="N668" s="19" t="s">
        <v>10363</v>
      </c>
      <c r="O668" s="19" t="s">
        <v>100</v>
      </c>
      <c r="P668" s="19"/>
      <c r="Q668" s="19"/>
      <c r="R668" s="19"/>
      <c r="S668" s="19"/>
      <c r="T668" s="19"/>
      <c r="U668" s="19"/>
      <c r="V668" s="19"/>
      <c r="W668" s="19"/>
      <c r="X668" s="19"/>
      <c r="Y668" s="19" t="s">
        <v>101</v>
      </c>
      <c r="Z668" s="19" t="s">
        <v>102</v>
      </c>
      <c r="AA668" s="19" t="s">
        <v>103</v>
      </c>
      <c r="AB668" s="19" t="s">
        <v>173</v>
      </c>
      <c r="AC668" s="19" t="s">
        <v>174</v>
      </c>
      <c r="AD668" s="19" t="s">
        <v>10364</v>
      </c>
      <c r="AE668" s="19" t="s">
        <v>10365</v>
      </c>
      <c r="AF668" s="19" t="s">
        <v>10366</v>
      </c>
      <c r="AG668" s="19" t="s">
        <v>755</v>
      </c>
      <c r="AH668" s="19" t="s">
        <v>757</v>
      </c>
      <c r="AI668" s="19" t="s">
        <v>111</v>
      </c>
      <c r="AJ668" s="19" t="s">
        <v>2689</v>
      </c>
      <c r="AK668" s="19"/>
      <c r="AL668" s="19"/>
      <c r="AM668" s="19" t="s">
        <v>10367</v>
      </c>
      <c r="AN668" s="19" t="s">
        <v>10368</v>
      </c>
      <c r="AO668" s="19" t="s">
        <v>181</v>
      </c>
      <c r="AP668" s="19" t="s">
        <v>182</v>
      </c>
      <c r="AQ668" s="19" t="s">
        <v>117</v>
      </c>
      <c r="AR668" s="19" t="s">
        <v>183</v>
      </c>
      <c r="AS668" s="19" t="s">
        <v>184</v>
      </c>
      <c r="AT668" s="19" t="s">
        <v>185</v>
      </c>
      <c r="AU668" s="19"/>
      <c r="AV668" s="19" t="s">
        <v>186</v>
      </c>
      <c r="AW668" s="19" t="s">
        <v>187</v>
      </c>
      <c r="AX668" s="19" t="s">
        <v>188</v>
      </c>
      <c r="AY668" s="19"/>
      <c r="AZ668" s="19" t="s">
        <v>189</v>
      </c>
      <c r="BA668" s="20">
        <v>44673</v>
      </c>
      <c r="BB668" s="19" t="s">
        <v>661</v>
      </c>
      <c r="BC668" s="19" t="s">
        <v>10369</v>
      </c>
      <c r="BD668" s="19" t="s">
        <v>755</v>
      </c>
      <c r="BE668" s="19" t="s">
        <v>130</v>
      </c>
      <c r="BF668" s="19" t="s">
        <v>10370</v>
      </c>
      <c r="BG668" s="19"/>
      <c r="BH668" s="19" t="s">
        <v>10371</v>
      </c>
      <c r="BI668" s="19" t="s">
        <v>10371</v>
      </c>
      <c r="BJ668" s="19" t="s">
        <v>194</v>
      </c>
      <c r="BK668" s="19" t="s">
        <v>195</v>
      </c>
      <c r="BL668" s="19" t="s">
        <v>122</v>
      </c>
      <c r="BM668" s="19" t="s">
        <v>196</v>
      </c>
      <c r="BN668" s="21">
        <v>3.6909999999999998</v>
      </c>
      <c r="BO668" s="21">
        <v>130.75072220000001</v>
      </c>
      <c r="BQ668" s="2"/>
      <c r="BR668" s="2"/>
      <c r="BS668" s="2"/>
      <c r="BT668" s="2"/>
      <c r="BU668" s="22"/>
      <c r="BV668" s="2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</row>
    <row r="669" spans="1:95" x14ac:dyDescent="0.25">
      <c r="A669" s="18">
        <v>666</v>
      </c>
      <c r="B669" s="19" t="s">
        <v>10372</v>
      </c>
      <c r="C669" s="19" t="s">
        <v>10373</v>
      </c>
      <c r="D669" s="20">
        <v>45999</v>
      </c>
      <c r="E669" s="20">
        <v>29563</v>
      </c>
      <c r="F669" s="19"/>
      <c r="G669" s="19"/>
      <c r="H669" s="19" t="s">
        <v>94</v>
      </c>
      <c r="I669" s="19"/>
      <c r="J669" s="19"/>
      <c r="K669" s="19"/>
      <c r="L669" s="19" t="s">
        <v>244</v>
      </c>
      <c r="M669" s="19" t="s">
        <v>245</v>
      </c>
      <c r="N669" s="19" t="s">
        <v>10374</v>
      </c>
      <c r="O669" s="19" t="s">
        <v>100</v>
      </c>
      <c r="P669" s="19"/>
      <c r="Q669" s="19"/>
      <c r="R669" s="19"/>
      <c r="S669" s="19"/>
      <c r="T669" s="19"/>
      <c r="U669" s="19"/>
      <c r="V669" s="19"/>
      <c r="W669" s="19"/>
      <c r="X669" s="19"/>
      <c r="Y669" s="19" t="s">
        <v>101</v>
      </c>
      <c r="Z669" s="19" t="s">
        <v>102</v>
      </c>
      <c r="AA669" s="19" t="s">
        <v>103</v>
      </c>
      <c r="AB669" s="19" t="s">
        <v>1372</v>
      </c>
      <c r="AC669" s="19" t="s">
        <v>1373</v>
      </c>
      <c r="AD669" s="19" t="s">
        <v>10375</v>
      </c>
      <c r="AE669" s="19" t="s">
        <v>10376</v>
      </c>
      <c r="AF669" s="19" t="s">
        <v>10377</v>
      </c>
      <c r="AG669" s="19" t="s">
        <v>10378</v>
      </c>
      <c r="AH669" s="19" t="s">
        <v>707</v>
      </c>
      <c r="AI669" s="19" t="s">
        <v>111</v>
      </c>
      <c r="AJ669" s="19" t="s">
        <v>10379</v>
      </c>
      <c r="AK669" s="19"/>
      <c r="AL669" s="19"/>
      <c r="AM669" s="19" t="s">
        <v>10380</v>
      </c>
      <c r="AN669" s="19" t="s">
        <v>10381</v>
      </c>
      <c r="AO669" s="19" t="s">
        <v>1545</v>
      </c>
      <c r="AP669" s="19" t="s">
        <v>116</v>
      </c>
      <c r="AQ669" s="19" t="s">
        <v>94</v>
      </c>
      <c r="AR669" s="19" t="s">
        <v>118</v>
      </c>
      <c r="AS669" s="19" t="s">
        <v>119</v>
      </c>
      <c r="AT669" s="19" t="s">
        <v>120</v>
      </c>
      <c r="AU669" s="19" t="s">
        <v>121</v>
      </c>
      <c r="AV669" s="19" t="s">
        <v>122</v>
      </c>
      <c r="AW669" s="19" t="s">
        <v>123</v>
      </c>
      <c r="AX669" s="19" t="s">
        <v>124</v>
      </c>
      <c r="AY669" s="19" t="s">
        <v>125</v>
      </c>
      <c r="AZ669" s="19" t="s">
        <v>1546</v>
      </c>
      <c r="BA669" s="20">
        <v>45181</v>
      </c>
      <c r="BB669" s="19" t="s">
        <v>1547</v>
      </c>
      <c r="BC669" s="19" t="s">
        <v>10382</v>
      </c>
      <c r="BD669" s="19" t="s">
        <v>10378</v>
      </c>
      <c r="BE669" s="19" t="s">
        <v>130</v>
      </c>
      <c r="BF669" s="19" t="s">
        <v>10383</v>
      </c>
      <c r="BG669" s="19"/>
      <c r="BH669" s="19" t="s">
        <v>10384</v>
      </c>
      <c r="BI669" s="19" t="s">
        <v>10384</v>
      </c>
      <c r="BJ669" s="19" t="s">
        <v>133</v>
      </c>
      <c r="BK669" s="19" t="s">
        <v>195</v>
      </c>
      <c r="BL669" s="19" t="s">
        <v>122</v>
      </c>
      <c r="BM669" s="19" t="s">
        <v>196</v>
      </c>
      <c r="BN669" s="21">
        <v>53.543999999999997</v>
      </c>
      <c r="BO669" s="21">
        <v>2072.0564208000001</v>
      </c>
      <c r="BQ669" s="2"/>
      <c r="BR669" s="2"/>
      <c r="BS669" s="2"/>
      <c r="BT669" s="2"/>
      <c r="BU669" s="22"/>
      <c r="BV669" s="2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</row>
    <row r="670" spans="1:95" x14ac:dyDescent="0.25">
      <c r="A670" s="18">
        <v>667</v>
      </c>
      <c r="B670" s="19" t="s">
        <v>10385</v>
      </c>
      <c r="C670" s="19" t="s">
        <v>10386</v>
      </c>
      <c r="D670" s="20">
        <v>45999</v>
      </c>
      <c r="E670" s="20">
        <v>34709</v>
      </c>
      <c r="F670" s="19"/>
      <c r="G670" s="19"/>
      <c r="H670" s="19" t="s">
        <v>94</v>
      </c>
      <c r="I670" s="19"/>
      <c r="J670" s="19"/>
      <c r="K670" s="19"/>
      <c r="L670" s="19" t="s">
        <v>101</v>
      </c>
      <c r="M670" s="19" t="s">
        <v>290</v>
      </c>
      <c r="N670" s="19" t="s">
        <v>10387</v>
      </c>
      <c r="O670" s="19" t="s">
        <v>100</v>
      </c>
      <c r="P670" s="19"/>
      <c r="Q670" s="19"/>
      <c r="R670" s="19"/>
      <c r="S670" s="19"/>
      <c r="T670" s="19"/>
      <c r="U670" s="19"/>
      <c r="V670" s="19"/>
      <c r="W670" s="19"/>
      <c r="X670" s="19"/>
      <c r="Y670" s="19" t="s">
        <v>101</v>
      </c>
      <c r="Z670" s="19" t="s">
        <v>102</v>
      </c>
      <c r="AA670" s="19" t="s">
        <v>103</v>
      </c>
      <c r="AB670" s="19" t="s">
        <v>3307</v>
      </c>
      <c r="AC670" s="19" t="s">
        <v>3308</v>
      </c>
      <c r="AD670" s="19" t="s">
        <v>10388</v>
      </c>
      <c r="AE670" s="19" t="s">
        <v>10389</v>
      </c>
      <c r="AF670" s="19" t="s">
        <v>3007</v>
      </c>
      <c r="AG670" s="19" t="s">
        <v>3007</v>
      </c>
      <c r="AH670" s="19" t="s">
        <v>942</v>
      </c>
      <c r="AI670" s="19" t="s">
        <v>111</v>
      </c>
      <c r="AJ670" s="19" t="s">
        <v>2998</v>
      </c>
      <c r="AK670" s="19"/>
      <c r="AL670" s="19"/>
      <c r="AM670" s="19" t="s">
        <v>10390</v>
      </c>
      <c r="AN670" s="19" t="s">
        <v>10391</v>
      </c>
      <c r="AO670" s="19" t="s">
        <v>835</v>
      </c>
      <c r="AP670" s="19" t="s">
        <v>836</v>
      </c>
      <c r="AQ670" s="19" t="s">
        <v>117</v>
      </c>
      <c r="AR670" s="19" t="s">
        <v>837</v>
      </c>
      <c r="AS670" s="19" t="s">
        <v>838</v>
      </c>
      <c r="AT670" s="19" t="s">
        <v>839</v>
      </c>
      <c r="AU670" s="19" t="s">
        <v>840</v>
      </c>
      <c r="AV670" s="19" t="s">
        <v>841</v>
      </c>
      <c r="AW670" s="19"/>
      <c r="AX670" s="19" t="s">
        <v>707</v>
      </c>
      <c r="AY670" s="19" t="s">
        <v>842</v>
      </c>
      <c r="AZ670" s="19" t="s">
        <v>843</v>
      </c>
      <c r="BA670" s="20">
        <v>45453</v>
      </c>
      <c r="BB670" s="19" t="s">
        <v>349</v>
      </c>
      <c r="BC670" s="19" t="s">
        <v>10392</v>
      </c>
      <c r="BD670" s="19" t="s">
        <v>10393</v>
      </c>
      <c r="BE670" s="19" t="s">
        <v>130</v>
      </c>
      <c r="BF670" s="19" t="s">
        <v>10394</v>
      </c>
      <c r="BG670" s="19"/>
      <c r="BH670" s="19" t="s">
        <v>10395</v>
      </c>
      <c r="BI670" s="19" t="s">
        <v>10395</v>
      </c>
      <c r="BJ670" s="19" t="s">
        <v>194</v>
      </c>
      <c r="BK670" s="19" t="s">
        <v>195</v>
      </c>
      <c r="BL670" s="19" t="s">
        <v>122</v>
      </c>
      <c r="BM670" s="19" t="s">
        <v>196</v>
      </c>
      <c r="BN670" s="21">
        <v>0</v>
      </c>
      <c r="BO670" s="21">
        <v>0</v>
      </c>
      <c r="BQ670" s="2"/>
      <c r="BR670" s="2"/>
      <c r="BS670" s="2"/>
      <c r="BT670" s="2"/>
      <c r="BU670" s="22"/>
      <c r="BV670" s="2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</row>
    <row r="671" spans="1:95" x14ac:dyDescent="0.25">
      <c r="A671" s="18">
        <v>668</v>
      </c>
      <c r="B671" s="19" t="s">
        <v>10396</v>
      </c>
      <c r="C671" s="19" t="s">
        <v>10397</v>
      </c>
      <c r="D671" s="20">
        <v>45999</v>
      </c>
      <c r="E671" s="20">
        <v>29664</v>
      </c>
      <c r="F671" s="19"/>
      <c r="G671" s="19"/>
      <c r="H671" s="19" t="s">
        <v>94</v>
      </c>
      <c r="I671" s="19"/>
      <c r="J671" s="19"/>
      <c r="K671" s="19"/>
      <c r="L671" s="19"/>
      <c r="M671" s="19"/>
      <c r="N671" s="19" t="s">
        <v>10398</v>
      </c>
      <c r="O671" s="19" t="s">
        <v>100</v>
      </c>
      <c r="P671" s="19"/>
      <c r="Q671" s="19"/>
      <c r="R671" s="19"/>
      <c r="S671" s="19"/>
      <c r="T671" s="19"/>
      <c r="U671" s="19"/>
      <c r="V671" s="19"/>
      <c r="W671" s="19"/>
      <c r="X671" s="19"/>
      <c r="Y671" s="19" t="s">
        <v>101</v>
      </c>
      <c r="Z671" s="19" t="s">
        <v>102</v>
      </c>
      <c r="AA671" s="19" t="s">
        <v>103</v>
      </c>
      <c r="AB671" s="19" t="s">
        <v>247</v>
      </c>
      <c r="AC671" s="19" t="s">
        <v>248</v>
      </c>
      <c r="AD671" s="19" t="s">
        <v>10399</v>
      </c>
      <c r="AE671" s="19" t="s">
        <v>10400</v>
      </c>
      <c r="AF671" s="19"/>
      <c r="AG671" s="19" t="s">
        <v>277</v>
      </c>
      <c r="AH671" s="19" t="s">
        <v>124</v>
      </c>
      <c r="AI671" s="19" t="s">
        <v>111</v>
      </c>
      <c r="AJ671" s="19" t="s">
        <v>10401</v>
      </c>
      <c r="AK671" s="19"/>
      <c r="AL671" s="19" t="s">
        <v>10402</v>
      </c>
      <c r="AM671" s="19" t="s">
        <v>10403</v>
      </c>
      <c r="AN671" s="19" t="s">
        <v>10404</v>
      </c>
      <c r="AO671" s="19" t="s">
        <v>1077</v>
      </c>
      <c r="AP671" s="19" t="s">
        <v>1077</v>
      </c>
      <c r="AQ671" s="19" t="s">
        <v>117</v>
      </c>
      <c r="AR671" s="19"/>
      <c r="AS671" s="19" t="s">
        <v>1078</v>
      </c>
      <c r="AT671" s="19"/>
      <c r="AU671" s="19"/>
      <c r="AV671" s="19"/>
      <c r="AW671" s="19" t="s">
        <v>1079</v>
      </c>
      <c r="AX671" s="19"/>
      <c r="AY671" s="19"/>
      <c r="AZ671" s="19"/>
      <c r="BA671" s="20">
        <v>38627</v>
      </c>
      <c r="BB671" s="19" t="s">
        <v>2253</v>
      </c>
      <c r="BC671" s="19" t="s">
        <v>10405</v>
      </c>
      <c r="BD671" s="19" t="s">
        <v>1955</v>
      </c>
      <c r="BE671" s="19" t="s">
        <v>130</v>
      </c>
      <c r="BF671" s="19" t="s">
        <v>10406</v>
      </c>
      <c r="BG671" s="19"/>
      <c r="BH671" s="19" t="s">
        <v>10407</v>
      </c>
      <c r="BI671" s="19" t="s">
        <v>10407</v>
      </c>
      <c r="BJ671" s="19" t="s">
        <v>166</v>
      </c>
      <c r="BK671" s="19" t="s">
        <v>1084</v>
      </c>
      <c r="BL671" s="19" t="s">
        <v>222</v>
      </c>
      <c r="BM671" s="19" t="s">
        <v>169</v>
      </c>
      <c r="BN671" s="21">
        <v>0</v>
      </c>
      <c r="BO671" s="21">
        <v>0</v>
      </c>
      <c r="BQ671" s="2"/>
      <c r="BR671" s="2"/>
      <c r="BS671" s="2"/>
      <c r="BT671" s="2"/>
      <c r="BU671" s="22"/>
      <c r="BV671" s="2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</row>
    <row r="672" spans="1:95" x14ac:dyDescent="0.25">
      <c r="A672" s="18">
        <v>669</v>
      </c>
      <c r="B672" s="19" t="s">
        <v>10408</v>
      </c>
      <c r="C672" s="19" t="s">
        <v>10409</v>
      </c>
      <c r="D672" s="20">
        <v>45999</v>
      </c>
      <c r="E672" s="20">
        <v>34572</v>
      </c>
      <c r="F672" s="19"/>
      <c r="G672" s="19"/>
      <c r="H672" s="19" t="s">
        <v>94</v>
      </c>
      <c r="I672" s="19"/>
      <c r="J672" s="19"/>
      <c r="K672" s="19"/>
      <c r="L672" s="19" t="s">
        <v>244</v>
      </c>
      <c r="M672" s="19" t="s">
        <v>245</v>
      </c>
      <c r="N672" s="19" t="s">
        <v>10410</v>
      </c>
      <c r="O672" s="19" t="s">
        <v>100</v>
      </c>
      <c r="P672" s="19"/>
      <c r="Q672" s="19"/>
      <c r="R672" s="19"/>
      <c r="S672" s="19"/>
      <c r="T672" s="19"/>
      <c r="U672" s="19"/>
      <c r="V672" s="19"/>
      <c r="W672" s="19"/>
      <c r="X672" s="19"/>
      <c r="Y672" s="19" t="s">
        <v>3160</v>
      </c>
      <c r="Z672" s="19" t="s">
        <v>3161</v>
      </c>
      <c r="AA672" s="19" t="s">
        <v>103</v>
      </c>
      <c r="AB672" s="19" t="s">
        <v>1555</v>
      </c>
      <c r="AC672" s="19" t="s">
        <v>1556</v>
      </c>
      <c r="AD672" s="19" t="s">
        <v>10411</v>
      </c>
      <c r="AE672" s="19" t="s">
        <v>10412</v>
      </c>
      <c r="AF672" s="19" t="s">
        <v>10413</v>
      </c>
      <c r="AG672" s="19" t="s">
        <v>10413</v>
      </c>
      <c r="AH672" s="19" t="s">
        <v>677</v>
      </c>
      <c r="AI672" s="19" t="s">
        <v>111</v>
      </c>
      <c r="AJ672" s="19" t="s">
        <v>10414</v>
      </c>
      <c r="AK672" s="19"/>
      <c r="AL672" s="19"/>
      <c r="AM672" s="19" t="s">
        <v>10415</v>
      </c>
      <c r="AN672" s="19" t="s">
        <v>10416</v>
      </c>
      <c r="AO672" s="19" t="s">
        <v>10417</v>
      </c>
      <c r="AP672" s="19" t="s">
        <v>10418</v>
      </c>
      <c r="AQ672" s="19" t="s">
        <v>117</v>
      </c>
      <c r="AR672" s="19" t="s">
        <v>10419</v>
      </c>
      <c r="AS672" s="19" t="s">
        <v>10420</v>
      </c>
      <c r="AT672" s="19" t="s">
        <v>10421</v>
      </c>
      <c r="AU672" s="19" t="s">
        <v>10422</v>
      </c>
      <c r="AV672" s="19" t="s">
        <v>1044</v>
      </c>
      <c r="AW672" s="19" t="s">
        <v>9220</v>
      </c>
      <c r="AX672" s="19" t="s">
        <v>707</v>
      </c>
      <c r="AY672" s="19" t="s">
        <v>10423</v>
      </c>
      <c r="AZ672" s="19" t="s">
        <v>10424</v>
      </c>
      <c r="BA672" s="20">
        <v>45590</v>
      </c>
      <c r="BB672" s="19" t="s">
        <v>349</v>
      </c>
      <c r="BC672" s="19" t="s">
        <v>10425</v>
      </c>
      <c r="BD672" s="19" t="s">
        <v>1300</v>
      </c>
      <c r="BE672" s="19" t="s">
        <v>3180</v>
      </c>
      <c r="BF672" s="19" t="s">
        <v>10426</v>
      </c>
      <c r="BG672" s="19"/>
      <c r="BH672" s="19" t="s">
        <v>10427</v>
      </c>
      <c r="BI672" s="19" t="s">
        <v>10427</v>
      </c>
      <c r="BJ672" s="19" t="s">
        <v>194</v>
      </c>
      <c r="BK672" s="19" t="s">
        <v>591</v>
      </c>
      <c r="BL672" s="19" t="s">
        <v>122</v>
      </c>
      <c r="BM672" s="19" t="s">
        <v>592</v>
      </c>
      <c r="BN672" s="21">
        <v>19.132999999999999</v>
      </c>
      <c r="BO672" s="21">
        <v>15386.18461</v>
      </c>
      <c r="BQ672" s="2"/>
      <c r="BR672" s="2"/>
      <c r="BS672" s="2"/>
      <c r="BT672" s="2"/>
      <c r="BU672" s="22"/>
      <c r="BV672" s="2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</row>
    <row r="673" spans="1:95" x14ac:dyDescent="0.25">
      <c r="A673" s="18">
        <v>670</v>
      </c>
      <c r="B673" s="19" t="s">
        <v>10428</v>
      </c>
      <c r="C673" s="19" t="s">
        <v>10429</v>
      </c>
      <c r="D673" s="20">
        <v>45993</v>
      </c>
      <c r="E673" s="20">
        <v>34836</v>
      </c>
      <c r="F673" s="19" t="s">
        <v>10430</v>
      </c>
      <c r="G673" s="19" t="s">
        <v>139</v>
      </c>
      <c r="H673" s="19" t="s">
        <v>117</v>
      </c>
      <c r="I673" s="19" t="s">
        <v>10431</v>
      </c>
      <c r="J673" s="19"/>
      <c r="K673" s="19"/>
      <c r="L673" s="19" t="s">
        <v>140</v>
      </c>
      <c r="M673" s="19" t="s">
        <v>141</v>
      </c>
      <c r="N673" s="19" t="s">
        <v>10432</v>
      </c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 t="s">
        <v>101</v>
      </c>
      <c r="Z673" s="19" t="s">
        <v>102</v>
      </c>
      <c r="AA673" s="19" t="s">
        <v>103</v>
      </c>
      <c r="AB673" s="19" t="s">
        <v>850</v>
      </c>
      <c r="AC673" s="19" t="s">
        <v>851</v>
      </c>
      <c r="AD673" s="19" t="s">
        <v>10433</v>
      </c>
      <c r="AE673" s="19" t="s">
        <v>10434</v>
      </c>
      <c r="AF673" s="19" t="s">
        <v>10435</v>
      </c>
      <c r="AG673" s="19" t="s">
        <v>148</v>
      </c>
      <c r="AH673" s="19" t="s">
        <v>149</v>
      </c>
      <c r="AI673" s="19" t="s">
        <v>111</v>
      </c>
      <c r="AJ673" s="19" t="s">
        <v>10436</v>
      </c>
      <c r="AK673" s="19"/>
      <c r="AL673" s="19"/>
      <c r="AM673" s="19" t="s">
        <v>10437</v>
      </c>
      <c r="AN673" s="19" t="s">
        <v>10438</v>
      </c>
      <c r="AO673" s="19" t="s">
        <v>895</v>
      </c>
      <c r="AP673" s="19" t="s">
        <v>896</v>
      </c>
      <c r="AQ673" s="19" t="s">
        <v>117</v>
      </c>
      <c r="AR673" s="19" t="s">
        <v>897</v>
      </c>
      <c r="AS673" s="19" t="s">
        <v>898</v>
      </c>
      <c r="AT673" s="19" t="s">
        <v>899</v>
      </c>
      <c r="AU673" s="19" t="s">
        <v>900</v>
      </c>
      <c r="AV673" s="19" t="s">
        <v>122</v>
      </c>
      <c r="AW673" s="19" t="s">
        <v>123</v>
      </c>
      <c r="AX673" s="19" t="s">
        <v>901</v>
      </c>
      <c r="AY673" s="19" t="s">
        <v>902</v>
      </c>
      <c r="AZ673" s="19" t="s">
        <v>903</v>
      </c>
      <c r="BA673" s="20">
        <v>37265</v>
      </c>
      <c r="BB673" s="19" t="s">
        <v>331</v>
      </c>
      <c r="BC673" s="19" t="s">
        <v>10439</v>
      </c>
      <c r="BD673" s="19" t="s">
        <v>148</v>
      </c>
      <c r="BE673" s="19" t="s">
        <v>130</v>
      </c>
      <c r="BF673" s="19" t="s">
        <v>10440</v>
      </c>
      <c r="BG673" s="19"/>
      <c r="BH673" s="19" t="s">
        <v>10441</v>
      </c>
      <c r="BI673" s="19" t="s">
        <v>10441</v>
      </c>
      <c r="BJ673" s="19" t="s">
        <v>166</v>
      </c>
      <c r="BK673" s="19" t="s">
        <v>907</v>
      </c>
      <c r="BL673" s="19" t="s">
        <v>122</v>
      </c>
      <c r="BM673" s="19" t="s">
        <v>592</v>
      </c>
      <c r="BN673" s="21">
        <v>0.91200000000000003</v>
      </c>
      <c r="BO673" s="21">
        <v>100.31088</v>
      </c>
      <c r="BQ673" s="2"/>
      <c r="BR673" s="2"/>
      <c r="BS673" s="2"/>
      <c r="BT673" s="2"/>
      <c r="BU673" s="22"/>
      <c r="BV673" s="2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</row>
    <row r="674" spans="1:95" x14ac:dyDescent="0.25">
      <c r="A674" s="18">
        <v>671</v>
      </c>
      <c r="B674" s="19" t="s">
        <v>10442</v>
      </c>
      <c r="C674" s="19" t="s">
        <v>10443</v>
      </c>
      <c r="D674" s="20">
        <v>45994</v>
      </c>
      <c r="E674" s="20">
        <v>36161</v>
      </c>
      <c r="F674" s="19" t="s">
        <v>10444</v>
      </c>
      <c r="G674" s="19" t="s">
        <v>139</v>
      </c>
      <c r="H674" s="19" t="s">
        <v>117</v>
      </c>
      <c r="I674" s="19" t="s">
        <v>10445</v>
      </c>
      <c r="J674" s="19"/>
      <c r="K674" s="19"/>
      <c r="L674" s="19" t="s">
        <v>140</v>
      </c>
      <c r="M674" s="19" t="s">
        <v>141</v>
      </c>
      <c r="N674" s="19" t="s">
        <v>10446</v>
      </c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 t="s">
        <v>101</v>
      </c>
      <c r="Z674" s="19" t="s">
        <v>102</v>
      </c>
      <c r="AA674" s="19" t="s">
        <v>103</v>
      </c>
      <c r="AB674" s="19" t="s">
        <v>2810</v>
      </c>
      <c r="AC674" s="19" t="s">
        <v>2811</v>
      </c>
      <c r="AD674" s="19" t="s">
        <v>10447</v>
      </c>
      <c r="AE674" s="19" t="s">
        <v>10448</v>
      </c>
      <c r="AF674" s="19"/>
      <c r="AG674" s="19" t="s">
        <v>6789</v>
      </c>
      <c r="AH674" s="19" t="s">
        <v>757</v>
      </c>
      <c r="AI674" s="19" t="s">
        <v>111</v>
      </c>
      <c r="AJ674" s="19" t="s">
        <v>10449</v>
      </c>
      <c r="AK674" s="19"/>
      <c r="AL674" s="19"/>
      <c r="AM674" s="19" t="s">
        <v>10450</v>
      </c>
      <c r="AN674" s="19" t="s">
        <v>10451</v>
      </c>
      <c r="AO674" s="19" t="s">
        <v>4174</v>
      </c>
      <c r="AP674" s="19" t="s">
        <v>4175</v>
      </c>
      <c r="AQ674" s="19" t="s">
        <v>117</v>
      </c>
      <c r="AR674" s="19" t="s">
        <v>4176</v>
      </c>
      <c r="AS674" s="19" t="s">
        <v>4177</v>
      </c>
      <c r="AT674" s="19" t="s">
        <v>4178</v>
      </c>
      <c r="AU674" s="19" t="s">
        <v>4179</v>
      </c>
      <c r="AV674" s="19" t="s">
        <v>3837</v>
      </c>
      <c r="AW674" s="19" t="s">
        <v>4180</v>
      </c>
      <c r="AX674" s="19" t="s">
        <v>149</v>
      </c>
      <c r="AY674" s="19" t="s">
        <v>4181</v>
      </c>
      <c r="AZ674" s="19" t="s">
        <v>4182</v>
      </c>
      <c r="BA674" s="20">
        <v>39037</v>
      </c>
      <c r="BB674" s="19" t="s">
        <v>331</v>
      </c>
      <c r="BC674" s="19" t="s">
        <v>10452</v>
      </c>
      <c r="BD674" s="19" t="s">
        <v>148</v>
      </c>
      <c r="BE674" s="19" t="s">
        <v>130</v>
      </c>
      <c r="BF674" s="19" t="s">
        <v>10453</v>
      </c>
      <c r="BG674" s="19"/>
      <c r="BH674" s="19" t="s">
        <v>10454</v>
      </c>
      <c r="BI674" s="19" t="s">
        <v>10454</v>
      </c>
      <c r="BJ674" s="19" t="s">
        <v>166</v>
      </c>
      <c r="BK674" s="19" t="s">
        <v>907</v>
      </c>
      <c r="BL674" s="19" t="s">
        <v>122</v>
      </c>
      <c r="BM674" s="19" t="s">
        <v>592</v>
      </c>
      <c r="BN674" s="21">
        <v>10.624000000000001</v>
      </c>
      <c r="BO674" s="21">
        <v>4001.4637312</v>
      </c>
      <c r="BQ674" s="2"/>
      <c r="BR674" s="2"/>
      <c r="BS674" s="2"/>
      <c r="BT674" s="2"/>
      <c r="BU674" s="22"/>
      <c r="BV674" s="2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</row>
    <row r="675" spans="1:95" x14ac:dyDescent="0.25">
      <c r="A675" s="18">
        <v>672</v>
      </c>
      <c r="B675" s="19" t="s">
        <v>10455</v>
      </c>
      <c r="C675" s="19" t="s">
        <v>10456</v>
      </c>
      <c r="D675" s="20">
        <v>46000</v>
      </c>
      <c r="E675" s="20">
        <v>27269</v>
      </c>
      <c r="F675" s="19"/>
      <c r="G675" s="19"/>
      <c r="H675" s="19" t="s">
        <v>94</v>
      </c>
      <c r="I675" s="19"/>
      <c r="J675" s="19"/>
      <c r="K675" s="19"/>
      <c r="L675" s="19" t="s">
        <v>687</v>
      </c>
      <c r="M675" s="19" t="s">
        <v>688</v>
      </c>
      <c r="N675" s="19" t="s">
        <v>10457</v>
      </c>
      <c r="O675" s="19" t="s">
        <v>100</v>
      </c>
      <c r="P675" s="19"/>
      <c r="Q675" s="19"/>
      <c r="R675" s="19"/>
      <c r="S675" s="19"/>
      <c r="T675" s="19"/>
      <c r="U675" s="19"/>
      <c r="V675" s="19"/>
      <c r="W675" s="19"/>
      <c r="X675" s="19"/>
      <c r="Y675" s="19" t="s">
        <v>101</v>
      </c>
      <c r="Z675" s="19" t="s">
        <v>102</v>
      </c>
      <c r="AA675" s="19" t="s">
        <v>103</v>
      </c>
      <c r="AB675" s="19" t="s">
        <v>402</v>
      </c>
      <c r="AC675" s="19" t="s">
        <v>403</v>
      </c>
      <c r="AD675" s="19" t="s">
        <v>10458</v>
      </c>
      <c r="AE675" s="19" t="s">
        <v>10459</v>
      </c>
      <c r="AF675" s="19" t="s">
        <v>10460</v>
      </c>
      <c r="AG675" s="19" t="s">
        <v>3007</v>
      </c>
      <c r="AH675" s="19" t="s">
        <v>942</v>
      </c>
      <c r="AI675" s="19" t="s">
        <v>111</v>
      </c>
      <c r="AJ675" s="19" t="s">
        <v>10461</v>
      </c>
      <c r="AK675" s="19"/>
      <c r="AL675" s="19"/>
      <c r="AM675" s="19" t="s">
        <v>10462</v>
      </c>
      <c r="AN675" s="19" t="s">
        <v>10463</v>
      </c>
      <c r="AO675" s="19" t="s">
        <v>3001</v>
      </c>
      <c r="AP675" s="19" t="s">
        <v>3002</v>
      </c>
      <c r="AQ675" s="19" t="s">
        <v>117</v>
      </c>
      <c r="AR675" s="19" t="s">
        <v>3003</v>
      </c>
      <c r="AS675" s="19" t="s">
        <v>3004</v>
      </c>
      <c r="AT675" s="19" t="s">
        <v>3005</v>
      </c>
      <c r="AU675" s="19" t="s">
        <v>3006</v>
      </c>
      <c r="AV675" s="19" t="s">
        <v>3007</v>
      </c>
      <c r="AW675" s="19" t="s">
        <v>2998</v>
      </c>
      <c r="AX675" s="19" t="s">
        <v>942</v>
      </c>
      <c r="AY675" s="19" t="s">
        <v>3008</v>
      </c>
      <c r="AZ675" s="19" t="s">
        <v>3009</v>
      </c>
      <c r="BA675" s="20">
        <v>45656</v>
      </c>
      <c r="BB675" s="19" t="s">
        <v>444</v>
      </c>
      <c r="BC675" s="19" t="s">
        <v>8983</v>
      </c>
      <c r="BD675" s="19" t="s">
        <v>941</v>
      </c>
      <c r="BE675" s="19" t="s">
        <v>130</v>
      </c>
      <c r="BF675" s="19" t="s">
        <v>10464</v>
      </c>
      <c r="BG675" s="19"/>
      <c r="BH675" s="19" t="s">
        <v>10465</v>
      </c>
      <c r="BI675" s="19" t="s">
        <v>10465</v>
      </c>
      <c r="BJ675" s="19" t="s">
        <v>1259</v>
      </c>
      <c r="BK675" s="19" t="s">
        <v>221</v>
      </c>
      <c r="BL675" s="19" t="s">
        <v>222</v>
      </c>
      <c r="BM675" s="19" t="s">
        <v>169</v>
      </c>
      <c r="BN675" s="21">
        <v>53.701000000000001</v>
      </c>
      <c r="BO675" s="21">
        <v>101673.71433</v>
      </c>
      <c r="BQ675" s="2"/>
      <c r="BR675" s="2"/>
      <c r="BS675" s="2"/>
      <c r="BT675" s="2"/>
      <c r="BU675" s="22"/>
      <c r="BV675" s="2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</row>
    <row r="676" spans="1:95" x14ac:dyDescent="0.25">
      <c r="A676" s="18">
        <v>673</v>
      </c>
      <c r="B676" s="19" t="s">
        <v>10466</v>
      </c>
      <c r="C676" s="19" t="s">
        <v>10467</v>
      </c>
      <c r="D676" s="20">
        <v>46001</v>
      </c>
      <c r="E676" s="20">
        <v>35878</v>
      </c>
      <c r="F676" s="19" t="s">
        <v>10468</v>
      </c>
      <c r="G676" s="19" t="s">
        <v>139</v>
      </c>
      <c r="H676" s="19" t="s">
        <v>94</v>
      </c>
      <c r="I676" s="19"/>
      <c r="J676" s="19"/>
      <c r="K676" s="19"/>
      <c r="L676" s="19" t="s">
        <v>244</v>
      </c>
      <c r="M676" s="19" t="s">
        <v>245</v>
      </c>
      <c r="N676" s="19" t="s">
        <v>10469</v>
      </c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 t="s">
        <v>101</v>
      </c>
      <c r="Z676" s="19" t="s">
        <v>102</v>
      </c>
      <c r="AA676" s="19" t="s">
        <v>103</v>
      </c>
      <c r="AB676" s="19" t="s">
        <v>10470</v>
      </c>
      <c r="AC676" s="19" t="s">
        <v>10471</v>
      </c>
      <c r="AD676" s="19" t="s">
        <v>10472</v>
      </c>
      <c r="AE676" s="19" t="s">
        <v>10473</v>
      </c>
      <c r="AF676" s="19" t="s">
        <v>10474</v>
      </c>
      <c r="AG676" s="19" t="s">
        <v>10475</v>
      </c>
      <c r="AH676" s="19" t="s">
        <v>1029</v>
      </c>
      <c r="AI676" s="19" t="s">
        <v>111</v>
      </c>
      <c r="AJ676" s="19" t="s">
        <v>10476</v>
      </c>
      <c r="AK676" s="19"/>
      <c r="AL676" s="19"/>
      <c r="AM676" s="19" t="s">
        <v>10477</v>
      </c>
      <c r="AN676" s="19" t="s">
        <v>10478</v>
      </c>
      <c r="AO676" s="19" t="s">
        <v>255</v>
      </c>
      <c r="AP676" s="19" t="s">
        <v>256</v>
      </c>
      <c r="AQ676" s="19" t="s">
        <v>117</v>
      </c>
      <c r="AR676" s="19" t="s">
        <v>257</v>
      </c>
      <c r="AS676" s="19" t="s">
        <v>258</v>
      </c>
      <c r="AT676" s="19" t="s">
        <v>259</v>
      </c>
      <c r="AU676" s="19" t="s">
        <v>260</v>
      </c>
      <c r="AV676" s="19" t="s">
        <v>260</v>
      </c>
      <c r="AW676" s="19" t="s">
        <v>261</v>
      </c>
      <c r="AX676" s="19" t="s">
        <v>262</v>
      </c>
      <c r="AY676" s="19" t="s">
        <v>263</v>
      </c>
      <c r="AZ676" s="19" t="s">
        <v>264</v>
      </c>
      <c r="BA676" s="20">
        <v>43627</v>
      </c>
      <c r="BB676" s="19" t="s">
        <v>4046</v>
      </c>
      <c r="BC676" s="19" t="s">
        <v>277</v>
      </c>
      <c r="BD676" s="19" t="s">
        <v>277</v>
      </c>
      <c r="BE676" s="19" t="s">
        <v>130</v>
      </c>
      <c r="BF676" s="19" t="s">
        <v>10479</v>
      </c>
      <c r="BG676" s="19"/>
      <c r="BH676" s="19" t="s">
        <v>10480</v>
      </c>
      <c r="BI676" s="19" t="s">
        <v>10480</v>
      </c>
      <c r="BJ676" s="19" t="s">
        <v>166</v>
      </c>
      <c r="BK676" s="19" t="s">
        <v>167</v>
      </c>
      <c r="BL676" s="19" t="s">
        <v>168</v>
      </c>
      <c r="BM676" s="19" t="s">
        <v>169</v>
      </c>
      <c r="BN676" s="21">
        <v>6.6669999999999998</v>
      </c>
      <c r="BO676" s="21">
        <v>5015.1340774999999</v>
      </c>
      <c r="BQ676" s="2"/>
      <c r="BR676" s="2"/>
      <c r="BS676" s="2"/>
      <c r="BT676" s="2"/>
      <c r="BU676" s="22"/>
      <c r="BV676" s="2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</row>
    <row r="677" spans="1:95" x14ac:dyDescent="0.25">
      <c r="A677" s="18">
        <v>674</v>
      </c>
      <c r="B677" s="19" t="s">
        <v>10481</v>
      </c>
      <c r="C677" s="19" t="s">
        <v>10482</v>
      </c>
      <c r="D677" s="20">
        <v>46000</v>
      </c>
      <c r="E677" s="20">
        <v>29781</v>
      </c>
      <c r="F677" s="19"/>
      <c r="G677" s="19"/>
      <c r="H677" s="19" t="s">
        <v>94</v>
      </c>
      <c r="I677" s="19"/>
      <c r="J677" s="19"/>
      <c r="K677" s="19"/>
      <c r="L677" s="19" t="s">
        <v>244</v>
      </c>
      <c r="M677" s="19" t="s">
        <v>245</v>
      </c>
      <c r="N677" s="19" t="s">
        <v>10483</v>
      </c>
      <c r="O677" s="19" t="s">
        <v>100</v>
      </c>
      <c r="P677" s="19"/>
      <c r="Q677" s="19"/>
      <c r="R677" s="19"/>
      <c r="S677" s="19"/>
      <c r="T677" s="19"/>
      <c r="U677" s="19"/>
      <c r="V677" s="19"/>
      <c r="W677" s="19"/>
      <c r="X677" s="19"/>
      <c r="Y677" s="19" t="s">
        <v>101</v>
      </c>
      <c r="Z677" s="19" t="s">
        <v>102</v>
      </c>
      <c r="AA677" s="19" t="s">
        <v>103</v>
      </c>
      <c r="AB677" s="19" t="s">
        <v>850</v>
      </c>
      <c r="AC677" s="19" t="s">
        <v>851</v>
      </c>
      <c r="AD677" s="19" t="s">
        <v>10484</v>
      </c>
      <c r="AE677" s="19" t="s">
        <v>10485</v>
      </c>
      <c r="AF677" s="19" t="s">
        <v>10486</v>
      </c>
      <c r="AG677" s="19" t="s">
        <v>490</v>
      </c>
      <c r="AH677" s="19" t="s">
        <v>262</v>
      </c>
      <c r="AI677" s="19" t="s">
        <v>111</v>
      </c>
      <c r="AJ677" s="19" t="s">
        <v>10487</v>
      </c>
      <c r="AK677" s="19"/>
      <c r="AL677" s="19"/>
      <c r="AM677" s="19" t="s">
        <v>10488</v>
      </c>
      <c r="AN677" s="19" t="s">
        <v>10489</v>
      </c>
      <c r="AO677" s="19" t="s">
        <v>10490</v>
      </c>
      <c r="AP677" s="19" t="s">
        <v>10491</v>
      </c>
      <c r="AQ677" s="19" t="s">
        <v>117</v>
      </c>
      <c r="AR677" s="19" t="s">
        <v>10492</v>
      </c>
      <c r="AS677" s="19" t="s">
        <v>10493</v>
      </c>
      <c r="AT677" s="19" t="s">
        <v>10494</v>
      </c>
      <c r="AU677" s="19"/>
      <c r="AV677" s="19" t="s">
        <v>1549</v>
      </c>
      <c r="AW677" s="19" t="s">
        <v>10495</v>
      </c>
      <c r="AX677" s="19" t="s">
        <v>6454</v>
      </c>
      <c r="AY677" s="19" t="s">
        <v>10496</v>
      </c>
      <c r="AZ677" s="19" t="s">
        <v>10497</v>
      </c>
      <c r="BA677" s="20">
        <v>44622</v>
      </c>
      <c r="BB677" s="19" t="s">
        <v>479</v>
      </c>
      <c r="BC677" s="19" t="s">
        <v>10498</v>
      </c>
      <c r="BD677" s="19" t="s">
        <v>260</v>
      </c>
      <c r="BE677" s="19" t="s">
        <v>130</v>
      </c>
      <c r="BF677" s="19" t="s">
        <v>10499</v>
      </c>
      <c r="BG677" s="19" t="s">
        <v>10500</v>
      </c>
      <c r="BH677" s="19" t="s">
        <v>10501</v>
      </c>
      <c r="BI677" s="19" t="s">
        <v>10501</v>
      </c>
      <c r="BJ677" s="19" t="s">
        <v>1259</v>
      </c>
      <c r="BK677" s="19" t="s">
        <v>221</v>
      </c>
      <c r="BL677" s="19" t="s">
        <v>222</v>
      </c>
      <c r="BM677" s="19" t="s">
        <v>169</v>
      </c>
      <c r="BN677" s="21">
        <v>91.662999999999997</v>
      </c>
      <c r="BO677" s="21">
        <v>10082.013370000001</v>
      </c>
      <c r="BQ677" s="2"/>
      <c r="BR677" s="2"/>
      <c r="BS677" s="2"/>
      <c r="BT677" s="2"/>
      <c r="BU677" s="22"/>
      <c r="BV677" s="2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</row>
    <row r="678" spans="1:95" x14ac:dyDescent="0.25">
      <c r="A678" s="18">
        <v>675</v>
      </c>
      <c r="B678" s="19" t="s">
        <v>10502</v>
      </c>
      <c r="C678" s="19" t="s">
        <v>10503</v>
      </c>
      <c r="D678" s="20">
        <v>46001</v>
      </c>
      <c r="E678" s="20">
        <v>37549</v>
      </c>
      <c r="F678" s="19"/>
      <c r="G678" s="19"/>
      <c r="H678" s="19" t="s">
        <v>94</v>
      </c>
      <c r="I678" s="19"/>
      <c r="J678" s="19"/>
      <c r="K678" s="19"/>
      <c r="L678" s="19" t="s">
        <v>140</v>
      </c>
      <c r="M678" s="19" t="s">
        <v>141</v>
      </c>
      <c r="N678" s="19" t="s">
        <v>10504</v>
      </c>
      <c r="O678" s="19" t="s">
        <v>100</v>
      </c>
      <c r="P678" s="19"/>
      <c r="Q678" s="19"/>
      <c r="R678" s="19"/>
      <c r="S678" s="19"/>
      <c r="T678" s="19"/>
      <c r="U678" s="19"/>
      <c r="V678" s="19"/>
      <c r="W678" s="19"/>
      <c r="X678" s="19"/>
      <c r="Y678" s="19" t="s">
        <v>101</v>
      </c>
      <c r="Z678" s="19" t="s">
        <v>102</v>
      </c>
      <c r="AA678" s="19" t="s">
        <v>103</v>
      </c>
      <c r="AB678" s="19" t="s">
        <v>1025</v>
      </c>
      <c r="AC678" s="19" t="s">
        <v>1026</v>
      </c>
      <c r="AD678" s="19" t="s">
        <v>10505</v>
      </c>
      <c r="AE678" s="19" t="s">
        <v>1749</v>
      </c>
      <c r="AF678" s="19" t="s">
        <v>10506</v>
      </c>
      <c r="AG678" s="19" t="s">
        <v>1749</v>
      </c>
      <c r="AH678" s="19" t="s">
        <v>327</v>
      </c>
      <c r="AI678" s="19" t="s">
        <v>111</v>
      </c>
      <c r="AJ678" s="19" t="s">
        <v>9350</v>
      </c>
      <c r="AK678" s="19"/>
      <c r="AL678" s="19"/>
      <c r="AM678" s="19" t="s">
        <v>10507</v>
      </c>
      <c r="AN678" s="19" t="s">
        <v>10508</v>
      </c>
      <c r="AO678" s="19" t="s">
        <v>1206</v>
      </c>
      <c r="AP678" s="19" t="s">
        <v>1207</v>
      </c>
      <c r="AQ678" s="19" t="s">
        <v>117</v>
      </c>
      <c r="AR678" s="19" t="s">
        <v>1208</v>
      </c>
      <c r="AS678" s="19" t="s">
        <v>1209</v>
      </c>
      <c r="AT678" s="19" t="s">
        <v>1210</v>
      </c>
      <c r="AU678" s="19" t="s">
        <v>1211</v>
      </c>
      <c r="AV678" s="19" t="s">
        <v>219</v>
      </c>
      <c r="AW678" s="19" t="s">
        <v>1212</v>
      </c>
      <c r="AX678" s="19" t="s">
        <v>124</v>
      </c>
      <c r="AY678" s="19" t="s">
        <v>1213</v>
      </c>
      <c r="AZ678" s="19" t="s">
        <v>1214</v>
      </c>
      <c r="BA678" s="20">
        <v>37560</v>
      </c>
      <c r="BB678" s="19" t="s">
        <v>161</v>
      </c>
      <c r="BC678" s="19" t="s">
        <v>10509</v>
      </c>
      <c r="BD678" s="19" t="s">
        <v>365</v>
      </c>
      <c r="BE678" s="19" t="s">
        <v>130</v>
      </c>
      <c r="BF678" s="19" t="s">
        <v>10510</v>
      </c>
      <c r="BG678" s="19"/>
      <c r="BH678" s="19" t="s">
        <v>10511</v>
      </c>
      <c r="BI678" s="19" t="s">
        <v>10511</v>
      </c>
      <c r="BJ678" s="19" t="s">
        <v>194</v>
      </c>
      <c r="BK678" s="19" t="s">
        <v>591</v>
      </c>
      <c r="BL678" s="19" t="s">
        <v>122</v>
      </c>
      <c r="BM678" s="19" t="s">
        <v>592</v>
      </c>
      <c r="BN678" s="21">
        <v>0</v>
      </c>
      <c r="BO678" s="21">
        <v>0</v>
      </c>
      <c r="BQ678" s="2"/>
      <c r="BR678" s="2"/>
      <c r="BS678" s="2"/>
      <c r="BT678" s="2"/>
      <c r="BU678" s="22"/>
      <c r="BV678" s="2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</row>
    <row r="679" spans="1:95" x14ac:dyDescent="0.25">
      <c r="A679" s="18">
        <v>676</v>
      </c>
      <c r="B679" s="19" t="s">
        <v>10512</v>
      </c>
      <c r="C679" s="19" t="s">
        <v>10513</v>
      </c>
      <c r="D679" s="20">
        <v>46019</v>
      </c>
      <c r="E679" s="20">
        <v>34545</v>
      </c>
      <c r="F679" s="19" t="s">
        <v>10514</v>
      </c>
      <c r="G679" s="19" t="s">
        <v>139</v>
      </c>
      <c r="H679" s="19" t="s">
        <v>94</v>
      </c>
      <c r="I679" s="19"/>
      <c r="J679" s="19"/>
      <c r="K679" s="19"/>
      <c r="L679" s="19" t="s">
        <v>244</v>
      </c>
      <c r="M679" s="19" t="s">
        <v>245</v>
      </c>
      <c r="N679" s="19" t="s">
        <v>10515</v>
      </c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 t="s">
        <v>101</v>
      </c>
      <c r="Z679" s="19" t="s">
        <v>102</v>
      </c>
      <c r="AA679" s="19" t="s">
        <v>103</v>
      </c>
      <c r="AB679" s="19" t="s">
        <v>247</v>
      </c>
      <c r="AC679" s="19" t="s">
        <v>248</v>
      </c>
      <c r="AD679" s="19" t="s">
        <v>10516</v>
      </c>
      <c r="AE679" s="19" t="s">
        <v>10517</v>
      </c>
      <c r="AF679" s="19" t="s">
        <v>10518</v>
      </c>
      <c r="AG679" s="19" t="s">
        <v>746</v>
      </c>
      <c r="AH679" s="19" t="s">
        <v>327</v>
      </c>
      <c r="AI679" s="19" t="s">
        <v>111</v>
      </c>
      <c r="AJ679" s="19" t="s">
        <v>10519</v>
      </c>
      <c r="AK679" s="19"/>
      <c r="AL679" s="19"/>
      <c r="AM679" s="19" t="s">
        <v>10520</v>
      </c>
      <c r="AN679" s="19" t="s">
        <v>10521</v>
      </c>
      <c r="AO679" s="19" t="s">
        <v>255</v>
      </c>
      <c r="AP679" s="19" t="s">
        <v>256</v>
      </c>
      <c r="AQ679" s="19" t="s">
        <v>117</v>
      </c>
      <c r="AR679" s="19" t="s">
        <v>257</v>
      </c>
      <c r="AS679" s="19" t="s">
        <v>258</v>
      </c>
      <c r="AT679" s="19" t="s">
        <v>259</v>
      </c>
      <c r="AU679" s="19" t="s">
        <v>260</v>
      </c>
      <c r="AV679" s="19" t="s">
        <v>260</v>
      </c>
      <c r="AW679" s="19" t="s">
        <v>261</v>
      </c>
      <c r="AX679" s="19" t="s">
        <v>262</v>
      </c>
      <c r="AY679" s="19" t="s">
        <v>263</v>
      </c>
      <c r="AZ679" s="19" t="s">
        <v>264</v>
      </c>
      <c r="BA679" s="20">
        <v>43627</v>
      </c>
      <c r="BB679" s="19" t="s">
        <v>1670</v>
      </c>
      <c r="BC679" s="19" t="s">
        <v>10522</v>
      </c>
      <c r="BD679" s="19" t="s">
        <v>10523</v>
      </c>
      <c r="BE679" s="19" t="s">
        <v>130</v>
      </c>
      <c r="BF679" s="19" t="s">
        <v>10524</v>
      </c>
      <c r="BG679" s="19"/>
      <c r="BH679" s="19" t="s">
        <v>10525</v>
      </c>
      <c r="BI679" s="19" t="s">
        <v>10525</v>
      </c>
      <c r="BJ679" s="19" t="s">
        <v>166</v>
      </c>
      <c r="BK679" s="19" t="s">
        <v>167</v>
      </c>
      <c r="BL679" s="19" t="s">
        <v>168</v>
      </c>
      <c r="BM679" s="19" t="s">
        <v>169</v>
      </c>
      <c r="BN679" s="21">
        <v>1.141</v>
      </c>
      <c r="BO679" s="21">
        <v>500.34264839999997</v>
      </c>
      <c r="BQ679" s="2"/>
      <c r="BR679" s="2"/>
      <c r="BS679" s="2"/>
      <c r="BT679" s="2"/>
      <c r="BU679" s="22"/>
      <c r="BV679" s="2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</row>
    <row r="680" spans="1:95" x14ac:dyDescent="0.25">
      <c r="A680" s="18">
        <v>677</v>
      </c>
      <c r="B680" s="19" t="s">
        <v>10526</v>
      </c>
      <c r="C680" s="19" t="s">
        <v>10527</v>
      </c>
      <c r="D680" s="20">
        <v>46006</v>
      </c>
      <c r="E680" s="20">
        <v>23887</v>
      </c>
      <c r="F680" s="19"/>
      <c r="G680" s="19"/>
      <c r="H680" s="19" t="s">
        <v>94</v>
      </c>
      <c r="I680" s="19"/>
      <c r="J680" s="19"/>
      <c r="K680" s="19"/>
      <c r="L680" s="19" t="s">
        <v>101</v>
      </c>
      <c r="M680" s="19" t="s">
        <v>290</v>
      </c>
      <c r="N680" s="19" t="s">
        <v>10528</v>
      </c>
      <c r="O680" s="19" t="s">
        <v>100</v>
      </c>
      <c r="P680" s="19"/>
      <c r="Q680" s="19"/>
      <c r="R680" s="19"/>
      <c r="S680" s="19"/>
      <c r="T680" s="19"/>
      <c r="U680" s="19"/>
      <c r="V680" s="19"/>
      <c r="W680" s="19"/>
      <c r="X680" s="19"/>
      <c r="Y680" s="19" t="s">
        <v>101</v>
      </c>
      <c r="Z680" s="19" t="s">
        <v>102</v>
      </c>
      <c r="AA680" s="19" t="s">
        <v>103</v>
      </c>
      <c r="AB680" s="19" t="s">
        <v>1940</v>
      </c>
      <c r="AC680" s="19" t="s">
        <v>1941</v>
      </c>
      <c r="AD680" s="19" t="s">
        <v>10529</v>
      </c>
      <c r="AE680" s="19" t="s">
        <v>10530</v>
      </c>
      <c r="AF680" s="19" t="s">
        <v>10531</v>
      </c>
      <c r="AG680" s="19" t="s">
        <v>10532</v>
      </c>
      <c r="AH680" s="19" t="s">
        <v>124</v>
      </c>
      <c r="AI680" s="19" t="s">
        <v>111</v>
      </c>
      <c r="AJ680" s="19" t="s">
        <v>10533</v>
      </c>
      <c r="AK680" s="19"/>
      <c r="AL680" s="19"/>
      <c r="AM680" s="19" t="s">
        <v>10534</v>
      </c>
      <c r="AN680" s="19" t="s">
        <v>10535</v>
      </c>
      <c r="AO680" s="19" t="s">
        <v>10536</v>
      </c>
      <c r="AP680" s="19" t="s">
        <v>10537</v>
      </c>
      <c r="AQ680" s="19" t="s">
        <v>117</v>
      </c>
      <c r="AR680" s="19" t="s">
        <v>10538</v>
      </c>
      <c r="AS680" s="19" t="s">
        <v>10539</v>
      </c>
      <c r="AT680" s="19" t="s">
        <v>10540</v>
      </c>
      <c r="AU680" s="19" t="s">
        <v>10541</v>
      </c>
      <c r="AV680" s="19" t="s">
        <v>5066</v>
      </c>
      <c r="AW680" s="19" t="s">
        <v>5068</v>
      </c>
      <c r="AX680" s="19" t="s">
        <v>124</v>
      </c>
      <c r="AY680" s="19" t="s">
        <v>10542</v>
      </c>
      <c r="AZ680" s="19" t="s">
        <v>10543</v>
      </c>
      <c r="BA680" s="20">
        <v>42402</v>
      </c>
      <c r="BB680" s="19" t="s">
        <v>1002</v>
      </c>
      <c r="BC680" s="19" t="s">
        <v>7678</v>
      </c>
      <c r="BD680" s="19" t="s">
        <v>7678</v>
      </c>
      <c r="BE680" s="19" t="s">
        <v>130</v>
      </c>
      <c r="BF680" s="19" t="s">
        <v>10544</v>
      </c>
      <c r="BG680" s="19" t="s">
        <v>10545</v>
      </c>
      <c r="BH680" s="19" t="s">
        <v>10546</v>
      </c>
      <c r="BI680" s="19" t="s">
        <v>10546</v>
      </c>
      <c r="BJ680" s="19" t="s">
        <v>166</v>
      </c>
      <c r="BK680" s="19" t="s">
        <v>932</v>
      </c>
      <c r="BL680" s="19" t="s">
        <v>933</v>
      </c>
      <c r="BM680" s="19" t="s">
        <v>196</v>
      </c>
      <c r="BN680" s="21">
        <v>755.52800000000002</v>
      </c>
      <c r="BO680" s="21">
        <v>510989.72766879998</v>
      </c>
      <c r="BQ680" s="2"/>
      <c r="BR680" s="2"/>
      <c r="BS680" s="2"/>
      <c r="BT680" s="2"/>
      <c r="BU680" s="22"/>
      <c r="BV680" s="2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</row>
    <row r="681" spans="1:95" x14ac:dyDescent="0.25">
      <c r="A681" s="18">
        <v>678</v>
      </c>
      <c r="B681" s="19" t="s">
        <v>10547</v>
      </c>
      <c r="C681" s="19" t="s">
        <v>10548</v>
      </c>
      <c r="D681" s="20">
        <v>46003</v>
      </c>
      <c r="E681" s="20">
        <v>38801</v>
      </c>
      <c r="F681" s="19"/>
      <c r="G681" s="19"/>
      <c r="H681" s="19" t="s">
        <v>94</v>
      </c>
      <c r="I681" s="19"/>
      <c r="J681" s="19"/>
      <c r="K681" s="19"/>
      <c r="L681" s="19" t="s">
        <v>1262</v>
      </c>
      <c r="M681" s="19" t="s">
        <v>1263</v>
      </c>
      <c r="N681" s="19" t="s">
        <v>10549</v>
      </c>
      <c r="O681" s="19" t="s">
        <v>100</v>
      </c>
      <c r="P681" s="19"/>
      <c r="Q681" s="19"/>
      <c r="R681" s="19"/>
      <c r="S681" s="19"/>
      <c r="T681" s="19"/>
      <c r="U681" s="19"/>
      <c r="V681" s="19"/>
      <c r="W681" s="19"/>
      <c r="X681" s="19"/>
      <c r="Y681" s="19" t="s">
        <v>101</v>
      </c>
      <c r="Z681" s="19" t="s">
        <v>102</v>
      </c>
      <c r="AA681" s="19" t="s">
        <v>103</v>
      </c>
      <c r="AB681" s="19" t="s">
        <v>173</v>
      </c>
      <c r="AC681" s="19" t="s">
        <v>174</v>
      </c>
      <c r="AD681" s="19" t="s">
        <v>10550</v>
      </c>
      <c r="AE681" s="19" t="s">
        <v>10551</v>
      </c>
      <c r="AF681" s="19"/>
      <c r="AG681" s="19" t="s">
        <v>10552</v>
      </c>
      <c r="AH681" s="19" t="s">
        <v>1015</v>
      </c>
      <c r="AI681" s="19" t="s">
        <v>111</v>
      </c>
      <c r="AJ681" s="19" t="s">
        <v>10553</v>
      </c>
      <c r="AK681" s="19"/>
      <c r="AL681" s="19"/>
      <c r="AM681" s="19" t="s">
        <v>10554</v>
      </c>
      <c r="AN681" s="19" t="s">
        <v>10555</v>
      </c>
      <c r="AO681" s="19" t="s">
        <v>181</v>
      </c>
      <c r="AP681" s="19" t="s">
        <v>182</v>
      </c>
      <c r="AQ681" s="19" t="s">
        <v>117</v>
      </c>
      <c r="AR681" s="19" t="s">
        <v>183</v>
      </c>
      <c r="AS681" s="19" t="s">
        <v>184</v>
      </c>
      <c r="AT681" s="19" t="s">
        <v>185</v>
      </c>
      <c r="AU681" s="19"/>
      <c r="AV681" s="19" t="s">
        <v>186</v>
      </c>
      <c r="AW681" s="19" t="s">
        <v>187</v>
      </c>
      <c r="AX681" s="19" t="s">
        <v>188</v>
      </c>
      <c r="AY681" s="19"/>
      <c r="AZ681" s="19" t="s">
        <v>189</v>
      </c>
      <c r="BA681" s="20">
        <v>44673</v>
      </c>
      <c r="BB681" s="19" t="s">
        <v>331</v>
      </c>
      <c r="BC681" s="19" t="s">
        <v>10556</v>
      </c>
      <c r="BD681" s="19" t="s">
        <v>1174</v>
      </c>
      <c r="BE681" s="19" t="s">
        <v>130</v>
      </c>
      <c r="BF681" s="19" t="s">
        <v>10557</v>
      </c>
      <c r="BG681" s="19"/>
      <c r="BH681" s="19" t="s">
        <v>10558</v>
      </c>
      <c r="BI681" s="19" t="s">
        <v>10558</v>
      </c>
      <c r="BJ681" s="19" t="s">
        <v>5668</v>
      </c>
      <c r="BK681" s="19" t="s">
        <v>195</v>
      </c>
      <c r="BL681" s="19" t="s">
        <v>122</v>
      </c>
      <c r="BM681" s="19" t="s">
        <v>196</v>
      </c>
      <c r="BN681" s="21">
        <v>27.495999999999999</v>
      </c>
      <c r="BO681" s="21">
        <v>974.02380319999997</v>
      </c>
      <c r="BQ681" s="2"/>
      <c r="BR681" s="2"/>
      <c r="BS681" s="2"/>
      <c r="BT681" s="2"/>
      <c r="BU681" s="22"/>
      <c r="BV681" s="2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</row>
    <row r="682" spans="1:95" x14ac:dyDescent="0.25">
      <c r="A682" s="18">
        <v>679</v>
      </c>
      <c r="B682" s="19" t="s">
        <v>10559</v>
      </c>
      <c r="C682" s="19" t="s">
        <v>10560</v>
      </c>
      <c r="D682" s="20">
        <v>46003</v>
      </c>
      <c r="E682" s="20">
        <v>28535</v>
      </c>
      <c r="F682" s="19"/>
      <c r="G682" s="19"/>
      <c r="H682" s="19" t="s">
        <v>94</v>
      </c>
      <c r="I682" s="19"/>
      <c r="J682" s="19" t="s">
        <v>95</v>
      </c>
      <c r="K682" s="19" t="s">
        <v>96</v>
      </c>
      <c r="L682" s="19" t="s">
        <v>467</v>
      </c>
      <c r="M682" s="19" t="s">
        <v>468</v>
      </c>
      <c r="N682" s="19" t="s">
        <v>10561</v>
      </c>
      <c r="O682" s="19" t="s">
        <v>100</v>
      </c>
      <c r="P682" s="19"/>
      <c r="Q682" s="19"/>
      <c r="R682" s="19"/>
      <c r="S682" s="19"/>
      <c r="T682" s="19"/>
      <c r="U682" s="19"/>
      <c r="V682" s="19"/>
      <c r="W682" s="19"/>
      <c r="X682" s="19"/>
      <c r="Y682" s="19" t="s">
        <v>101</v>
      </c>
      <c r="Z682" s="19" t="s">
        <v>102</v>
      </c>
      <c r="AA682" s="19" t="s">
        <v>103</v>
      </c>
      <c r="AB682" s="19" t="s">
        <v>1744</v>
      </c>
      <c r="AC682" s="19" t="s">
        <v>1745</v>
      </c>
      <c r="AD682" s="19" t="s">
        <v>10562</v>
      </c>
      <c r="AE682" s="19" t="s">
        <v>10563</v>
      </c>
      <c r="AF682" s="19" t="s">
        <v>10564</v>
      </c>
      <c r="AG682" s="19" t="s">
        <v>260</v>
      </c>
      <c r="AH682" s="19" t="s">
        <v>262</v>
      </c>
      <c r="AI682" s="19" t="s">
        <v>111</v>
      </c>
      <c r="AJ682" s="19" t="s">
        <v>10565</v>
      </c>
      <c r="AK682" s="19"/>
      <c r="AL682" s="19"/>
      <c r="AM682" s="19" t="s">
        <v>10566</v>
      </c>
      <c r="AN682" s="19" t="s">
        <v>10567</v>
      </c>
      <c r="AO682" s="19" t="s">
        <v>1753</v>
      </c>
      <c r="AP682" s="19" t="s">
        <v>1034</v>
      </c>
      <c r="AQ682" s="19" t="s">
        <v>117</v>
      </c>
      <c r="AR682" s="19" t="s">
        <v>1035</v>
      </c>
      <c r="AS682" s="19" t="s">
        <v>1754</v>
      </c>
      <c r="AT682" s="19"/>
      <c r="AU682" s="19"/>
      <c r="AV682" s="19" t="s">
        <v>186</v>
      </c>
      <c r="AW682" s="19" t="s">
        <v>1755</v>
      </c>
      <c r="AX682" s="19" t="s">
        <v>188</v>
      </c>
      <c r="AY682" s="19" t="s">
        <v>1756</v>
      </c>
      <c r="AZ682" s="19" t="s">
        <v>1757</v>
      </c>
      <c r="BA682" s="20">
        <v>43335</v>
      </c>
      <c r="BB682" s="19" t="s">
        <v>1342</v>
      </c>
      <c r="BC682" s="19" t="s">
        <v>10568</v>
      </c>
      <c r="BD682" s="19" t="s">
        <v>260</v>
      </c>
      <c r="BE682" s="19" t="s">
        <v>130</v>
      </c>
      <c r="BF682" s="19" t="s">
        <v>10569</v>
      </c>
      <c r="BG682" s="19"/>
      <c r="BH682" s="19" t="s">
        <v>10570</v>
      </c>
      <c r="BI682" s="19" t="s">
        <v>10570</v>
      </c>
      <c r="BJ682" s="19" t="s">
        <v>166</v>
      </c>
      <c r="BK682" s="19" t="s">
        <v>1043</v>
      </c>
      <c r="BL682" s="19" t="s">
        <v>1044</v>
      </c>
      <c r="BM682" s="19" t="s">
        <v>1045</v>
      </c>
      <c r="BN682" s="21">
        <v>286.06599999999997</v>
      </c>
      <c r="BO682" s="21">
        <v>7192.3571917999998</v>
      </c>
      <c r="BQ682" s="2"/>
      <c r="BR682" s="2"/>
      <c r="BS682" s="2"/>
      <c r="BT682" s="2"/>
      <c r="BU682" s="22"/>
      <c r="BV682" s="2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</row>
    <row r="683" spans="1:95" x14ac:dyDescent="0.25">
      <c r="A683" s="18">
        <v>680</v>
      </c>
      <c r="B683" s="19" t="s">
        <v>10571</v>
      </c>
      <c r="C683" s="19" t="s">
        <v>10572</v>
      </c>
      <c r="D683" s="20">
        <v>46006</v>
      </c>
      <c r="E683" s="20">
        <v>35409</v>
      </c>
      <c r="F683" s="19" t="s">
        <v>10573</v>
      </c>
      <c r="G683" s="19" t="s">
        <v>139</v>
      </c>
      <c r="H683" s="19" t="s">
        <v>94</v>
      </c>
      <c r="I683" s="19"/>
      <c r="J683" s="19"/>
      <c r="K683" s="19"/>
      <c r="L683" s="19" t="s">
        <v>244</v>
      </c>
      <c r="M683" s="19" t="s">
        <v>245</v>
      </c>
      <c r="N683" s="19" t="s">
        <v>10574</v>
      </c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 t="s">
        <v>101</v>
      </c>
      <c r="Z683" s="19" t="s">
        <v>102</v>
      </c>
      <c r="AA683" s="19" t="s">
        <v>103</v>
      </c>
      <c r="AB683" s="19" t="s">
        <v>143</v>
      </c>
      <c r="AC683" s="19" t="s">
        <v>144</v>
      </c>
      <c r="AD683" s="19" t="s">
        <v>10575</v>
      </c>
      <c r="AE683" s="19" t="s">
        <v>10576</v>
      </c>
      <c r="AF683" s="19"/>
      <c r="AG683" s="19" t="s">
        <v>6014</v>
      </c>
      <c r="AH683" s="19" t="s">
        <v>149</v>
      </c>
      <c r="AI683" s="19" t="s">
        <v>111</v>
      </c>
      <c r="AJ683" s="19" t="s">
        <v>10577</v>
      </c>
      <c r="AK683" s="19"/>
      <c r="AL683" s="19"/>
      <c r="AM683" s="19" t="s">
        <v>10578</v>
      </c>
      <c r="AN683" s="19" t="s">
        <v>10579</v>
      </c>
      <c r="AO683" s="19" t="s">
        <v>255</v>
      </c>
      <c r="AP683" s="19" t="s">
        <v>256</v>
      </c>
      <c r="AQ683" s="19" t="s">
        <v>117</v>
      </c>
      <c r="AR683" s="19" t="s">
        <v>257</v>
      </c>
      <c r="AS683" s="19" t="s">
        <v>258</v>
      </c>
      <c r="AT683" s="19" t="s">
        <v>259</v>
      </c>
      <c r="AU683" s="19" t="s">
        <v>260</v>
      </c>
      <c r="AV683" s="19" t="s">
        <v>260</v>
      </c>
      <c r="AW683" s="19" t="s">
        <v>261</v>
      </c>
      <c r="AX683" s="19" t="s">
        <v>262</v>
      </c>
      <c r="AY683" s="19" t="s">
        <v>263</v>
      </c>
      <c r="AZ683" s="19" t="s">
        <v>264</v>
      </c>
      <c r="BA683" s="20">
        <v>43627</v>
      </c>
      <c r="BB683" s="19" t="s">
        <v>1670</v>
      </c>
      <c r="BC683" s="19" t="s">
        <v>10580</v>
      </c>
      <c r="BD683" s="19" t="s">
        <v>10581</v>
      </c>
      <c r="BE683" s="19" t="s">
        <v>130</v>
      </c>
      <c r="BF683" s="19" t="s">
        <v>10582</v>
      </c>
      <c r="BG683" s="19"/>
      <c r="BH683" s="19" t="s">
        <v>10583</v>
      </c>
      <c r="BI683" s="19" t="s">
        <v>10583</v>
      </c>
      <c r="BJ683" s="19" t="s">
        <v>166</v>
      </c>
      <c r="BK683" s="19" t="s">
        <v>167</v>
      </c>
      <c r="BL683" s="19" t="s">
        <v>168</v>
      </c>
      <c r="BM683" s="19" t="s">
        <v>169</v>
      </c>
      <c r="BN683" s="21">
        <v>26.946000000000002</v>
      </c>
      <c r="BO683" s="21">
        <v>1026.3731399999999</v>
      </c>
      <c r="BQ683" s="2"/>
      <c r="BR683" s="2"/>
      <c r="BS683" s="2"/>
      <c r="BT683" s="2"/>
      <c r="BU683" s="22"/>
      <c r="BV683" s="2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</row>
    <row r="684" spans="1:95" x14ac:dyDescent="0.25">
      <c r="A684" s="18">
        <v>681</v>
      </c>
      <c r="B684" s="19" t="s">
        <v>10584</v>
      </c>
      <c r="C684" s="19" t="s">
        <v>10585</v>
      </c>
      <c r="D684" s="20">
        <v>46006</v>
      </c>
      <c r="E684" s="20">
        <v>30385</v>
      </c>
      <c r="F684" s="19"/>
      <c r="G684" s="19"/>
      <c r="H684" s="19" t="s">
        <v>94</v>
      </c>
      <c r="I684" s="19"/>
      <c r="J684" s="19"/>
      <c r="K684" s="19"/>
      <c r="L684" s="19" t="s">
        <v>101</v>
      </c>
      <c r="M684" s="19" t="s">
        <v>290</v>
      </c>
      <c r="N684" s="19" t="s">
        <v>10586</v>
      </c>
      <c r="O684" s="19" t="s">
        <v>100</v>
      </c>
      <c r="P684" s="19"/>
      <c r="Q684" s="19"/>
      <c r="R684" s="19"/>
      <c r="S684" s="19"/>
      <c r="T684" s="19"/>
      <c r="U684" s="19"/>
      <c r="V684" s="19"/>
      <c r="W684" s="19"/>
      <c r="X684" s="19"/>
      <c r="Y684" s="19" t="s">
        <v>101</v>
      </c>
      <c r="Z684" s="19" t="s">
        <v>102</v>
      </c>
      <c r="AA684" s="19" t="s">
        <v>103</v>
      </c>
      <c r="AB684" s="19" t="s">
        <v>402</v>
      </c>
      <c r="AC684" s="19" t="s">
        <v>403</v>
      </c>
      <c r="AD684" s="19" t="s">
        <v>10587</v>
      </c>
      <c r="AE684" s="19"/>
      <c r="AF684" s="19"/>
      <c r="AG684" s="19" t="s">
        <v>3837</v>
      </c>
      <c r="AH684" s="19" t="s">
        <v>149</v>
      </c>
      <c r="AI684" s="19" t="s">
        <v>111</v>
      </c>
      <c r="AJ684" s="19" t="s">
        <v>10588</v>
      </c>
      <c r="AK684" s="19"/>
      <c r="AL684" s="19"/>
      <c r="AM684" s="19" t="s">
        <v>10589</v>
      </c>
      <c r="AN684" s="19" t="s">
        <v>10590</v>
      </c>
      <c r="AO684" s="19" t="s">
        <v>208</v>
      </c>
      <c r="AP684" s="19" t="s">
        <v>209</v>
      </c>
      <c r="AQ684" s="19" t="s">
        <v>117</v>
      </c>
      <c r="AR684" s="19" t="s">
        <v>210</v>
      </c>
      <c r="AS684" s="19" t="s">
        <v>211</v>
      </c>
      <c r="AT684" s="19" t="s">
        <v>212</v>
      </c>
      <c r="AU684" s="19" t="s">
        <v>213</v>
      </c>
      <c r="AV684" s="19" t="s">
        <v>214</v>
      </c>
      <c r="AW684" s="19" t="s">
        <v>215</v>
      </c>
      <c r="AX684" s="19" t="s">
        <v>149</v>
      </c>
      <c r="AY684" s="19" t="s">
        <v>216</v>
      </c>
      <c r="AZ684" s="19" t="s">
        <v>217</v>
      </c>
      <c r="BA684" s="20">
        <v>35521</v>
      </c>
      <c r="BB684" s="19" t="s">
        <v>444</v>
      </c>
      <c r="BC684" s="19" t="s">
        <v>10591</v>
      </c>
      <c r="BD684" s="19" t="s">
        <v>10592</v>
      </c>
      <c r="BE684" s="19" t="s">
        <v>130</v>
      </c>
      <c r="BF684" s="19" t="s">
        <v>10593</v>
      </c>
      <c r="BG684" s="19"/>
      <c r="BH684" s="19" t="s">
        <v>10594</v>
      </c>
      <c r="BI684" s="19" t="s">
        <v>10594</v>
      </c>
      <c r="BJ684" s="19" t="s">
        <v>1259</v>
      </c>
      <c r="BK684" s="19" t="s">
        <v>1491</v>
      </c>
      <c r="BL684" s="19" t="s">
        <v>122</v>
      </c>
      <c r="BM684" s="19" t="s">
        <v>196</v>
      </c>
      <c r="BN684" s="21">
        <v>0.53200000000000003</v>
      </c>
      <c r="BO684" s="21">
        <v>1007.25156</v>
      </c>
      <c r="BQ684" s="2"/>
      <c r="BR684" s="2"/>
      <c r="BS684" s="2"/>
      <c r="BT684" s="2"/>
      <c r="BU684" s="22"/>
      <c r="BV684" s="2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</row>
    <row r="685" spans="1:95" x14ac:dyDescent="0.25">
      <c r="A685" s="18">
        <v>682</v>
      </c>
      <c r="B685" s="19" t="s">
        <v>10595</v>
      </c>
      <c r="C685" s="19" t="s">
        <v>10596</v>
      </c>
      <c r="D685" s="20">
        <v>46001</v>
      </c>
      <c r="E685" s="20">
        <v>33143</v>
      </c>
      <c r="F685" s="19"/>
      <c r="G685" s="19"/>
      <c r="H685" s="19" t="s">
        <v>94</v>
      </c>
      <c r="I685" s="19"/>
      <c r="J685" s="19" t="s">
        <v>287</v>
      </c>
      <c r="K685" s="19" t="s">
        <v>288</v>
      </c>
      <c r="L685" s="19" t="s">
        <v>97</v>
      </c>
      <c r="M685" s="19" t="s">
        <v>98</v>
      </c>
      <c r="N685" s="19" t="s">
        <v>10597</v>
      </c>
      <c r="O685" s="19" t="s">
        <v>100</v>
      </c>
      <c r="P685" s="19"/>
      <c r="Q685" s="19"/>
      <c r="R685" s="19"/>
      <c r="S685" s="19"/>
      <c r="T685" s="19"/>
      <c r="U685" s="19"/>
      <c r="V685" s="19"/>
      <c r="W685" s="19"/>
      <c r="X685" s="19"/>
      <c r="Y685" s="19" t="s">
        <v>3160</v>
      </c>
      <c r="Z685" s="19" t="s">
        <v>3161</v>
      </c>
      <c r="AA685" s="19" t="s">
        <v>103</v>
      </c>
      <c r="AB685" s="19" t="s">
        <v>1555</v>
      </c>
      <c r="AC685" s="19" t="s">
        <v>1556</v>
      </c>
      <c r="AD685" s="19" t="s">
        <v>10598</v>
      </c>
      <c r="AE685" s="19" t="s">
        <v>10599</v>
      </c>
      <c r="AF685" s="19"/>
      <c r="AG685" s="19" t="s">
        <v>4010</v>
      </c>
      <c r="AH685" s="19" t="s">
        <v>1029</v>
      </c>
      <c r="AI685" s="19" t="s">
        <v>111</v>
      </c>
      <c r="AJ685" s="19" t="s">
        <v>10600</v>
      </c>
      <c r="AK685" s="19"/>
      <c r="AL685" s="19"/>
      <c r="AM685" s="19" t="s">
        <v>10601</v>
      </c>
      <c r="AN685" s="19" t="s">
        <v>10602</v>
      </c>
      <c r="AO685" s="19" t="s">
        <v>10603</v>
      </c>
      <c r="AP685" s="19" t="s">
        <v>10604</v>
      </c>
      <c r="AQ685" s="19" t="s">
        <v>117</v>
      </c>
      <c r="AR685" s="19" t="s">
        <v>10605</v>
      </c>
      <c r="AS685" s="19" t="s">
        <v>10606</v>
      </c>
      <c r="AT685" s="19"/>
      <c r="AU685" s="19"/>
      <c r="AV685" s="19" t="s">
        <v>10607</v>
      </c>
      <c r="AW685" s="19" t="s">
        <v>10608</v>
      </c>
      <c r="AX685" s="19" t="s">
        <v>1029</v>
      </c>
      <c r="AY685" s="19" t="s">
        <v>10609</v>
      </c>
      <c r="AZ685" s="19" t="s">
        <v>10610</v>
      </c>
      <c r="BA685" s="20">
        <v>44685</v>
      </c>
      <c r="BB685" s="19" t="s">
        <v>2253</v>
      </c>
      <c r="BC685" s="19" t="s">
        <v>10611</v>
      </c>
      <c r="BD685" s="19" t="s">
        <v>4010</v>
      </c>
      <c r="BE685" s="19" t="s">
        <v>3180</v>
      </c>
      <c r="BF685" s="19" t="s">
        <v>10612</v>
      </c>
      <c r="BG685" s="19"/>
      <c r="BH685" s="19" t="s">
        <v>10613</v>
      </c>
      <c r="BI685" s="19" t="s">
        <v>10613</v>
      </c>
      <c r="BJ685" s="19" t="s">
        <v>166</v>
      </c>
      <c r="BK685" s="19" t="s">
        <v>10614</v>
      </c>
      <c r="BL685" s="19" t="s">
        <v>10615</v>
      </c>
      <c r="BM685" s="19" t="s">
        <v>169</v>
      </c>
      <c r="BN685" s="21">
        <v>6.2619999999999996</v>
      </c>
      <c r="BO685" s="21">
        <v>5035.7125400000004</v>
      </c>
      <c r="BQ685" s="2"/>
      <c r="BR685" s="2"/>
      <c r="BS685" s="2"/>
      <c r="BT685" s="2"/>
      <c r="BU685" s="22"/>
      <c r="BV685" s="2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</row>
    <row r="686" spans="1:95" x14ac:dyDescent="0.25">
      <c r="A686" s="18">
        <v>683</v>
      </c>
      <c r="B686" s="19" t="s">
        <v>10616</v>
      </c>
      <c r="C686" s="19" t="s">
        <v>10617</v>
      </c>
      <c r="D686" s="20">
        <v>46013</v>
      </c>
      <c r="E686" s="20">
        <v>35747</v>
      </c>
      <c r="F686" s="19" t="s">
        <v>10618</v>
      </c>
      <c r="G686" s="19" t="s">
        <v>139</v>
      </c>
      <c r="H686" s="19" t="s">
        <v>94</v>
      </c>
      <c r="I686" s="19"/>
      <c r="J686" s="19"/>
      <c r="K686" s="19"/>
      <c r="L686" s="19" t="s">
        <v>244</v>
      </c>
      <c r="M686" s="19" t="s">
        <v>245</v>
      </c>
      <c r="N686" s="19" t="s">
        <v>10619</v>
      </c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 t="s">
        <v>101</v>
      </c>
      <c r="Z686" s="19" t="s">
        <v>102</v>
      </c>
      <c r="AA686" s="19" t="s">
        <v>103</v>
      </c>
      <c r="AB686" s="19" t="s">
        <v>143</v>
      </c>
      <c r="AC686" s="19" t="s">
        <v>144</v>
      </c>
      <c r="AD686" s="19" t="s">
        <v>10620</v>
      </c>
      <c r="AE686" s="19" t="s">
        <v>10621</v>
      </c>
      <c r="AF686" s="19" t="s">
        <v>10622</v>
      </c>
      <c r="AG686" s="19" t="s">
        <v>1585</v>
      </c>
      <c r="AH686" s="19" t="s">
        <v>262</v>
      </c>
      <c r="AI686" s="19"/>
      <c r="AJ686" s="19" t="s">
        <v>10623</v>
      </c>
      <c r="AK686" s="19"/>
      <c r="AL686" s="19"/>
      <c r="AM686" s="19" t="s">
        <v>10624</v>
      </c>
      <c r="AN686" s="19" t="s">
        <v>10625</v>
      </c>
      <c r="AO686" s="19" t="s">
        <v>255</v>
      </c>
      <c r="AP686" s="19" t="s">
        <v>256</v>
      </c>
      <c r="AQ686" s="19" t="s">
        <v>117</v>
      </c>
      <c r="AR686" s="19" t="s">
        <v>257</v>
      </c>
      <c r="AS686" s="19" t="s">
        <v>258</v>
      </c>
      <c r="AT686" s="19" t="s">
        <v>259</v>
      </c>
      <c r="AU686" s="19" t="s">
        <v>260</v>
      </c>
      <c r="AV686" s="19" t="s">
        <v>260</v>
      </c>
      <c r="AW686" s="19" t="s">
        <v>261</v>
      </c>
      <c r="AX686" s="19" t="s">
        <v>262</v>
      </c>
      <c r="AY686" s="19" t="s">
        <v>263</v>
      </c>
      <c r="AZ686" s="19" t="s">
        <v>264</v>
      </c>
      <c r="BA686" s="20">
        <v>43627</v>
      </c>
      <c r="BB686" s="19" t="s">
        <v>479</v>
      </c>
      <c r="BC686" s="19" t="s">
        <v>9131</v>
      </c>
      <c r="BD686" s="19" t="s">
        <v>260</v>
      </c>
      <c r="BE686" s="19" t="s">
        <v>130</v>
      </c>
      <c r="BF686" s="19" t="s">
        <v>10626</v>
      </c>
      <c r="BG686" s="19"/>
      <c r="BH686" s="19" t="s">
        <v>9133</v>
      </c>
      <c r="BI686" s="19" t="s">
        <v>9133</v>
      </c>
      <c r="BJ686" s="19" t="s">
        <v>166</v>
      </c>
      <c r="BK686" s="19" t="s">
        <v>167</v>
      </c>
      <c r="BL686" s="19" t="s">
        <v>168</v>
      </c>
      <c r="BM686" s="19" t="s">
        <v>169</v>
      </c>
      <c r="BN686" s="21">
        <v>133.68299999999999</v>
      </c>
      <c r="BO686" s="21">
        <v>5091.9854699999996</v>
      </c>
      <c r="BQ686" s="2"/>
      <c r="BR686" s="2"/>
      <c r="BS686" s="2"/>
      <c r="BT686" s="2"/>
      <c r="BU686" s="22"/>
      <c r="BV686" s="2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</row>
    <row r="687" spans="1:95" x14ac:dyDescent="0.25">
      <c r="A687" s="18">
        <v>684</v>
      </c>
      <c r="B687" s="19" t="s">
        <v>10627</v>
      </c>
      <c r="C687" s="19" t="s">
        <v>10628</v>
      </c>
      <c r="D687" s="20">
        <v>46009</v>
      </c>
      <c r="E687" s="20">
        <v>39146</v>
      </c>
      <c r="F687" s="19" t="s">
        <v>10629</v>
      </c>
      <c r="G687" s="19" t="s">
        <v>139</v>
      </c>
      <c r="H687" s="19" t="s">
        <v>94</v>
      </c>
      <c r="I687" s="19"/>
      <c r="J687" s="19"/>
      <c r="K687" s="19"/>
      <c r="L687" s="19" t="s">
        <v>244</v>
      </c>
      <c r="M687" s="19" t="s">
        <v>245</v>
      </c>
      <c r="N687" s="19" t="s">
        <v>10630</v>
      </c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 t="s">
        <v>101</v>
      </c>
      <c r="Z687" s="19" t="s">
        <v>102</v>
      </c>
      <c r="AA687" s="19" t="s">
        <v>103</v>
      </c>
      <c r="AB687" s="19" t="s">
        <v>143</v>
      </c>
      <c r="AC687" s="19" t="s">
        <v>144</v>
      </c>
      <c r="AD687" s="19" t="s">
        <v>10631</v>
      </c>
      <c r="AE687" s="19" t="s">
        <v>10632</v>
      </c>
      <c r="AF687" s="19"/>
      <c r="AG687" s="19" t="s">
        <v>10633</v>
      </c>
      <c r="AH687" s="19" t="s">
        <v>515</v>
      </c>
      <c r="AI687" s="19"/>
      <c r="AJ687" s="19" t="s">
        <v>10634</v>
      </c>
      <c r="AK687" s="19"/>
      <c r="AL687" s="19" t="s">
        <v>10635</v>
      </c>
      <c r="AM687" s="19" t="s">
        <v>10636</v>
      </c>
      <c r="AN687" s="19" t="s">
        <v>10637</v>
      </c>
      <c r="AO687" s="19" t="s">
        <v>154</v>
      </c>
      <c r="AP687" s="19" t="s">
        <v>155</v>
      </c>
      <c r="AQ687" s="19" t="s">
        <v>117</v>
      </c>
      <c r="AR687" s="19" t="s">
        <v>156</v>
      </c>
      <c r="AS687" s="19" t="s">
        <v>157</v>
      </c>
      <c r="AT687" s="19" t="s">
        <v>158</v>
      </c>
      <c r="AU687" s="19"/>
      <c r="AV687" s="19" t="s">
        <v>122</v>
      </c>
      <c r="AW687" s="19"/>
      <c r="AX687" s="19" t="s">
        <v>124</v>
      </c>
      <c r="AY687" s="19" t="s">
        <v>159</v>
      </c>
      <c r="AZ687" s="19" t="s">
        <v>160</v>
      </c>
      <c r="BA687" s="20">
        <v>44676</v>
      </c>
      <c r="BB687" s="19" t="s">
        <v>661</v>
      </c>
      <c r="BC687" s="19" t="s">
        <v>10633</v>
      </c>
      <c r="BD687" s="19" t="s">
        <v>10633</v>
      </c>
      <c r="BE687" s="19" t="s">
        <v>130</v>
      </c>
      <c r="BF687" s="19" t="s">
        <v>10638</v>
      </c>
      <c r="BG687" s="19"/>
      <c r="BH687" s="19" t="s">
        <v>10639</v>
      </c>
      <c r="BI687" s="19" t="s">
        <v>10639</v>
      </c>
      <c r="BJ687" s="19" t="s">
        <v>166</v>
      </c>
      <c r="BK687" s="19" t="s">
        <v>167</v>
      </c>
      <c r="BL687" s="19" t="s">
        <v>168</v>
      </c>
      <c r="BM687" s="19" t="s">
        <v>169</v>
      </c>
      <c r="BN687" s="21">
        <v>0</v>
      </c>
      <c r="BO687" s="21">
        <v>0</v>
      </c>
      <c r="BQ687" s="2"/>
      <c r="BR687" s="2"/>
      <c r="BS687" s="2"/>
      <c r="BT687" s="2"/>
      <c r="BU687" s="22"/>
      <c r="BV687" s="2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</row>
    <row r="688" spans="1:95" x14ac:dyDescent="0.25">
      <c r="A688" s="18">
        <v>685</v>
      </c>
      <c r="B688" s="19" t="s">
        <v>10640</v>
      </c>
      <c r="C688" s="19" t="s">
        <v>10641</v>
      </c>
      <c r="D688" s="20">
        <v>46010</v>
      </c>
      <c r="E688" s="20">
        <v>34700</v>
      </c>
      <c r="F688" s="19"/>
      <c r="G688" s="19"/>
      <c r="H688" s="19" t="s">
        <v>94</v>
      </c>
      <c r="I688" s="19"/>
      <c r="J688" s="19"/>
      <c r="K688" s="19"/>
      <c r="L688" s="19" t="s">
        <v>140</v>
      </c>
      <c r="M688" s="19" t="s">
        <v>141</v>
      </c>
      <c r="N688" s="19" t="s">
        <v>10642</v>
      </c>
      <c r="O688" s="19" t="s">
        <v>100</v>
      </c>
      <c r="P688" s="19"/>
      <c r="Q688" s="19"/>
      <c r="R688" s="19"/>
      <c r="S688" s="19"/>
      <c r="T688" s="19"/>
      <c r="U688" s="19"/>
      <c r="V688" s="19"/>
      <c r="W688" s="19"/>
      <c r="X688" s="19"/>
      <c r="Y688" s="19" t="s">
        <v>101</v>
      </c>
      <c r="Z688" s="19" t="s">
        <v>102</v>
      </c>
      <c r="AA688" s="19" t="s">
        <v>103</v>
      </c>
      <c r="AB688" s="19" t="s">
        <v>402</v>
      </c>
      <c r="AC688" s="19" t="s">
        <v>403</v>
      </c>
      <c r="AD688" s="19" t="s">
        <v>10643</v>
      </c>
      <c r="AE688" s="19" t="s">
        <v>3752</v>
      </c>
      <c r="AF688" s="19" t="s">
        <v>971</v>
      </c>
      <c r="AG688" s="19" t="s">
        <v>3752</v>
      </c>
      <c r="AH688" s="19" t="s">
        <v>262</v>
      </c>
      <c r="AI688" s="19" t="s">
        <v>111</v>
      </c>
      <c r="AJ688" s="19" t="s">
        <v>10644</v>
      </c>
      <c r="AK688" s="19"/>
      <c r="AL688" s="19"/>
      <c r="AM688" s="19" t="s">
        <v>10645</v>
      </c>
      <c r="AN688" s="19" t="s">
        <v>10646</v>
      </c>
      <c r="AO688" s="19" t="s">
        <v>1206</v>
      </c>
      <c r="AP688" s="19" t="s">
        <v>1207</v>
      </c>
      <c r="AQ688" s="19" t="s">
        <v>117</v>
      </c>
      <c r="AR688" s="19" t="s">
        <v>1208</v>
      </c>
      <c r="AS688" s="19" t="s">
        <v>1209</v>
      </c>
      <c r="AT688" s="19" t="s">
        <v>1210</v>
      </c>
      <c r="AU688" s="19" t="s">
        <v>1211</v>
      </c>
      <c r="AV688" s="19" t="s">
        <v>219</v>
      </c>
      <c r="AW688" s="19" t="s">
        <v>1212</v>
      </c>
      <c r="AX688" s="19" t="s">
        <v>124</v>
      </c>
      <c r="AY688" s="19" t="s">
        <v>1213</v>
      </c>
      <c r="AZ688" s="19" t="s">
        <v>1214</v>
      </c>
      <c r="BA688" s="20">
        <v>37560</v>
      </c>
      <c r="BB688" s="19" t="s">
        <v>161</v>
      </c>
      <c r="BC688" s="19" t="s">
        <v>10647</v>
      </c>
      <c r="BD688" s="19" t="s">
        <v>260</v>
      </c>
      <c r="BE688" s="19" t="s">
        <v>130</v>
      </c>
      <c r="BF688" s="19" t="s">
        <v>10648</v>
      </c>
      <c r="BG688" s="19"/>
      <c r="BH688" s="19" t="s">
        <v>10649</v>
      </c>
      <c r="BI688" s="19" t="s">
        <v>10649</v>
      </c>
      <c r="BJ688" s="19" t="s">
        <v>194</v>
      </c>
      <c r="BK688" s="19" t="s">
        <v>591</v>
      </c>
      <c r="BL688" s="19" t="s">
        <v>122</v>
      </c>
      <c r="BM688" s="19" t="s">
        <v>592</v>
      </c>
      <c r="BN688" s="21">
        <v>2.6509999999999998</v>
      </c>
      <c r="BO688" s="21">
        <v>5019.2178299999996</v>
      </c>
      <c r="BQ688" s="2"/>
      <c r="BR688" s="2"/>
      <c r="BS688" s="2"/>
      <c r="BT688" s="2"/>
      <c r="BU688" s="22"/>
      <c r="BV688" s="2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</row>
    <row r="689" spans="1:95" x14ac:dyDescent="0.25">
      <c r="A689" s="18">
        <v>686</v>
      </c>
      <c r="B689" s="19" t="s">
        <v>10650</v>
      </c>
      <c r="C689" s="19" t="s">
        <v>10651</v>
      </c>
      <c r="D689" s="20">
        <v>46013</v>
      </c>
      <c r="E689" s="20">
        <v>33618</v>
      </c>
      <c r="F689" s="19"/>
      <c r="G689" s="19"/>
      <c r="H689" s="19" t="s">
        <v>94</v>
      </c>
      <c r="I689" s="19"/>
      <c r="J689" s="19"/>
      <c r="K689" s="19"/>
      <c r="L689" s="19" t="s">
        <v>244</v>
      </c>
      <c r="M689" s="19" t="s">
        <v>245</v>
      </c>
      <c r="N689" s="19" t="s">
        <v>10652</v>
      </c>
      <c r="O689" s="19" t="s">
        <v>100</v>
      </c>
      <c r="P689" s="19"/>
      <c r="Q689" s="19"/>
      <c r="R689" s="19"/>
      <c r="S689" s="19"/>
      <c r="T689" s="19"/>
      <c r="U689" s="19"/>
      <c r="V689" s="19"/>
      <c r="W689" s="19"/>
      <c r="X689" s="19"/>
      <c r="Y689" s="19" t="s">
        <v>101</v>
      </c>
      <c r="Z689" s="19" t="s">
        <v>102</v>
      </c>
      <c r="AA689" s="19" t="s">
        <v>103</v>
      </c>
      <c r="AB689" s="19" t="s">
        <v>1025</v>
      </c>
      <c r="AC689" s="19" t="s">
        <v>1026</v>
      </c>
      <c r="AD689" s="19" t="s">
        <v>10653</v>
      </c>
      <c r="AE689" s="19" t="s">
        <v>10654</v>
      </c>
      <c r="AF689" s="19" t="s">
        <v>176</v>
      </c>
      <c r="AG689" s="19" t="s">
        <v>10655</v>
      </c>
      <c r="AH689" s="19" t="s">
        <v>124</v>
      </c>
      <c r="AI689" s="19" t="s">
        <v>111</v>
      </c>
      <c r="AJ689" s="19" t="s">
        <v>5080</v>
      </c>
      <c r="AK689" s="19"/>
      <c r="AL689" s="19"/>
      <c r="AM689" s="19" t="s">
        <v>10656</v>
      </c>
      <c r="AN689" s="19" t="s">
        <v>10657</v>
      </c>
      <c r="AO689" s="19" t="s">
        <v>1206</v>
      </c>
      <c r="AP689" s="19" t="s">
        <v>1207</v>
      </c>
      <c r="AQ689" s="19" t="s">
        <v>117</v>
      </c>
      <c r="AR689" s="19" t="s">
        <v>1208</v>
      </c>
      <c r="AS689" s="19" t="s">
        <v>1209</v>
      </c>
      <c r="AT689" s="19" t="s">
        <v>1210</v>
      </c>
      <c r="AU689" s="19" t="s">
        <v>1211</v>
      </c>
      <c r="AV689" s="19" t="s">
        <v>219</v>
      </c>
      <c r="AW689" s="19" t="s">
        <v>1212</v>
      </c>
      <c r="AX689" s="19" t="s">
        <v>124</v>
      </c>
      <c r="AY689" s="19" t="s">
        <v>1213</v>
      </c>
      <c r="AZ689" s="19" t="s">
        <v>1214</v>
      </c>
      <c r="BA689" s="20">
        <v>37560</v>
      </c>
      <c r="BB689" s="19" t="s">
        <v>161</v>
      </c>
      <c r="BC689" s="19" t="s">
        <v>10658</v>
      </c>
      <c r="BD689" s="19" t="s">
        <v>219</v>
      </c>
      <c r="BE689" s="19" t="s">
        <v>130</v>
      </c>
      <c r="BF689" s="19" t="s">
        <v>10659</v>
      </c>
      <c r="BG689" s="19"/>
      <c r="BH689" s="19" t="s">
        <v>10660</v>
      </c>
      <c r="BI689" s="19" t="s">
        <v>10660</v>
      </c>
      <c r="BJ689" s="19" t="s">
        <v>194</v>
      </c>
      <c r="BK689" s="19" t="s">
        <v>591</v>
      </c>
      <c r="BL689" s="19" t="s">
        <v>122</v>
      </c>
      <c r="BM689" s="19" t="s">
        <v>592</v>
      </c>
      <c r="BN689" s="21">
        <v>0</v>
      </c>
      <c r="BO689" s="21">
        <v>0</v>
      </c>
      <c r="BQ689" s="2"/>
      <c r="BR689" s="2"/>
      <c r="BS689" s="2"/>
      <c r="BT689" s="2"/>
      <c r="BU689" s="22"/>
      <c r="BV689" s="2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</row>
    <row r="690" spans="1:95" x14ac:dyDescent="0.25">
      <c r="A690" s="18">
        <v>687</v>
      </c>
      <c r="B690" s="19" t="s">
        <v>10661</v>
      </c>
      <c r="C690" s="19" t="s">
        <v>10662</v>
      </c>
      <c r="D690" s="20">
        <v>46020</v>
      </c>
      <c r="E690" s="20">
        <v>34550</v>
      </c>
      <c r="F690" s="19" t="s">
        <v>10663</v>
      </c>
      <c r="G690" s="19" t="s">
        <v>139</v>
      </c>
      <c r="H690" s="19" t="s">
        <v>117</v>
      </c>
      <c r="I690" s="19" t="s">
        <v>10664</v>
      </c>
      <c r="J690" s="19"/>
      <c r="K690" s="19"/>
      <c r="L690" s="19" t="s">
        <v>140</v>
      </c>
      <c r="M690" s="19" t="s">
        <v>141</v>
      </c>
      <c r="N690" s="19" t="s">
        <v>10665</v>
      </c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 t="s">
        <v>101</v>
      </c>
      <c r="Z690" s="19" t="s">
        <v>102</v>
      </c>
      <c r="AA690" s="19" t="s">
        <v>103</v>
      </c>
      <c r="AB690" s="19" t="s">
        <v>789</v>
      </c>
      <c r="AC690" s="19" t="s">
        <v>790</v>
      </c>
      <c r="AD690" s="19" t="s">
        <v>10666</v>
      </c>
      <c r="AE690" s="19" t="s">
        <v>10667</v>
      </c>
      <c r="AF690" s="19" t="s">
        <v>10668</v>
      </c>
      <c r="AG690" s="19" t="s">
        <v>10669</v>
      </c>
      <c r="AH690" s="19" t="s">
        <v>149</v>
      </c>
      <c r="AI690" s="19" t="s">
        <v>111</v>
      </c>
      <c r="AJ690" s="19" t="s">
        <v>10670</v>
      </c>
      <c r="AK690" s="19"/>
      <c r="AL690" s="19"/>
      <c r="AM690" s="19" t="s">
        <v>10671</v>
      </c>
      <c r="AN690" s="19" t="s">
        <v>10672</v>
      </c>
      <c r="AO690" s="19" t="s">
        <v>4174</v>
      </c>
      <c r="AP690" s="19" t="s">
        <v>4175</v>
      </c>
      <c r="AQ690" s="19" t="s">
        <v>117</v>
      </c>
      <c r="AR690" s="19" t="s">
        <v>4176</v>
      </c>
      <c r="AS690" s="19" t="s">
        <v>4177</v>
      </c>
      <c r="AT690" s="19" t="s">
        <v>4178</v>
      </c>
      <c r="AU690" s="19" t="s">
        <v>4179</v>
      </c>
      <c r="AV690" s="19" t="s">
        <v>3837</v>
      </c>
      <c r="AW690" s="19" t="s">
        <v>4180</v>
      </c>
      <c r="AX690" s="19" t="s">
        <v>149</v>
      </c>
      <c r="AY690" s="19" t="s">
        <v>4181</v>
      </c>
      <c r="AZ690" s="19" t="s">
        <v>4182</v>
      </c>
      <c r="BA690" s="20">
        <v>39037</v>
      </c>
      <c r="BB690" s="19" t="s">
        <v>331</v>
      </c>
      <c r="BC690" s="19" t="s">
        <v>10673</v>
      </c>
      <c r="BD690" s="19" t="s">
        <v>10673</v>
      </c>
      <c r="BE690" s="19" t="s">
        <v>130</v>
      </c>
      <c r="BF690" s="19" t="s">
        <v>10674</v>
      </c>
      <c r="BG690" s="19"/>
      <c r="BH690" s="19" t="s">
        <v>10675</v>
      </c>
      <c r="BI690" s="19" t="s">
        <v>10675</v>
      </c>
      <c r="BJ690" s="19" t="s">
        <v>166</v>
      </c>
      <c r="BK690" s="19" t="s">
        <v>591</v>
      </c>
      <c r="BL690" s="19" t="s">
        <v>122</v>
      </c>
      <c r="BM690" s="19" t="s">
        <v>592</v>
      </c>
      <c r="BN690" s="21">
        <v>50.707000000000001</v>
      </c>
      <c r="BO690" s="21">
        <v>1007.04102</v>
      </c>
      <c r="BQ690" s="2"/>
      <c r="BR690" s="2"/>
      <c r="BS690" s="2"/>
      <c r="BT690" s="2"/>
      <c r="BU690" s="22"/>
      <c r="BV690" s="2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</row>
    <row r="691" spans="1:95" x14ac:dyDescent="0.25">
      <c r="A691" s="18">
        <v>688</v>
      </c>
      <c r="B691" s="19" t="s">
        <v>10676</v>
      </c>
      <c r="C691" s="19" t="s">
        <v>10677</v>
      </c>
      <c r="D691" s="20">
        <v>46020</v>
      </c>
      <c r="E691" s="20">
        <v>38550</v>
      </c>
      <c r="F691" s="19"/>
      <c r="G691" s="19"/>
      <c r="H691" s="19" t="s">
        <v>94</v>
      </c>
      <c r="I691" s="19"/>
      <c r="J691" s="19"/>
      <c r="K691" s="19"/>
      <c r="L691" s="19" t="s">
        <v>140</v>
      </c>
      <c r="M691" s="19" t="s">
        <v>141</v>
      </c>
      <c r="N691" s="19" t="s">
        <v>10678</v>
      </c>
      <c r="O691" s="19" t="s">
        <v>100</v>
      </c>
      <c r="P691" s="19"/>
      <c r="Q691" s="19"/>
      <c r="R691" s="19"/>
      <c r="S691" s="19"/>
      <c r="T691" s="19"/>
      <c r="U691" s="19"/>
      <c r="V691" s="19"/>
      <c r="W691" s="19"/>
      <c r="X691" s="19"/>
      <c r="Y691" s="19" t="s">
        <v>101</v>
      </c>
      <c r="Z691" s="19" t="s">
        <v>102</v>
      </c>
      <c r="AA691" s="19" t="s">
        <v>103</v>
      </c>
      <c r="AB691" s="19" t="s">
        <v>812</v>
      </c>
      <c r="AC691" s="19" t="s">
        <v>813</v>
      </c>
      <c r="AD691" s="19" t="s">
        <v>10679</v>
      </c>
      <c r="AE691" s="19"/>
      <c r="AF691" s="19"/>
      <c r="AG691" s="19" t="s">
        <v>10680</v>
      </c>
      <c r="AH691" s="19" t="s">
        <v>376</v>
      </c>
      <c r="AI691" s="19" t="s">
        <v>111</v>
      </c>
      <c r="AJ691" s="19" t="s">
        <v>10681</v>
      </c>
      <c r="AK691" s="19"/>
      <c r="AL691" s="19"/>
      <c r="AM691" s="19" t="s">
        <v>10682</v>
      </c>
      <c r="AN691" s="19" t="s">
        <v>10683</v>
      </c>
      <c r="AO691" s="19" t="s">
        <v>579</v>
      </c>
      <c r="AP691" s="19" t="s">
        <v>580</v>
      </c>
      <c r="AQ691" s="19" t="s">
        <v>117</v>
      </c>
      <c r="AR691" s="19" t="s">
        <v>581</v>
      </c>
      <c r="AS691" s="19" t="s">
        <v>582</v>
      </c>
      <c r="AT691" s="19" t="s">
        <v>583</v>
      </c>
      <c r="AU691" s="19" t="s">
        <v>584</v>
      </c>
      <c r="AV691" s="19" t="s">
        <v>168</v>
      </c>
      <c r="AW691" s="19" t="s">
        <v>585</v>
      </c>
      <c r="AX691" s="19" t="s">
        <v>262</v>
      </c>
      <c r="AY691" s="19" t="s">
        <v>586</v>
      </c>
      <c r="AZ691" s="19" t="s">
        <v>587</v>
      </c>
      <c r="BA691" s="20">
        <v>44494</v>
      </c>
      <c r="BB691" s="19" t="s">
        <v>5747</v>
      </c>
      <c r="BC691" s="19" t="s">
        <v>9313</v>
      </c>
      <c r="BD691" s="19" t="s">
        <v>219</v>
      </c>
      <c r="BE691" s="19" t="s">
        <v>130</v>
      </c>
      <c r="BF691" s="19" t="s">
        <v>10684</v>
      </c>
      <c r="BG691" s="19"/>
      <c r="BH691" s="19" t="s">
        <v>2319</v>
      </c>
      <c r="BI691" s="19" t="s">
        <v>2319</v>
      </c>
      <c r="BJ691" s="19" t="s">
        <v>194</v>
      </c>
      <c r="BK691" s="19" t="s">
        <v>591</v>
      </c>
      <c r="BL691" s="19" t="s">
        <v>122</v>
      </c>
      <c r="BM691" s="19" t="s">
        <v>592</v>
      </c>
      <c r="BN691" s="21">
        <v>44.167999999999999</v>
      </c>
      <c r="BO691" s="21">
        <v>1531.30456</v>
      </c>
      <c r="BQ691" s="2"/>
      <c r="BR691" s="2"/>
      <c r="BS691" s="2"/>
      <c r="BT691" s="2"/>
      <c r="BU691" s="22"/>
      <c r="BV691" s="2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</row>
    <row r="692" spans="1:95" x14ac:dyDescent="0.25">
      <c r="A692" s="18">
        <v>689</v>
      </c>
      <c r="B692" s="19" t="s">
        <v>10685</v>
      </c>
      <c r="C692" s="19" t="s">
        <v>10686</v>
      </c>
      <c r="D692" s="20">
        <v>46014</v>
      </c>
      <c r="E692" s="20">
        <v>36010</v>
      </c>
      <c r="F692" s="19" t="s">
        <v>10687</v>
      </c>
      <c r="G692" s="19" t="s">
        <v>139</v>
      </c>
      <c r="H692" s="19" t="s">
        <v>117</v>
      </c>
      <c r="I692" s="19" t="s">
        <v>10688</v>
      </c>
      <c r="J692" s="19"/>
      <c r="K692" s="19"/>
      <c r="L692" s="19" t="s">
        <v>1262</v>
      </c>
      <c r="M692" s="19" t="s">
        <v>1263</v>
      </c>
      <c r="N692" s="19" t="s">
        <v>10689</v>
      </c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 t="s">
        <v>101</v>
      </c>
      <c r="Z692" s="19" t="s">
        <v>102</v>
      </c>
      <c r="AA692" s="19" t="s">
        <v>103</v>
      </c>
      <c r="AB692" s="19" t="s">
        <v>247</v>
      </c>
      <c r="AC692" s="19" t="s">
        <v>248</v>
      </c>
      <c r="AD692" s="19" t="s">
        <v>10690</v>
      </c>
      <c r="AE692" s="19"/>
      <c r="AF692" s="19"/>
      <c r="AG692" s="19" t="s">
        <v>10691</v>
      </c>
      <c r="AH692" s="19" t="s">
        <v>757</v>
      </c>
      <c r="AI692" s="19"/>
      <c r="AJ692" s="19" t="s">
        <v>10692</v>
      </c>
      <c r="AK692" s="19"/>
      <c r="AL692" s="19" t="s">
        <v>10693</v>
      </c>
      <c r="AM692" s="19" t="s">
        <v>10694</v>
      </c>
      <c r="AN692" s="19" t="s">
        <v>10695</v>
      </c>
      <c r="AO692" s="19" t="s">
        <v>2705</v>
      </c>
      <c r="AP692" s="19" t="s">
        <v>2706</v>
      </c>
      <c r="AQ692" s="19" t="s">
        <v>117</v>
      </c>
      <c r="AR692" s="19"/>
      <c r="AS692" s="19"/>
      <c r="AT692" s="19"/>
      <c r="AU692" s="19"/>
      <c r="AV692" s="19"/>
      <c r="AW692" s="19"/>
      <c r="AX692" s="19"/>
      <c r="AY692" s="19"/>
      <c r="AZ692" s="19" t="s">
        <v>2707</v>
      </c>
      <c r="BA692" s="20">
        <v>45363</v>
      </c>
      <c r="BB692" s="19" t="s">
        <v>331</v>
      </c>
      <c r="BC692" s="19" t="s">
        <v>10696</v>
      </c>
      <c r="BD692" s="19" t="s">
        <v>10696</v>
      </c>
      <c r="BE692" s="19" t="s">
        <v>130</v>
      </c>
      <c r="BF692" s="19" t="s">
        <v>10697</v>
      </c>
      <c r="BG692" s="19"/>
      <c r="BH692" s="19" t="s">
        <v>10698</v>
      </c>
      <c r="BI692" s="19" t="s">
        <v>10698</v>
      </c>
      <c r="BJ692" s="19" t="s">
        <v>166</v>
      </c>
      <c r="BK692" s="19" t="s">
        <v>167</v>
      </c>
      <c r="BL692" s="19" t="s">
        <v>168</v>
      </c>
      <c r="BM692" s="19" t="s">
        <v>169</v>
      </c>
      <c r="BN692" s="21">
        <v>0.22800000000000001</v>
      </c>
      <c r="BO692" s="21">
        <v>99.980827199999993</v>
      </c>
      <c r="BQ692" s="2"/>
      <c r="BR692" s="2"/>
      <c r="BS692" s="2"/>
      <c r="BT692" s="2"/>
      <c r="BU692" s="22"/>
      <c r="BV692" s="2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</row>
    <row r="693" spans="1:95" x14ac:dyDescent="0.25">
      <c r="A693" s="18">
        <v>690</v>
      </c>
      <c r="B693" s="19" t="s">
        <v>10699</v>
      </c>
      <c r="C693" s="19" t="s">
        <v>10700</v>
      </c>
      <c r="D693" s="20">
        <v>46014</v>
      </c>
      <c r="E693" s="20">
        <v>11463</v>
      </c>
      <c r="F693" s="19"/>
      <c r="G693" s="19"/>
      <c r="H693" s="19" t="s">
        <v>94</v>
      </c>
      <c r="I693" s="19"/>
      <c r="J693" s="19"/>
      <c r="K693" s="19"/>
      <c r="L693" s="19"/>
      <c r="M693" s="19"/>
      <c r="N693" s="19" t="s">
        <v>10701</v>
      </c>
      <c r="O693" s="19" t="s">
        <v>100</v>
      </c>
      <c r="P693" s="19"/>
      <c r="Q693" s="19"/>
      <c r="R693" s="19"/>
      <c r="S693" s="19" t="s">
        <v>10702</v>
      </c>
      <c r="T693" s="19" t="s">
        <v>10703</v>
      </c>
      <c r="U693" s="19" t="s">
        <v>100</v>
      </c>
      <c r="V693" s="19"/>
      <c r="W693" s="19"/>
      <c r="X693" s="19"/>
      <c r="Y693" s="19" t="s">
        <v>101</v>
      </c>
      <c r="Z693" s="19" t="s">
        <v>102</v>
      </c>
      <c r="AA693" s="19" t="s">
        <v>103</v>
      </c>
      <c r="AB693" s="19" t="s">
        <v>292</v>
      </c>
      <c r="AC693" s="19" t="s">
        <v>293</v>
      </c>
      <c r="AD693" s="19" t="s">
        <v>10704</v>
      </c>
      <c r="AE693" s="19" t="s">
        <v>10705</v>
      </c>
      <c r="AF693" s="19" t="s">
        <v>10706</v>
      </c>
      <c r="AG693" s="19" t="s">
        <v>219</v>
      </c>
      <c r="AH693" s="19" t="s">
        <v>124</v>
      </c>
      <c r="AI693" s="19" t="s">
        <v>111</v>
      </c>
      <c r="AJ693" s="19" t="s">
        <v>10707</v>
      </c>
      <c r="AK693" s="19"/>
      <c r="AL693" s="19"/>
      <c r="AM693" s="19" t="s">
        <v>10708</v>
      </c>
      <c r="AN693" s="19"/>
      <c r="AO693" s="19" t="s">
        <v>10709</v>
      </c>
      <c r="AP693" s="19" t="s">
        <v>10710</v>
      </c>
      <c r="AQ693" s="19" t="s">
        <v>117</v>
      </c>
      <c r="AR693" s="19" t="s">
        <v>10711</v>
      </c>
      <c r="AS693" s="19" t="s">
        <v>10712</v>
      </c>
      <c r="AT693" s="19" t="s">
        <v>10713</v>
      </c>
      <c r="AU693" s="19" t="s">
        <v>10714</v>
      </c>
      <c r="AV693" s="19" t="s">
        <v>122</v>
      </c>
      <c r="AW693" s="19" t="s">
        <v>10707</v>
      </c>
      <c r="AX693" s="19" t="s">
        <v>124</v>
      </c>
      <c r="AY693" s="19" t="s">
        <v>10715</v>
      </c>
      <c r="AZ693" s="19" t="s">
        <v>10716</v>
      </c>
      <c r="BA693" s="20">
        <v>42457</v>
      </c>
      <c r="BB693" s="19" t="s">
        <v>10717</v>
      </c>
      <c r="BC693" s="19" t="s">
        <v>10718</v>
      </c>
      <c r="BD693" s="19"/>
      <c r="BE693" s="19" t="s">
        <v>130</v>
      </c>
      <c r="BF693" s="19" t="s">
        <v>10719</v>
      </c>
      <c r="BG693" s="19"/>
      <c r="BH693" s="19" t="s">
        <v>10720</v>
      </c>
      <c r="BI693" s="19" t="s">
        <v>10720</v>
      </c>
      <c r="BJ693" s="19" t="s">
        <v>166</v>
      </c>
      <c r="BK693" s="19" t="s">
        <v>1084</v>
      </c>
      <c r="BL693" s="19" t="s">
        <v>222</v>
      </c>
      <c r="BM693" s="19" t="s">
        <v>169</v>
      </c>
      <c r="BN693" s="21">
        <v>15260.075000000001</v>
      </c>
      <c r="BO693" s="21">
        <v>251234.24476249999</v>
      </c>
      <c r="BQ693" s="2"/>
      <c r="BR693" s="2"/>
      <c r="BS693" s="2"/>
      <c r="BT693" s="2"/>
      <c r="BU693" s="22"/>
      <c r="BV693" s="2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</row>
    <row r="694" spans="1:95" x14ac:dyDescent="0.25">
      <c r="A694" s="18">
        <v>691</v>
      </c>
      <c r="B694" s="19" t="s">
        <v>10721</v>
      </c>
      <c r="C694" s="19" t="s">
        <v>10722</v>
      </c>
      <c r="D694" s="20">
        <v>46015</v>
      </c>
      <c r="E694" s="20">
        <v>21779</v>
      </c>
      <c r="F694" s="19"/>
      <c r="G694" s="19"/>
      <c r="H694" s="19" t="s">
        <v>94</v>
      </c>
      <c r="I694" s="19"/>
      <c r="J694" s="19" t="s">
        <v>95</v>
      </c>
      <c r="K694" s="19" t="s">
        <v>96</v>
      </c>
      <c r="L694" s="19" t="s">
        <v>467</v>
      </c>
      <c r="M694" s="19" t="s">
        <v>468</v>
      </c>
      <c r="N694" s="19" t="s">
        <v>10723</v>
      </c>
      <c r="O694" s="19" t="s">
        <v>100</v>
      </c>
      <c r="P694" s="19"/>
      <c r="Q694" s="19"/>
      <c r="R694" s="19"/>
      <c r="S694" s="19"/>
      <c r="T694" s="19"/>
      <c r="U694" s="19"/>
      <c r="V694" s="19"/>
      <c r="W694" s="19"/>
      <c r="X694" s="19"/>
      <c r="Y694" s="19" t="s">
        <v>101</v>
      </c>
      <c r="Z694" s="19" t="s">
        <v>102</v>
      </c>
      <c r="AA694" s="19" t="s">
        <v>103</v>
      </c>
      <c r="AB694" s="19" t="s">
        <v>789</v>
      </c>
      <c r="AC694" s="19" t="s">
        <v>790</v>
      </c>
      <c r="AD694" s="19" t="s">
        <v>10724</v>
      </c>
      <c r="AE694" s="19" t="s">
        <v>10725</v>
      </c>
      <c r="AF694" s="19" t="s">
        <v>10726</v>
      </c>
      <c r="AG694" s="19" t="s">
        <v>6826</v>
      </c>
      <c r="AH694" s="19" t="s">
        <v>376</v>
      </c>
      <c r="AI694" s="19" t="s">
        <v>111</v>
      </c>
      <c r="AJ694" s="19" t="s">
        <v>10727</v>
      </c>
      <c r="AK694" s="19"/>
      <c r="AL694" s="19"/>
      <c r="AM694" s="19" t="s">
        <v>10728</v>
      </c>
      <c r="AN694" s="19" t="s">
        <v>10729</v>
      </c>
      <c r="AO694" s="19" t="s">
        <v>10730</v>
      </c>
      <c r="AP694" s="19" t="s">
        <v>10731</v>
      </c>
      <c r="AQ694" s="19" t="s">
        <v>117</v>
      </c>
      <c r="AR694" s="19" t="s">
        <v>10732</v>
      </c>
      <c r="AS694" s="19" t="s">
        <v>10733</v>
      </c>
      <c r="AT694" s="19"/>
      <c r="AU694" s="19"/>
      <c r="AV694" s="19" t="s">
        <v>10734</v>
      </c>
      <c r="AW694" s="19" t="s">
        <v>10727</v>
      </c>
      <c r="AX694" s="19" t="s">
        <v>376</v>
      </c>
      <c r="AY694" s="19" t="s">
        <v>10735</v>
      </c>
      <c r="AZ694" s="19" t="s">
        <v>10736</v>
      </c>
      <c r="BA694" s="20">
        <v>44790</v>
      </c>
      <c r="BB694" s="19" t="s">
        <v>6287</v>
      </c>
      <c r="BC694" s="19" t="s">
        <v>10737</v>
      </c>
      <c r="BD694" s="19" t="s">
        <v>10734</v>
      </c>
      <c r="BE694" s="19" t="s">
        <v>130</v>
      </c>
      <c r="BF694" s="19" t="s">
        <v>10738</v>
      </c>
      <c r="BG694" s="19" t="s">
        <v>10739</v>
      </c>
      <c r="BH694" s="19" t="s">
        <v>10740</v>
      </c>
      <c r="BI694" s="19" t="s">
        <v>10740</v>
      </c>
      <c r="BJ694" s="19" t="s">
        <v>166</v>
      </c>
      <c r="BK694" s="19" t="s">
        <v>10741</v>
      </c>
      <c r="BL694" s="19" t="s">
        <v>10734</v>
      </c>
      <c r="BM694" s="19" t="s">
        <v>196</v>
      </c>
      <c r="BN694" s="21">
        <v>504.51600000000002</v>
      </c>
      <c r="BO694" s="21">
        <v>10019.687760000001</v>
      </c>
      <c r="BQ694" s="2"/>
      <c r="BR694" s="2"/>
      <c r="BS694" s="2"/>
      <c r="BT694" s="2"/>
      <c r="BU694" s="22"/>
      <c r="BV694" s="2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</row>
    <row r="695" spans="1:95" x14ac:dyDescent="0.25">
      <c r="A695" s="18">
        <v>692</v>
      </c>
      <c r="B695" s="19" t="s">
        <v>10742</v>
      </c>
      <c r="C695" s="19" t="s">
        <v>10743</v>
      </c>
      <c r="D695" s="20">
        <v>46020</v>
      </c>
      <c r="E695" s="20">
        <v>35214</v>
      </c>
      <c r="F695" s="19"/>
      <c r="G695" s="19"/>
      <c r="H695" s="19" t="s">
        <v>94</v>
      </c>
      <c r="I695" s="19"/>
      <c r="J695" s="19"/>
      <c r="K695" s="19"/>
      <c r="L695" s="19" t="s">
        <v>244</v>
      </c>
      <c r="M695" s="19" t="s">
        <v>245</v>
      </c>
      <c r="N695" s="19" t="s">
        <v>10744</v>
      </c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 t="s">
        <v>3160</v>
      </c>
      <c r="Z695" s="19" t="s">
        <v>3161</v>
      </c>
      <c r="AA695" s="19" t="s">
        <v>103</v>
      </c>
      <c r="AB695" s="19" t="s">
        <v>1025</v>
      </c>
      <c r="AC695" s="19" t="s">
        <v>1026</v>
      </c>
      <c r="AD695" s="19" t="s">
        <v>10745</v>
      </c>
      <c r="AE695" s="19" t="s">
        <v>10746</v>
      </c>
      <c r="AF695" s="19"/>
      <c r="AG695" s="19" t="s">
        <v>10747</v>
      </c>
      <c r="AH695" s="19"/>
      <c r="AI695" s="19"/>
      <c r="AJ695" s="19" t="s">
        <v>10748</v>
      </c>
      <c r="AK695" s="19"/>
      <c r="AL695" s="19"/>
      <c r="AM695" s="19" t="s">
        <v>10749</v>
      </c>
      <c r="AN695" s="19"/>
      <c r="AO695" s="19" t="s">
        <v>10417</v>
      </c>
      <c r="AP695" s="19" t="s">
        <v>10418</v>
      </c>
      <c r="AQ695" s="19" t="s">
        <v>117</v>
      </c>
      <c r="AR695" s="19" t="s">
        <v>10419</v>
      </c>
      <c r="AS695" s="19" t="s">
        <v>10420</v>
      </c>
      <c r="AT695" s="19" t="s">
        <v>10421</v>
      </c>
      <c r="AU695" s="19" t="s">
        <v>10422</v>
      </c>
      <c r="AV695" s="19" t="s">
        <v>1044</v>
      </c>
      <c r="AW695" s="19" t="s">
        <v>9220</v>
      </c>
      <c r="AX695" s="19" t="s">
        <v>707</v>
      </c>
      <c r="AY695" s="19" t="s">
        <v>10423</v>
      </c>
      <c r="AZ695" s="19" t="s">
        <v>10424</v>
      </c>
      <c r="BA695" s="20">
        <v>45590</v>
      </c>
      <c r="BB695" s="19" t="s">
        <v>5747</v>
      </c>
      <c r="BC695" s="19" t="s">
        <v>10750</v>
      </c>
      <c r="BD695" s="19" t="s">
        <v>148</v>
      </c>
      <c r="BE695" s="19" t="s">
        <v>3180</v>
      </c>
      <c r="BF695" s="19" t="s">
        <v>10751</v>
      </c>
      <c r="BG695" s="19"/>
      <c r="BH695" s="19" t="s">
        <v>10752</v>
      </c>
      <c r="BI695" s="19" t="s">
        <v>10752</v>
      </c>
      <c r="BJ695" s="19" t="s">
        <v>194</v>
      </c>
      <c r="BK695" s="19" t="s">
        <v>591</v>
      </c>
      <c r="BL695" s="19" t="s">
        <v>122</v>
      </c>
      <c r="BM695" s="19" t="s">
        <v>592</v>
      </c>
      <c r="BN695" s="21">
        <v>1726.9549999999999</v>
      </c>
      <c r="BO695" s="21">
        <v>60071.784284000001</v>
      </c>
      <c r="BQ695" s="2"/>
      <c r="BR695" s="2"/>
      <c r="BS695" s="2"/>
      <c r="BT695" s="2"/>
      <c r="BU695" s="22"/>
      <c r="BV695" s="2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</row>
    <row r="696" spans="1:95" x14ac:dyDescent="0.25">
      <c r="A696" s="18">
        <v>693</v>
      </c>
      <c r="B696" s="19" t="s">
        <v>10753</v>
      </c>
      <c r="C696" s="19" t="s">
        <v>10754</v>
      </c>
      <c r="D696" s="20">
        <v>46020</v>
      </c>
      <c r="E696" s="20">
        <v>36351</v>
      </c>
      <c r="F696" s="19"/>
      <c r="G696" s="19"/>
      <c r="H696" s="19" t="s">
        <v>94</v>
      </c>
      <c r="I696" s="19"/>
      <c r="J696" s="19"/>
      <c r="K696" s="19"/>
      <c r="L696" s="19" t="s">
        <v>101</v>
      </c>
      <c r="M696" s="19" t="s">
        <v>290</v>
      </c>
      <c r="N696" s="19" t="s">
        <v>10755</v>
      </c>
      <c r="O696" s="19" t="s">
        <v>100</v>
      </c>
      <c r="P696" s="19"/>
      <c r="Q696" s="19"/>
      <c r="R696" s="19"/>
      <c r="S696" s="19"/>
      <c r="T696" s="19"/>
      <c r="U696" s="19"/>
      <c r="V696" s="19"/>
      <c r="W696" s="19"/>
      <c r="X696" s="19"/>
      <c r="Y696" s="19" t="s">
        <v>101</v>
      </c>
      <c r="Z696" s="19" t="s">
        <v>102</v>
      </c>
      <c r="AA696" s="19" t="s">
        <v>103</v>
      </c>
      <c r="AB696" s="19" t="s">
        <v>173</v>
      </c>
      <c r="AC696" s="19" t="s">
        <v>174</v>
      </c>
      <c r="AD696" s="19" t="s">
        <v>10756</v>
      </c>
      <c r="AE696" s="19" t="s">
        <v>10757</v>
      </c>
      <c r="AF696" s="19"/>
      <c r="AG696" s="19" t="s">
        <v>10758</v>
      </c>
      <c r="AH696" s="19" t="s">
        <v>327</v>
      </c>
      <c r="AI696" s="19" t="s">
        <v>111</v>
      </c>
      <c r="AJ696" s="19" t="s">
        <v>10759</v>
      </c>
      <c r="AK696" s="19" t="s">
        <v>4374</v>
      </c>
      <c r="AL696" s="19" t="s">
        <v>4374</v>
      </c>
      <c r="AM696" s="19" t="s">
        <v>10760</v>
      </c>
      <c r="AN696" s="19" t="s">
        <v>10761</v>
      </c>
      <c r="AO696" s="19" t="s">
        <v>181</v>
      </c>
      <c r="AP696" s="19" t="s">
        <v>182</v>
      </c>
      <c r="AQ696" s="19" t="s">
        <v>117</v>
      </c>
      <c r="AR696" s="19" t="s">
        <v>183</v>
      </c>
      <c r="AS696" s="19" t="s">
        <v>184</v>
      </c>
      <c r="AT696" s="19" t="s">
        <v>185</v>
      </c>
      <c r="AU696" s="19"/>
      <c r="AV696" s="19" t="s">
        <v>186</v>
      </c>
      <c r="AW696" s="19" t="s">
        <v>187</v>
      </c>
      <c r="AX696" s="19" t="s">
        <v>188</v>
      </c>
      <c r="AY696" s="19"/>
      <c r="AZ696" s="19" t="s">
        <v>189</v>
      </c>
      <c r="BA696" s="20">
        <v>44673</v>
      </c>
      <c r="BB696" s="19" t="s">
        <v>331</v>
      </c>
      <c r="BC696" s="19" t="s">
        <v>10762</v>
      </c>
      <c r="BD696" s="19" t="s">
        <v>10763</v>
      </c>
      <c r="BE696" s="19" t="s">
        <v>130</v>
      </c>
      <c r="BF696" s="19" t="s">
        <v>10764</v>
      </c>
      <c r="BG696" s="19"/>
      <c r="BH696" s="19" t="s">
        <v>10765</v>
      </c>
      <c r="BI696" s="19" t="s">
        <v>10765</v>
      </c>
      <c r="BJ696" s="19" t="s">
        <v>194</v>
      </c>
      <c r="BK696" s="19" t="s">
        <v>195</v>
      </c>
      <c r="BL696" s="19" t="s">
        <v>122</v>
      </c>
      <c r="BM696" s="19" t="s">
        <v>196</v>
      </c>
      <c r="BN696" s="21">
        <v>2.851</v>
      </c>
      <c r="BO696" s="21">
        <v>100.9943942</v>
      </c>
      <c r="BQ696" s="2"/>
      <c r="BR696" s="2"/>
      <c r="BS696" s="2"/>
      <c r="BT696" s="2"/>
      <c r="BU696" s="22"/>
      <c r="BV696" s="2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</row>
    <row r="697" spans="1:95" x14ac:dyDescent="0.25">
      <c r="A697" s="18">
        <v>694</v>
      </c>
      <c r="B697" s="19" t="s">
        <v>10766</v>
      </c>
      <c r="C697" s="19" t="s">
        <v>10767</v>
      </c>
      <c r="D697" s="20">
        <v>46020</v>
      </c>
      <c r="E697" s="20">
        <v>34313</v>
      </c>
      <c r="F697" s="19"/>
      <c r="G697" s="19"/>
      <c r="H697" s="19" t="s">
        <v>94</v>
      </c>
      <c r="I697" s="19"/>
      <c r="J697" s="19"/>
      <c r="K697" s="19"/>
      <c r="L697" s="19" t="s">
        <v>244</v>
      </c>
      <c r="M697" s="19" t="s">
        <v>245</v>
      </c>
      <c r="N697" s="19" t="s">
        <v>10768</v>
      </c>
      <c r="O697" s="19" t="s">
        <v>100</v>
      </c>
      <c r="P697" s="19"/>
      <c r="Q697" s="19"/>
      <c r="R697" s="19"/>
      <c r="S697" s="19"/>
      <c r="T697" s="19"/>
      <c r="U697" s="19"/>
      <c r="V697" s="19"/>
      <c r="W697" s="19"/>
      <c r="X697" s="19"/>
      <c r="Y697" s="19" t="s">
        <v>101</v>
      </c>
      <c r="Z697" s="19" t="s">
        <v>102</v>
      </c>
      <c r="AA697" s="19" t="s">
        <v>103</v>
      </c>
      <c r="AB697" s="19" t="s">
        <v>143</v>
      </c>
      <c r="AC697" s="19" t="s">
        <v>144</v>
      </c>
      <c r="AD697" s="19" t="s">
        <v>10769</v>
      </c>
      <c r="AE697" s="19" t="s">
        <v>10770</v>
      </c>
      <c r="AF697" s="19"/>
      <c r="AG697" s="19" t="s">
        <v>10771</v>
      </c>
      <c r="AH697" s="19" t="s">
        <v>757</v>
      </c>
      <c r="AI697" s="19" t="s">
        <v>111</v>
      </c>
      <c r="AJ697" s="19" t="s">
        <v>10772</v>
      </c>
      <c r="AK697" s="19"/>
      <c r="AL697" s="19"/>
      <c r="AM697" s="19" t="s">
        <v>10773</v>
      </c>
      <c r="AN697" s="19" t="s">
        <v>10774</v>
      </c>
      <c r="AO697" s="19" t="s">
        <v>255</v>
      </c>
      <c r="AP697" s="19" t="s">
        <v>256</v>
      </c>
      <c r="AQ697" s="19" t="s">
        <v>117</v>
      </c>
      <c r="AR697" s="19" t="s">
        <v>257</v>
      </c>
      <c r="AS697" s="19" t="s">
        <v>258</v>
      </c>
      <c r="AT697" s="19" t="s">
        <v>259</v>
      </c>
      <c r="AU697" s="19" t="s">
        <v>260</v>
      </c>
      <c r="AV697" s="19" t="s">
        <v>260</v>
      </c>
      <c r="AW697" s="19" t="s">
        <v>261</v>
      </c>
      <c r="AX697" s="19" t="s">
        <v>262</v>
      </c>
      <c r="AY697" s="19" t="s">
        <v>263</v>
      </c>
      <c r="AZ697" s="19" t="s">
        <v>264</v>
      </c>
      <c r="BA697" s="20">
        <v>43627</v>
      </c>
      <c r="BB697" s="19" t="s">
        <v>265</v>
      </c>
      <c r="BC697" s="19" t="s">
        <v>10775</v>
      </c>
      <c r="BD697" s="19" t="s">
        <v>10776</v>
      </c>
      <c r="BE697" s="19" t="s">
        <v>130</v>
      </c>
      <c r="BF697" s="19" t="s">
        <v>10777</v>
      </c>
      <c r="BG697" s="19"/>
      <c r="BH697" s="19" t="s">
        <v>10778</v>
      </c>
      <c r="BI697" s="19" t="s">
        <v>10778</v>
      </c>
      <c r="BJ697" s="19" t="s">
        <v>194</v>
      </c>
      <c r="BK697" s="19" t="s">
        <v>195</v>
      </c>
      <c r="BL697" s="19" t="s">
        <v>122</v>
      </c>
      <c r="BM697" s="19" t="s">
        <v>196</v>
      </c>
      <c r="BN697" s="21">
        <v>53.601999999999997</v>
      </c>
      <c r="BO697" s="21">
        <v>2041.70018</v>
      </c>
      <c r="BQ697" s="2"/>
      <c r="BR697" s="2"/>
      <c r="BS697" s="2"/>
      <c r="BT697" s="2"/>
      <c r="BU697" s="22"/>
      <c r="BV697" s="2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</row>
    <row r="698" spans="1:95" x14ac:dyDescent="0.25">
      <c r="A698" s="18">
        <v>695</v>
      </c>
      <c r="B698" s="19" t="s">
        <v>10779</v>
      </c>
      <c r="C698" s="19" t="s">
        <v>10780</v>
      </c>
      <c r="D698" s="20">
        <v>46017</v>
      </c>
      <c r="E698" s="20">
        <v>17123</v>
      </c>
      <c r="F698" s="19"/>
      <c r="G698" s="19"/>
      <c r="H698" s="19" t="s">
        <v>94</v>
      </c>
      <c r="I698" s="19"/>
      <c r="J698" s="19"/>
      <c r="K698" s="19"/>
      <c r="L698" s="19" t="s">
        <v>101</v>
      </c>
      <c r="M698" s="19" t="s">
        <v>290</v>
      </c>
      <c r="N698" s="19" t="s">
        <v>10781</v>
      </c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 t="s">
        <v>101</v>
      </c>
      <c r="Z698" s="19" t="s">
        <v>102</v>
      </c>
      <c r="AA698" s="19" t="s">
        <v>103</v>
      </c>
      <c r="AB698" s="19" t="s">
        <v>2173</v>
      </c>
      <c r="AC698" s="19" t="s">
        <v>2174</v>
      </c>
      <c r="AD698" s="19" t="s">
        <v>10782</v>
      </c>
      <c r="AE698" s="19" t="s">
        <v>10783</v>
      </c>
      <c r="AF698" s="19" t="s">
        <v>10784</v>
      </c>
      <c r="AG698" s="19" t="s">
        <v>148</v>
      </c>
      <c r="AH698" s="19" t="s">
        <v>149</v>
      </c>
      <c r="AI698" s="19" t="s">
        <v>111</v>
      </c>
      <c r="AJ698" s="19" t="s">
        <v>441</v>
      </c>
      <c r="AK698" s="19"/>
      <c r="AL698" s="19"/>
      <c r="AM698" s="19" t="s">
        <v>10785</v>
      </c>
      <c r="AN698" s="19" t="s">
        <v>10786</v>
      </c>
      <c r="AO698" s="19" t="s">
        <v>10787</v>
      </c>
      <c r="AP698" s="19" t="s">
        <v>10788</v>
      </c>
      <c r="AQ698" s="19" t="s">
        <v>117</v>
      </c>
      <c r="AR698" s="19" t="s">
        <v>10789</v>
      </c>
      <c r="AS698" s="19" t="s">
        <v>10790</v>
      </c>
      <c r="AT698" s="19" t="s">
        <v>10791</v>
      </c>
      <c r="AU698" s="19" t="s">
        <v>10792</v>
      </c>
      <c r="AV698" s="19" t="s">
        <v>148</v>
      </c>
      <c r="AW698" s="19" t="s">
        <v>441</v>
      </c>
      <c r="AX698" s="19" t="s">
        <v>149</v>
      </c>
      <c r="AY698" s="19" t="s">
        <v>10793</v>
      </c>
      <c r="AZ698" s="19" t="s">
        <v>10794</v>
      </c>
      <c r="BA698" s="20">
        <v>39149</v>
      </c>
      <c r="BB698" s="19" t="s">
        <v>479</v>
      </c>
      <c r="BC698" s="19" t="s">
        <v>10795</v>
      </c>
      <c r="BD698" s="19" t="s">
        <v>10796</v>
      </c>
      <c r="BE698" s="19" t="s">
        <v>130</v>
      </c>
      <c r="BF698" s="19" t="s">
        <v>10797</v>
      </c>
      <c r="BG698" s="19" t="s">
        <v>10798</v>
      </c>
      <c r="BH698" s="19" t="s">
        <v>10799</v>
      </c>
      <c r="BI698" s="19" t="s">
        <v>10799</v>
      </c>
      <c r="BJ698" s="19" t="s">
        <v>1259</v>
      </c>
      <c r="BK698" s="19" t="s">
        <v>221</v>
      </c>
      <c r="BL698" s="19" t="s">
        <v>222</v>
      </c>
      <c r="BM698" s="19" t="s">
        <v>169</v>
      </c>
      <c r="BN698" s="21">
        <v>93.664000000000001</v>
      </c>
      <c r="BO698" s="21">
        <v>2510.1952000000001</v>
      </c>
      <c r="BQ698" s="2"/>
      <c r="BR698" s="2"/>
      <c r="BS698" s="2"/>
      <c r="BT698" s="2"/>
      <c r="BU698" s="22"/>
      <c r="BV698" s="2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</row>
    <row r="699" spans="1:95" x14ac:dyDescent="0.25">
      <c r="A699" s="18">
        <v>696</v>
      </c>
      <c r="B699" s="19" t="s">
        <v>10800</v>
      </c>
      <c r="C699" s="19" t="s">
        <v>10801</v>
      </c>
      <c r="D699" s="20">
        <v>46021</v>
      </c>
      <c r="E699" s="20">
        <v>24653</v>
      </c>
      <c r="F699" s="19"/>
      <c r="G699" s="19"/>
      <c r="H699" s="19" t="s">
        <v>94</v>
      </c>
      <c r="I699" s="19"/>
      <c r="J699" s="19" t="s">
        <v>95</v>
      </c>
      <c r="K699" s="19" t="s">
        <v>96</v>
      </c>
      <c r="L699" s="19" t="s">
        <v>97</v>
      </c>
      <c r="M699" s="19" t="s">
        <v>98</v>
      </c>
      <c r="N699" s="19" t="s">
        <v>10802</v>
      </c>
      <c r="O699" s="19" t="s">
        <v>100</v>
      </c>
      <c r="P699" s="19"/>
      <c r="Q699" s="19"/>
      <c r="R699" s="19"/>
      <c r="S699" s="19"/>
      <c r="T699" s="19"/>
      <c r="U699" s="19"/>
      <c r="V699" s="19"/>
      <c r="W699" s="19"/>
      <c r="X699" s="19"/>
      <c r="Y699" s="19" t="s">
        <v>101</v>
      </c>
      <c r="Z699" s="19" t="s">
        <v>102</v>
      </c>
      <c r="AA699" s="19" t="s">
        <v>103</v>
      </c>
      <c r="AB699" s="19" t="s">
        <v>1347</v>
      </c>
      <c r="AC699" s="19" t="s">
        <v>1348</v>
      </c>
      <c r="AD699" s="19" t="s">
        <v>10803</v>
      </c>
      <c r="AE699" s="19" t="s">
        <v>10804</v>
      </c>
      <c r="AF699" s="19" t="s">
        <v>10805</v>
      </c>
      <c r="AG699" s="19" t="s">
        <v>9904</v>
      </c>
      <c r="AH699" s="19" t="s">
        <v>149</v>
      </c>
      <c r="AI699" s="19" t="s">
        <v>111</v>
      </c>
      <c r="AJ699" s="19" t="s">
        <v>9754</v>
      </c>
      <c r="AK699" s="19" t="s">
        <v>2453</v>
      </c>
      <c r="AL699" s="19" t="s">
        <v>2453</v>
      </c>
      <c r="AM699" s="19" t="s">
        <v>10806</v>
      </c>
      <c r="AN699" s="19" t="s">
        <v>10807</v>
      </c>
      <c r="AO699" s="19" t="s">
        <v>115</v>
      </c>
      <c r="AP699" s="19" t="s">
        <v>116</v>
      </c>
      <c r="AQ699" s="19" t="s">
        <v>117</v>
      </c>
      <c r="AR699" s="19" t="s">
        <v>118</v>
      </c>
      <c r="AS699" s="19" t="s">
        <v>119</v>
      </c>
      <c r="AT699" s="19" t="s">
        <v>120</v>
      </c>
      <c r="AU699" s="19" t="s">
        <v>121</v>
      </c>
      <c r="AV699" s="19" t="s">
        <v>122</v>
      </c>
      <c r="AW699" s="19" t="s">
        <v>123</v>
      </c>
      <c r="AX699" s="19" t="s">
        <v>124</v>
      </c>
      <c r="AY699" s="19" t="s">
        <v>125</v>
      </c>
      <c r="AZ699" s="19" t="s">
        <v>126</v>
      </c>
      <c r="BA699" s="20">
        <v>36131</v>
      </c>
      <c r="BB699" s="19" t="s">
        <v>127</v>
      </c>
      <c r="BC699" s="19" t="s">
        <v>10808</v>
      </c>
      <c r="BD699" s="19" t="s">
        <v>9753</v>
      </c>
      <c r="BE699" s="19" t="s">
        <v>130</v>
      </c>
      <c r="BF699" s="19" t="s">
        <v>10809</v>
      </c>
      <c r="BG699" s="19" t="s">
        <v>10810</v>
      </c>
      <c r="BH699" s="19" t="s">
        <v>10811</v>
      </c>
      <c r="BI699" s="19" t="s">
        <v>10811</v>
      </c>
      <c r="BJ699" s="19" t="s">
        <v>133</v>
      </c>
      <c r="BK699" s="19" t="s">
        <v>9761</v>
      </c>
      <c r="BL699" s="19" t="s">
        <v>9753</v>
      </c>
      <c r="BM699" s="19" t="s">
        <v>196</v>
      </c>
      <c r="BN699" s="21">
        <v>459.959</v>
      </c>
      <c r="BO699" s="21">
        <v>4999.7543299999998</v>
      </c>
      <c r="BQ699" s="2"/>
      <c r="BR699" s="2"/>
      <c r="BS699" s="2"/>
      <c r="BT699" s="2"/>
      <c r="BU699" s="22"/>
      <c r="BV699" s="2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</row>
    <row r="700" spans="1:95" x14ac:dyDescent="0.25">
      <c r="A700" s="18">
        <v>697</v>
      </c>
      <c r="B700" s="19" t="s">
        <v>10812</v>
      </c>
      <c r="C700" s="19" t="s">
        <v>1149</v>
      </c>
      <c r="D700" s="20">
        <v>45999</v>
      </c>
      <c r="E700" s="20">
        <v>14699</v>
      </c>
      <c r="F700" s="19"/>
      <c r="G700" s="19"/>
      <c r="H700" s="19" t="s">
        <v>94</v>
      </c>
      <c r="I700" s="19"/>
      <c r="J700" s="19"/>
      <c r="K700" s="19"/>
      <c r="L700" s="19" t="s">
        <v>1150</v>
      </c>
      <c r="M700" s="19" t="s">
        <v>688</v>
      </c>
      <c r="N700" s="19" t="s">
        <v>1151</v>
      </c>
      <c r="O700" s="19" t="s">
        <v>100</v>
      </c>
      <c r="P700" s="19"/>
      <c r="Q700" s="19"/>
      <c r="R700" s="19"/>
      <c r="S700" s="19"/>
      <c r="T700" s="19"/>
      <c r="U700" s="19"/>
      <c r="V700" s="19"/>
      <c r="W700" s="19"/>
      <c r="X700" s="19"/>
      <c r="Y700" s="19" t="s">
        <v>101</v>
      </c>
      <c r="Z700" s="19" t="s">
        <v>102</v>
      </c>
      <c r="AA700" s="19" t="s">
        <v>103</v>
      </c>
      <c r="AB700" s="19" t="s">
        <v>612</v>
      </c>
      <c r="AC700" s="19" t="s">
        <v>613</v>
      </c>
      <c r="AD700" s="19" t="s">
        <v>1154</v>
      </c>
      <c r="AE700" s="19" t="s">
        <v>1155</v>
      </c>
      <c r="AF700" s="19" t="s">
        <v>1156</v>
      </c>
      <c r="AG700" s="19" t="s">
        <v>1157</v>
      </c>
      <c r="AH700" s="19" t="s">
        <v>149</v>
      </c>
      <c r="AI700" s="19" t="s">
        <v>1158</v>
      </c>
      <c r="AJ700" s="19" t="s">
        <v>1159</v>
      </c>
      <c r="AK700" s="19"/>
      <c r="AL700" s="19"/>
      <c r="AM700" s="19" t="s">
        <v>1160</v>
      </c>
      <c r="AN700" s="19" t="s">
        <v>1161</v>
      </c>
      <c r="AO700" s="19" t="s">
        <v>435</v>
      </c>
      <c r="AP700" s="19" t="s">
        <v>436</v>
      </c>
      <c r="AQ700" s="19" t="s">
        <v>117</v>
      </c>
      <c r="AR700" s="19" t="s">
        <v>437</v>
      </c>
      <c r="AS700" s="19" t="s">
        <v>438</v>
      </c>
      <c r="AT700" s="19" t="s">
        <v>439</v>
      </c>
      <c r="AU700" s="19" t="s">
        <v>440</v>
      </c>
      <c r="AV700" s="19" t="s">
        <v>148</v>
      </c>
      <c r="AW700" s="19" t="s">
        <v>441</v>
      </c>
      <c r="AX700" s="19" t="s">
        <v>149</v>
      </c>
      <c r="AY700" s="19" t="s">
        <v>442</v>
      </c>
      <c r="AZ700" s="19" t="s">
        <v>443</v>
      </c>
      <c r="BA700" s="20">
        <v>43704</v>
      </c>
      <c r="BB700" s="19" t="s">
        <v>265</v>
      </c>
      <c r="BC700" s="19" t="s">
        <v>1162</v>
      </c>
      <c r="BD700" s="19" t="s">
        <v>1157</v>
      </c>
      <c r="BE700" s="19" t="s">
        <v>130</v>
      </c>
      <c r="BF700" s="19" t="s">
        <v>1163</v>
      </c>
      <c r="BG700" s="19" t="s">
        <v>1164</v>
      </c>
      <c r="BH700" s="19" t="s">
        <v>1165</v>
      </c>
      <c r="BI700" s="19" t="s">
        <v>1165</v>
      </c>
      <c r="BJ700" s="19" t="s">
        <v>166</v>
      </c>
      <c r="BK700" s="19" t="s">
        <v>1166</v>
      </c>
      <c r="BL700" s="19" t="s">
        <v>440</v>
      </c>
      <c r="BM700" s="19" t="s">
        <v>592</v>
      </c>
      <c r="BN700" s="21">
        <v>0</v>
      </c>
      <c r="BO700" s="21">
        <v>0</v>
      </c>
      <c r="BQ700" s="2"/>
      <c r="BR700" s="2"/>
      <c r="BS700" s="2"/>
      <c r="BT700" s="2"/>
      <c r="BU700" s="22"/>
      <c r="BV700" s="2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</row>
    <row r="701" spans="1:95" x14ac:dyDescent="0.25">
      <c r="A701" s="18">
        <v>698</v>
      </c>
      <c r="B701" s="19" t="s">
        <v>10813</v>
      </c>
      <c r="C701" s="19" t="s">
        <v>10814</v>
      </c>
      <c r="D701" s="20">
        <v>45999</v>
      </c>
      <c r="E701" s="20">
        <v>17214</v>
      </c>
      <c r="F701" s="19"/>
      <c r="G701" s="19"/>
      <c r="H701" s="19" t="s">
        <v>94</v>
      </c>
      <c r="I701" s="19"/>
      <c r="J701" s="19"/>
      <c r="K701" s="19"/>
      <c r="L701" s="19" t="s">
        <v>1150</v>
      </c>
      <c r="M701" s="19" t="s">
        <v>688</v>
      </c>
      <c r="N701" s="19" t="s">
        <v>10815</v>
      </c>
      <c r="O701" s="19" t="s">
        <v>100</v>
      </c>
      <c r="P701" s="19"/>
      <c r="Q701" s="19"/>
      <c r="R701" s="19"/>
      <c r="S701" s="19"/>
      <c r="T701" s="19"/>
      <c r="U701" s="19"/>
      <c r="V701" s="19"/>
      <c r="W701" s="19"/>
      <c r="X701" s="19"/>
      <c r="Y701" s="19" t="s">
        <v>101</v>
      </c>
      <c r="Z701" s="19" t="s">
        <v>102</v>
      </c>
      <c r="AA701" s="19" t="s">
        <v>103</v>
      </c>
      <c r="AB701" s="19" t="s">
        <v>10816</v>
      </c>
      <c r="AC701" s="19" t="s">
        <v>10817</v>
      </c>
      <c r="AD701" s="19" t="s">
        <v>10818</v>
      </c>
      <c r="AE701" s="19" t="s">
        <v>1770</v>
      </c>
      <c r="AF701" s="19"/>
      <c r="AG701" s="19" t="s">
        <v>1770</v>
      </c>
      <c r="AH701" s="19" t="s">
        <v>327</v>
      </c>
      <c r="AI701" s="19" t="s">
        <v>111</v>
      </c>
      <c r="AJ701" s="19" t="s">
        <v>5506</v>
      </c>
      <c r="AK701" s="19"/>
      <c r="AL701" s="19"/>
      <c r="AM701" s="19" t="s">
        <v>10819</v>
      </c>
      <c r="AN701" s="19" t="s">
        <v>10820</v>
      </c>
      <c r="AO701" s="19" t="s">
        <v>10821</v>
      </c>
      <c r="AP701" s="19" t="s">
        <v>10822</v>
      </c>
      <c r="AQ701" s="19" t="s">
        <v>117</v>
      </c>
      <c r="AR701" s="19" t="s">
        <v>10823</v>
      </c>
      <c r="AS701" s="19" t="s">
        <v>10824</v>
      </c>
      <c r="AT701" s="19" t="s">
        <v>10825</v>
      </c>
      <c r="AU701" s="19" t="s">
        <v>10826</v>
      </c>
      <c r="AV701" s="19" t="s">
        <v>1549</v>
      </c>
      <c r="AW701" s="19" t="s">
        <v>10827</v>
      </c>
      <c r="AX701" s="19" t="s">
        <v>188</v>
      </c>
      <c r="AY701" s="19" t="s">
        <v>10828</v>
      </c>
      <c r="AZ701" s="19" t="s">
        <v>10829</v>
      </c>
      <c r="BA701" s="20">
        <v>39562</v>
      </c>
      <c r="BB701" s="19" t="s">
        <v>479</v>
      </c>
      <c r="BC701" s="19" t="s">
        <v>10830</v>
      </c>
      <c r="BD701" s="19" t="s">
        <v>5505</v>
      </c>
      <c r="BE701" s="19" t="s">
        <v>130</v>
      </c>
      <c r="BF701" s="19" t="s">
        <v>10831</v>
      </c>
      <c r="BG701" s="19" t="s">
        <v>10832</v>
      </c>
      <c r="BH701" s="19" t="s">
        <v>10833</v>
      </c>
      <c r="BI701" s="19" t="s">
        <v>10833</v>
      </c>
      <c r="BJ701" s="19" t="s">
        <v>2259</v>
      </c>
      <c r="BK701" s="19" t="s">
        <v>7488</v>
      </c>
      <c r="BL701" s="19" t="s">
        <v>2800</v>
      </c>
      <c r="BM701" s="19" t="s">
        <v>1045</v>
      </c>
      <c r="BN701" s="21">
        <v>0</v>
      </c>
      <c r="BO701" s="21">
        <v>0</v>
      </c>
      <c r="BQ701" s="2"/>
      <c r="BR701" s="2"/>
      <c r="BS701" s="2"/>
      <c r="BT701" s="2"/>
      <c r="BU701" s="22"/>
      <c r="BV701" s="2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</row>
    <row r="702" spans="1:95" x14ac:dyDescent="0.25">
      <c r="A702" s="18">
        <v>699</v>
      </c>
      <c r="B702" s="19" t="s">
        <v>10834</v>
      </c>
      <c r="C702" s="19" t="s">
        <v>10835</v>
      </c>
      <c r="D702" s="20">
        <v>45999</v>
      </c>
      <c r="E702" s="20">
        <v>27163</v>
      </c>
      <c r="F702" s="19" t="s">
        <v>10836</v>
      </c>
      <c r="G702" s="19" t="s">
        <v>139</v>
      </c>
      <c r="H702" s="19" t="s">
        <v>94</v>
      </c>
      <c r="I702" s="19"/>
      <c r="J702" s="19"/>
      <c r="K702" s="19"/>
      <c r="L702" s="19" t="s">
        <v>244</v>
      </c>
      <c r="M702" s="19" t="s">
        <v>245</v>
      </c>
      <c r="N702" s="19" t="s">
        <v>10837</v>
      </c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 t="s">
        <v>101</v>
      </c>
      <c r="Z702" s="19" t="s">
        <v>102</v>
      </c>
      <c r="AA702" s="19" t="s">
        <v>103</v>
      </c>
      <c r="AB702" s="19" t="s">
        <v>143</v>
      </c>
      <c r="AC702" s="19" t="s">
        <v>144</v>
      </c>
      <c r="AD702" s="19" t="s">
        <v>10838</v>
      </c>
      <c r="AE702" s="19" t="s">
        <v>10839</v>
      </c>
      <c r="AF702" s="19" t="s">
        <v>10840</v>
      </c>
      <c r="AG702" s="19" t="s">
        <v>1300</v>
      </c>
      <c r="AH702" s="19" t="s">
        <v>1808</v>
      </c>
      <c r="AI702" s="19"/>
      <c r="AJ702" s="19" t="s">
        <v>10841</v>
      </c>
      <c r="AK702" s="19"/>
      <c r="AL702" s="19"/>
      <c r="AM702" s="19" t="s">
        <v>10842</v>
      </c>
      <c r="AN702" s="19" t="s">
        <v>10843</v>
      </c>
      <c r="AO702" s="19" t="s">
        <v>255</v>
      </c>
      <c r="AP702" s="19" t="s">
        <v>256</v>
      </c>
      <c r="AQ702" s="19" t="s">
        <v>117</v>
      </c>
      <c r="AR702" s="19" t="s">
        <v>257</v>
      </c>
      <c r="AS702" s="19" t="s">
        <v>258</v>
      </c>
      <c r="AT702" s="19" t="s">
        <v>259</v>
      </c>
      <c r="AU702" s="19" t="s">
        <v>260</v>
      </c>
      <c r="AV702" s="19" t="s">
        <v>260</v>
      </c>
      <c r="AW702" s="19" t="s">
        <v>261</v>
      </c>
      <c r="AX702" s="19" t="s">
        <v>262</v>
      </c>
      <c r="AY702" s="19" t="s">
        <v>263</v>
      </c>
      <c r="AZ702" s="19" t="s">
        <v>264</v>
      </c>
      <c r="BA702" s="20">
        <v>43627</v>
      </c>
      <c r="BB702" s="19" t="s">
        <v>444</v>
      </c>
      <c r="BC702" s="19" t="s">
        <v>10844</v>
      </c>
      <c r="BD702" s="19" t="s">
        <v>1300</v>
      </c>
      <c r="BE702" s="19" t="s">
        <v>130</v>
      </c>
      <c r="BF702" s="19" t="s">
        <v>10845</v>
      </c>
      <c r="BG702" s="19"/>
      <c r="BH702" s="19" t="s">
        <v>10846</v>
      </c>
      <c r="BI702" s="19" t="s">
        <v>10846</v>
      </c>
      <c r="BJ702" s="19" t="s">
        <v>166</v>
      </c>
      <c r="BK702" s="19" t="s">
        <v>167</v>
      </c>
      <c r="BL702" s="19" t="s">
        <v>168</v>
      </c>
      <c r="BM702" s="19" t="s">
        <v>169</v>
      </c>
      <c r="BN702" s="21">
        <v>27.358000000000001</v>
      </c>
      <c r="BO702" s="21">
        <v>1042.0662199999999</v>
      </c>
      <c r="BQ702" s="2"/>
      <c r="BR702" s="2"/>
      <c r="BS702" s="2"/>
      <c r="BT702" s="2"/>
      <c r="BU702" s="22"/>
      <c r="BV702" s="2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</row>
    <row r="703" spans="1:95" x14ac:dyDescent="0.25">
      <c r="A703" s="18">
        <v>700</v>
      </c>
      <c r="B703" s="19" t="s">
        <v>10847</v>
      </c>
      <c r="C703" s="19" t="s">
        <v>10848</v>
      </c>
      <c r="D703" s="20">
        <v>45992</v>
      </c>
      <c r="E703" s="20">
        <v>39251</v>
      </c>
      <c r="F703" s="19" t="s">
        <v>10849</v>
      </c>
      <c r="G703" s="19" t="s">
        <v>139</v>
      </c>
      <c r="H703" s="19" t="s">
        <v>94</v>
      </c>
      <c r="I703" s="19"/>
      <c r="J703" s="19"/>
      <c r="K703" s="19"/>
      <c r="L703" s="19" t="s">
        <v>244</v>
      </c>
      <c r="M703" s="19" t="s">
        <v>245</v>
      </c>
      <c r="N703" s="19" t="s">
        <v>10850</v>
      </c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 t="s">
        <v>101</v>
      </c>
      <c r="Z703" s="19" t="s">
        <v>102</v>
      </c>
      <c r="AA703" s="19" t="s">
        <v>103</v>
      </c>
      <c r="AB703" s="19" t="s">
        <v>173</v>
      </c>
      <c r="AC703" s="19" t="s">
        <v>174</v>
      </c>
      <c r="AD703" s="19" t="s">
        <v>10851</v>
      </c>
      <c r="AE703" s="19" t="s">
        <v>10852</v>
      </c>
      <c r="AF703" s="19" t="s">
        <v>10853</v>
      </c>
      <c r="AG703" s="19" t="s">
        <v>623</v>
      </c>
      <c r="AH703" s="19" t="s">
        <v>124</v>
      </c>
      <c r="AI703" s="19"/>
      <c r="AJ703" s="19" t="s">
        <v>6976</v>
      </c>
      <c r="AK703" s="19"/>
      <c r="AL703" s="19"/>
      <c r="AM703" s="19" t="s">
        <v>10854</v>
      </c>
      <c r="AN703" s="19" t="s">
        <v>10855</v>
      </c>
      <c r="AO703" s="19" t="s">
        <v>255</v>
      </c>
      <c r="AP703" s="19" t="s">
        <v>256</v>
      </c>
      <c r="AQ703" s="19" t="s">
        <v>117</v>
      </c>
      <c r="AR703" s="19" t="s">
        <v>257</v>
      </c>
      <c r="AS703" s="19" t="s">
        <v>258</v>
      </c>
      <c r="AT703" s="19" t="s">
        <v>259</v>
      </c>
      <c r="AU703" s="19" t="s">
        <v>260</v>
      </c>
      <c r="AV703" s="19" t="s">
        <v>260</v>
      </c>
      <c r="AW703" s="19" t="s">
        <v>261</v>
      </c>
      <c r="AX703" s="19" t="s">
        <v>262</v>
      </c>
      <c r="AY703" s="19" t="s">
        <v>263</v>
      </c>
      <c r="AZ703" s="19" t="s">
        <v>264</v>
      </c>
      <c r="BA703" s="20">
        <v>43627</v>
      </c>
      <c r="BB703" s="19" t="s">
        <v>3301</v>
      </c>
      <c r="BC703" s="19" t="s">
        <v>10856</v>
      </c>
      <c r="BD703" s="19" t="s">
        <v>623</v>
      </c>
      <c r="BE703" s="19" t="s">
        <v>130</v>
      </c>
      <c r="BF703" s="19" t="s">
        <v>10857</v>
      </c>
      <c r="BG703" s="19"/>
      <c r="BH703" s="19" t="s">
        <v>10858</v>
      </c>
      <c r="BI703" s="19" t="s">
        <v>10858</v>
      </c>
      <c r="BJ703" s="19" t="s">
        <v>166</v>
      </c>
      <c r="BK703" s="19" t="s">
        <v>167</v>
      </c>
      <c r="BL703" s="19" t="s">
        <v>168</v>
      </c>
      <c r="BM703" s="19" t="s">
        <v>169</v>
      </c>
      <c r="BN703" s="21">
        <v>36.911000000000001</v>
      </c>
      <c r="BO703" s="21">
        <v>1307.5426462</v>
      </c>
      <c r="BQ703" s="2"/>
      <c r="BR703" s="2"/>
      <c r="BS703" s="2"/>
      <c r="BT703" s="2"/>
      <c r="BU703" s="22"/>
      <c r="BV703" s="2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</row>
    <row r="704" spans="1:95" x14ac:dyDescent="0.25">
      <c r="A704" s="18">
        <v>701</v>
      </c>
      <c r="B704" s="19" t="s">
        <v>10859</v>
      </c>
      <c r="C704" s="19" t="s">
        <v>10860</v>
      </c>
      <c r="D704" s="20">
        <v>45999</v>
      </c>
      <c r="E704" s="20">
        <v>31573</v>
      </c>
      <c r="F704" s="19"/>
      <c r="G704" s="19"/>
      <c r="H704" s="19" t="s">
        <v>94</v>
      </c>
      <c r="I704" s="19"/>
      <c r="J704" s="19"/>
      <c r="K704" s="19"/>
      <c r="L704" s="19" t="s">
        <v>101</v>
      </c>
      <c r="M704" s="19" t="s">
        <v>290</v>
      </c>
      <c r="N704" s="19" t="s">
        <v>10861</v>
      </c>
      <c r="O704" s="19" t="s">
        <v>100</v>
      </c>
      <c r="P704" s="19"/>
      <c r="Q704" s="19"/>
      <c r="R704" s="19"/>
      <c r="S704" s="19"/>
      <c r="T704" s="19"/>
      <c r="U704" s="19"/>
      <c r="V704" s="19"/>
      <c r="W704" s="19"/>
      <c r="X704" s="19"/>
      <c r="Y704" s="19" t="s">
        <v>101</v>
      </c>
      <c r="Z704" s="19" t="s">
        <v>102</v>
      </c>
      <c r="AA704" s="19" t="s">
        <v>103</v>
      </c>
      <c r="AB704" s="19" t="s">
        <v>173</v>
      </c>
      <c r="AC704" s="19" t="s">
        <v>174</v>
      </c>
      <c r="AD704" s="19" t="s">
        <v>10862</v>
      </c>
      <c r="AE704" s="19" t="s">
        <v>10863</v>
      </c>
      <c r="AF704" s="19" t="s">
        <v>10864</v>
      </c>
      <c r="AG704" s="19" t="s">
        <v>2758</v>
      </c>
      <c r="AH704" s="19" t="s">
        <v>327</v>
      </c>
      <c r="AI704" s="19" t="s">
        <v>111</v>
      </c>
      <c r="AJ704" s="19" t="s">
        <v>10865</v>
      </c>
      <c r="AK704" s="19"/>
      <c r="AL704" s="19"/>
      <c r="AM704" s="19" t="s">
        <v>10866</v>
      </c>
      <c r="AN704" s="19" t="s">
        <v>10867</v>
      </c>
      <c r="AO704" s="19" t="s">
        <v>181</v>
      </c>
      <c r="AP704" s="19" t="s">
        <v>182</v>
      </c>
      <c r="AQ704" s="19" t="s">
        <v>117</v>
      </c>
      <c r="AR704" s="19" t="s">
        <v>183</v>
      </c>
      <c r="AS704" s="19" t="s">
        <v>184</v>
      </c>
      <c r="AT704" s="19" t="s">
        <v>185</v>
      </c>
      <c r="AU704" s="19"/>
      <c r="AV704" s="19" t="s">
        <v>186</v>
      </c>
      <c r="AW704" s="19" t="s">
        <v>187</v>
      </c>
      <c r="AX704" s="19" t="s">
        <v>188</v>
      </c>
      <c r="AY704" s="19"/>
      <c r="AZ704" s="19" t="s">
        <v>189</v>
      </c>
      <c r="BA704" s="20">
        <v>44673</v>
      </c>
      <c r="BB704" s="19" t="s">
        <v>479</v>
      </c>
      <c r="BC704" s="19" t="s">
        <v>10868</v>
      </c>
      <c r="BD704" s="19" t="s">
        <v>481</v>
      </c>
      <c r="BE704" s="19" t="s">
        <v>130</v>
      </c>
      <c r="BF704" s="19" t="s">
        <v>10869</v>
      </c>
      <c r="BG704" s="19"/>
      <c r="BH704" s="19" t="s">
        <v>10870</v>
      </c>
      <c r="BI704" s="19" t="s">
        <v>10870</v>
      </c>
      <c r="BJ704" s="19" t="s">
        <v>194</v>
      </c>
      <c r="BK704" s="19" t="s">
        <v>195</v>
      </c>
      <c r="BL704" s="19" t="s">
        <v>122</v>
      </c>
      <c r="BM704" s="19" t="s">
        <v>196</v>
      </c>
      <c r="BN704" s="21">
        <v>89.445999999999998</v>
      </c>
      <c r="BO704" s="21">
        <v>3168.5529931999999</v>
      </c>
      <c r="BQ704" s="2"/>
      <c r="BR704" s="2"/>
      <c r="BS704" s="2"/>
      <c r="BT704" s="2"/>
      <c r="BU704" s="22"/>
      <c r="BV704" s="2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</row>
    <row r="705" spans="1:95" x14ac:dyDescent="0.25">
      <c r="A705" s="18">
        <v>702</v>
      </c>
      <c r="B705" s="19" t="s">
        <v>10871</v>
      </c>
      <c r="C705" s="19" t="s">
        <v>10872</v>
      </c>
      <c r="D705" s="20">
        <v>45993</v>
      </c>
      <c r="E705" s="20">
        <v>36422</v>
      </c>
      <c r="F705" s="19" t="s">
        <v>10873</v>
      </c>
      <c r="G705" s="19" t="s">
        <v>139</v>
      </c>
      <c r="H705" s="19" t="s">
        <v>94</v>
      </c>
      <c r="I705" s="19"/>
      <c r="J705" s="19"/>
      <c r="K705" s="19"/>
      <c r="L705" s="19" t="s">
        <v>244</v>
      </c>
      <c r="M705" s="19" t="s">
        <v>245</v>
      </c>
      <c r="N705" s="19" t="s">
        <v>10874</v>
      </c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 t="s">
        <v>101</v>
      </c>
      <c r="Z705" s="19" t="s">
        <v>102</v>
      </c>
      <c r="AA705" s="19" t="s">
        <v>103</v>
      </c>
      <c r="AB705" s="19" t="s">
        <v>143</v>
      </c>
      <c r="AC705" s="19" t="s">
        <v>144</v>
      </c>
      <c r="AD705" s="19" t="s">
        <v>10875</v>
      </c>
      <c r="AE705" s="19" t="s">
        <v>10876</v>
      </c>
      <c r="AF705" s="19" t="s">
        <v>10877</v>
      </c>
      <c r="AG705" s="19" t="s">
        <v>10878</v>
      </c>
      <c r="AH705" s="19" t="s">
        <v>149</v>
      </c>
      <c r="AI705" s="19" t="s">
        <v>111</v>
      </c>
      <c r="AJ705" s="19" t="s">
        <v>10879</v>
      </c>
      <c r="AK705" s="19"/>
      <c r="AL705" s="19"/>
      <c r="AM705" s="19" t="s">
        <v>10880</v>
      </c>
      <c r="AN705" s="19" t="s">
        <v>10881</v>
      </c>
      <c r="AO705" s="19" t="s">
        <v>255</v>
      </c>
      <c r="AP705" s="19" t="s">
        <v>256</v>
      </c>
      <c r="AQ705" s="19" t="s">
        <v>117</v>
      </c>
      <c r="AR705" s="19" t="s">
        <v>257</v>
      </c>
      <c r="AS705" s="19" t="s">
        <v>258</v>
      </c>
      <c r="AT705" s="19" t="s">
        <v>259</v>
      </c>
      <c r="AU705" s="19" t="s">
        <v>260</v>
      </c>
      <c r="AV705" s="19" t="s">
        <v>260</v>
      </c>
      <c r="AW705" s="19" t="s">
        <v>261</v>
      </c>
      <c r="AX705" s="19" t="s">
        <v>262</v>
      </c>
      <c r="AY705" s="19" t="s">
        <v>263</v>
      </c>
      <c r="AZ705" s="19" t="s">
        <v>264</v>
      </c>
      <c r="BA705" s="20">
        <v>43627</v>
      </c>
      <c r="BB705" s="19" t="s">
        <v>444</v>
      </c>
      <c r="BC705" s="19" t="s">
        <v>10882</v>
      </c>
      <c r="BD705" s="19" t="s">
        <v>10883</v>
      </c>
      <c r="BE705" s="19" t="s">
        <v>130</v>
      </c>
      <c r="BF705" s="19" t="s">
        <v>10884</v>
      </c>
      <c r="BG705" s="19"/>
      <c r="BH705" s="19" t="s">
        <v>10885</v>
      </c>
      <c r="BI705" s="19" t="s">
        <v>10885</v>
      </c>
      <c r="BJ705" s="19" t="s">
        <v>166</v>
      </c>
      <c r="BK705" s="19" t="s">
        <v>167</v>
      </c>
      <c r="BL705" s="19" t="s">
        <v>168</v>
      </c>
      <c r="BM705" s="19" t="s">
        <v>169</v>
      </c>
      <c r="BN705" s="21">
        <v>532.17100000000005</v>
      </c>
      <c r="BO705" s="21">
        <v>20270.393390000001</v>
      </c>
      <c r="BQ705" s="2"/>
      <c r="BR705" s="2"/>
      <c r="BS705" s="2"/>
      <c r="BT705" s="2"/>
      <c r="BU705" s="22"/>
      <c r="BV705" s="2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</row>
    <row r="706" spans="1:95" x14ac:dyDescent="0.25">
      <c r="A706" s="18">
        <v>703</v>
      </c>
      <c r="B706" s="19" t="s">
        <v>10886</v>
      </c>
      <c r="C706" s="19" t="s">
        <v>10887</v>
      </c>
      <c r="D706" s="20">
        <v>45996</v>
      </c>
      <c r="E706" s="20">
        <v>29177</v>
      </c>
      <c r="F706" s="19"/>
      <c r="G706" s="19"/>
      <c r="H706" s="19" t="s">
        <v>94</v>
      </c>
      <c r="I706" s="19"/>
      <c r="J706" s="19" t="s">
        <v>287</v>
      </c>
      <c r="K706" s="19" t="s">
        <v>288</v>
      </c>
      <c r="L706" s="19" t="s">
        <v>687</v>
      </c>
      <c r="M706" s="19" t="s">
        <v>688</v>
      </c>
      <c r="N706" s="19" t="s">
        <v>10888</v>
      </c>
      <c r="O706" s="19" t="s">
        <v>100</v>
      </c>
      <c r="P706" s="19"/>
      <c r="Q706" s="19"/>
      <c r="R706" s="19"/>
      <c r="S706" s="19"/>
      <c r="T706" s="19"/>
      <c r="U706" s="19"/>
      <c r="V706" s="19"/>
      <c r="W706" s="19"/>
      <c r="X706" s="19"/>
      <c r="Y706" s="19" t="s">
        <v>101</v>
      </c>
      <c r="Z706" s="19" t="s">
        <v>102</v>
      </c>
      <c r="AA706" s="19" t="s">
        <v>103</v>
      </c>
      <c r="AB706" s="19" t="s">
        <v>1025</v>
      </c>
      <c r="AC706" s="19" t="s">
        <v>1026</v>
      </c>
      <c r="AD706" s="19" t="s">
        <v>10889</v>
      </c>
      <c r="AE706" s="19" t="s">
        <v>3923</v>
      </c>
      <c r="AF706" s="19" t="s">
        <v>10890</v>
      </c>
      <c r="AG706" s="19" t="s">
        <v>3923</v>
      </c>
      <c r="AH706" s="19" t="s">
        <v>515</v>
      </c>
      <c r="AI706" s="19" t="s">
        <v>111</v>
      </c>
      <c r="AJ706" s="19" t="s">
        <v>10891</v>
      </c>
      <c r="AK706" s="19"/>
      <c r="AL706" s="19"/>
      <c r="AM706" s="19" t="s">
        <v>10892</v>
      </c>
      <c r="AN706" s="19" t="s">
        <v>10893</v>
      </c>
      <c r="AO706" s="19" t="s">
        <v>10894</v>
      </c>
      <c r="AP706" s="19" t="s">
        <v>10895</v>
      </c>
      <c r="AQ706" s="19" t="s">
        <v>117</v>
      </c>
      <c r="AR706" s="19" t="s">
        <v>10896</v>
      </c>
      <c r="AS706" s="19" t="s">
        <v>10897</v>
      </c>
      <c r="AT706" s="19" t="s">
        <v>10898</v>
      </c>
      <c r="AU706" s="19" t="s">
        <v>10899</v>
      </c>
      <c r="AV706" s="19" t="s">
        <v>9016</v>
      </c>
      <c r="AW706" s="19" t="s">
        <v>10891</v>
      </c>
      <c r="AX706" s="19" t="s">
        <v>515</v>
      </c>
      <c r="AY706" s="19" t="s">
        <v>10900</v>
      </c>
      <c r="AZ706" s="19" t="s">
        <v>10901</v>
      </c>
      <c r="BA706" s="20">
        <v>44880</v>
      </c>
      <c r="BB706" s="19" t="s">
        <v>331</v>
      </c>
      <c r="BC706" s="19" t="s">
        <v>10902</v>
      </c>
      <c r="BD706" s="19" t="s">
        <v>3923</v>
      </c>
      <c r="BE706" s="19" t="s">
        <v>130</v>
      </c>
      <c r="BF706" s="19" t="s">
        <v>10903</v>
      </c>
      <c r="BG706" s="19" t="s">
        <v>10904</v>
      </c>
      <c r="BH706" s="19" t="s">
        <v>10905</v>
      </c>
      <c r="BI706" s="19" t="s">
        <v>10905</v>
      </c>
      <c r="BJ706" s="19" t="s">
        <v>166</v>
      </c>
      <c r="BK706" s="19" t="s">
        <v>10906</v>
      </c>
      <c r="BL706" s="19" t="s">
        <v>10907</v>
      </c>
      <c r="BM706" s="19" t="s">
        <v>169</v>
      </c>
      <c r="BN706" s="21">
        <v>1092.8140000000001</v>
      </c>
      <c r="BO706" s="21">
        <v>38013.316427199999</v>
      </c>
      <c r="BQ706" s="2"/>
      <c r="BR706" s="2"/>
      <c r="BS706" s="2"/>
      <c r="BT706" s="2"/>
      <c r="BU706" s="22"/>
      <c r="BV706" s="2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</row>
    <row r="707" spans="1:95" x14ac:dyDescent="0.25">
      <c r="A707" s="18">
        <v>704</v>
      </c>
      <c r="B707" s="19" t="s">
        <v>10908</v>
      </c>
      <c r="C707" s="19" t="s">
        <v>10909</v>
      </c>
      <c r="D707" s="20">
        <v>46014</v>
      </c>
      <c r="E707" s="20">
        <v>30559</v>
      </c>
      <c r="F707" s="19"/>
      <c r="G707" s="19"/>
      <c r="H707" s="19" t="s">
        <v>94</v>
      </c>
      <c r="I707" s="19"/>
      <c r="J707" s="19"/>
      <c r="K707" s="19"/>
      <c r="L707" s="19"/>
      <c r="M707" s="19"/>
      <c r="N707" s="19" t="s">
        <v>10910</v>
      </c>
      <c r="O707" s="19" t="s">
        <v>100</v>
      </c>
      <c r="P707" s="19"/>
      <c r="Q707" s="19"/>
      <c r="R707" s="19"/>
      <c r="S707" s="19"/>
      <c r="T707" s="19"/>
      <c r="U707" s="19"/>
      <c r="V707" s="19"/>
      <c r="W707" s="19"/>
      <c r="X707" s="19"/>
      <c r="Y707" s="19" t="s">
        <v>101</v>
      </c>
      <c r="Z707" s="19" t="s">
        <v>102</v>
      </c>
      <c r="AA707" s="19" t="s">
        <v>103</v>
      </c>
      <c r="AB707" s="19" t="s">
        <v>387</v>
      </c>
      <c r="AC707" s="19" t="s">
        <v>388</v>
      </c>
      <c r="AD707" s="19" t="s">
        <v>10911</v>
      </c>
      <c r="AE707" s="19" t="s">
        <v>10912</v>
      </c>
      <c r="AF707" s="19" t="s">
        <v>10913</v>
      </c>
      <c r="AG707" s="19" t="s">
        <v>1955</v>
      </c>
      <c r="AH707" s="19" t="s">
        <v>124</v>
      </c>
      <c r="AI707" s="19" t="s">
        <v>111</v>
      </c>
      <c r="AJ707" s="19" t="s">
        <v>10032</v>
      </c>
      <c r="AK707" s="19"/>
      <c r="AL707" s="19"/>
      <c r="AM707" s="19" t="s">
        <v>10914</v>
      </c>
      <c r="AN707" s="19" t="s">
        <v>10915</v>
      </c>
      <c r="AO707" s="19" t="s">
        <v>1077</v>
      </c>
      <c r="AP707" s="19" t="s">
        <v>1077</v>
      </c>
      <c r="AQ707" s="19" t="s">
        <v>117</v>
      </c>
      <c r="AR707" s="19"/>
      <c r="AS707" s="19" t="s">
        <v>1078</v>
      </c>
      <c r="AT707" s="19"/>
      <c r="AU707" s="19"/>
      <c r="AV707" s="19"/>
      <c r="AW707" s="19" t="s">
        <v>1079</v>
      </c>
      <c r="AX707" s="19"/>
      <c r="AY707" s="19"/>
      <c r="AZ707" s="19"/>
      <c r="BA707" s="20">
        <v>38627</v>
      </c>
      <c r="BB707" s="19" t="s">
        <v>127</v>
      </c>
      <c r="BC707" s="19" t="s">
        <v>10916</v>
      </c>
      <c r="BD707" s="19" t="s">
        <v>1044</v>
      </c>
      <c r="BE707" s="19" t="s">
        <v>130</v>
      </c>
      <c r="BF707" s="19" t="s">
        <v>10917</v>
      </c>
      <c r="BG707" s="19"/>
      <c r="BH707" s="19" t="s">
        <v>10918</v>
      </c>
      <c r="BI707" s="19" t="s">
        <v>10918</v>
      </c>
      <c r="BJ707" s="19" t="s">
        <v>166</v>
      </c>
      <c r="BK707" s="19" t="s">
        <v>1084</v>
      </c>
      <c r="BL707" s="19" t="s">
        <v>222</v>
      </c>
      <c r="BM707" s="19" t="s">
        <v>169</v>
      </c>
      <c r="BN707" s="21">
        <v>0</v>
      </c>
      <c r="BO707" s="21">
        <v>0</v>
      </c>
      <c r="BQ707" s="2"/>
      <c r="BR707" s="2"/>
      <c r="BS707" s="2"/>
      <c r="BT707" s="2"/>
      <c r="BU707" s="22"/>
      <c r="BV707" s="2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</row>
    <row r="708" spans="1:95" x14ac:dyDescent="0.25">
      <c r="A708" s="18">
        <v>705</v>
      </c>
      <c r="B708" s="19" t="s">
        <v>10919</v>
      </c>
      <c r="C708" s="19" t="s">
        <v>10920</v>
      </c>
      <c r="D708" s="20">
        <v>46001</v>
      </c>
      <c r="E708" s="20">
        <v>37930</v>
      </c>
      <c r="F708" s="19"/>
      <c r="G708" s="19"/>
      <c r="H708" s="19" t="s">
        <v>94</v>
      </c>
      <c r="I708" s="19"/>
      <c r="J708" s="19"/>
      <c r="K708" s="19"/>
      <c r="L708" s="19" t="s">
        <v>140</v>
      </c>
      <c r="M708" s="19" t="s">
        <v>141</v>
      </c>
      <c r="N708" s="19" t="s">
        <v>10921</v>
      </c>
      <c r="O708" s="19" t="s">
        <v>100</v>
      </c>
      <c r="P708" s="19"/>
      <c r="Q708" s="19"/>
      <c r="R708" s="19"/>
      <c r="S708" s="19"/>
      <c r="T708" s="19"/>
      <c r="U708" s="19"/>
      <c r="V708" s="19"/>
      <c r="W708" s="19"/>
      <c r="X708" s="19"/>
      <c r="Y708" s="19" t="s">
        <v>101</v>
      </c>
      <c r="Z708" s="19" t="s">
        <v>102</v>
      </c>
      <c r="AA708" s="19" t="s">
        <v>103</v>
      </c>
      <c r="AB708" s="19" t="s">
        <v>143</v>
      </c>
      <c r="AC708" s="19" t="s">
        <v>144</v>
      </c>
      <c r="AD708" s="19" t="s">
        <v>10922</v>
      </c>
      <c r="AE708" s="19" t="s">
        <v>10923</v>
      </c>
      <c r="AF708" s="19"/>
      <c r="AG708" s="19" t="s">
        <v>3919</v>
      </c>
      <c r="AH708" s="19" t="s">
        <v>515</v>
      </c>
      <c r="AI708" s="19" t="s">
        <v>111</v>
      </c>
      <c r="AJ708" s="19" t="s">
        <v>10924</v>
      </c>
      <c r="AK708" s="19"/>
      <c r="AL708" s="19"/>
      <c r="AM708" s="19" t="s">
        <v>10925</v>
      </c>
      <c r="AN708" s="19" t="s">
        <v>10926</v>
      </c>
      <c r="AO708" s="19" t="s">
        <v>181</v>
      </c>
      <c r="AP708" s="19" t="s">
        <v>182</v>
      </c>
      <c r="AQ708" s="19" t="s">
        <v>117</v>
      </c>
      <c r="AR708" s="19" t="s">
        <v>183</v>
      </c>
      <c r="AS708" s="19" t="s">
        <v>184</v>
      </c>
      <c r="AT708" s="19" t="s">
        <v>185</v>
      </c>
      <c r="AU708" s="19"/>
      <c r="AV708" s="19" t="s">
        <v>186</v>
      </c>
      <c r="AW708" s="19" t="s">
        <v>187</v>
      </c>
      <c r="AX708" s="19" t="s">
        <v>188</v>
      </c>
      <c r="AY708" s="19"/>
      <c r="AZ708" s="19" t="s">
        <v>189</v>
      </c>
      <c r="BA708" s="20">
        <v>44673</v>
      </c>
      <c r="BB708" s="19" t="s">
        <v>1388</v>
      </c>
      <c r="BC708" s="19" t="s">
        <v>10927</v>
      </c>
      <c r="BD708" s="19" t="s">
        <v>3919</v>
      </c>
      <c r="BE708" s="19" t="s">
        <v>130</v>
      </c>
      <c r="BF708" s="19" t="s">
        <v>10928</v>
      </c>
      <c r="BG708" s="19"/>
      <c r="BH708" s="19" t="s">
        <v>10929</v>
      </c>
      <c r="BI708" s="19" t="s">
        <v>10929</v>
      </c>
      <c r="BJ708" s="19" t="s">
        <v>194</v>
      </c>
      <c r="BK708" s="19" t="s">
        <v>195</v>
      </c>
      <c r="BL708" s="19" t="s">
        <v>122</v>
      </c>
      <c r="BM708" s="19" t="s">
        <v>196</v>
      </c>
      <c r="BN708" s="21">
        <v>29.867999999999999</v>
      </c>
      <c r="BO708" s="21">
        <v>1137.6721199999999</v>
      </c>
      <c r="BQ708" s="2"/>
      <c r="BR708" s="2"/>
      <c r="BS708" s="2"/>
      <c r="BT708" s="2"/>
      <c r="BU708" s="22"/>
      <c r="BV708" s="2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</row>
    <row r="709" spans="1:95" x14ac:dyDescent="0.25">
      <c r="A709" s="18">
        <v>706</v>
      </c>
      <c r="B709" s="19" t="s">
        <v>10930</v>
      </c>
      <c r="C709" s="19" t="s">
        <v>10931</v>
      </c>
      <c r="D709" s="20">
        <v>46002</v>
      </c>
      <c r="E709" s="20">
        <v>37483</v>
      </c>
      <c r="F709" s="19" t="s">
        <v>10932</v>
      </c>
      <c r="G709" s="19" t="s">
        <v>139</v>
      </c>
      <c r="H709" s="19" t="s">
        <v>94</v>
      </c>
      <c r="I709" s="19"/>
      <c r="J709" s="19"/>
      <c r="K709" s="19"/>
      <c r="L709" s="19" t="s">
        <v>244</v>
      </c>
      <c r="M709" s="19" t="s">
        <v>245</v>
      </c>
      <c r="N709" s="19" t="s">
        <v>10933</v>
      </c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 t="s">
        <v>101</v>
      </c>
      <c r="Z709" s="19" t="s">
        <v>102</v>
      </c>
      <c r="AA709" s="19" t="s">
        <v>103</v>
      </c>
      <c r="AB709" s="19" t="s">
        <v>143</v>
      </c>
      <c r="AC709" s="19" t="s">
        <v>144</v>
      </c>
      <c r="AD709" s="19" t="s">
        <v>10934</v>
      </c>
      <c r="AE709" s="19" t="s">
        <v>10935</v>
      </c>
      <c r="AF709" s="19"/>
      <c r="AG709" s="19" t="s">
        <v>10936</v>
      </c>
      <c r="AH709" s="19" t="s">
        <v>707</v>
      </c>
      <c r="AI709" s="19" t="s">
        <v>111</v>
      </c>
      <c r="AJ709" s="19" t="s">
        <v>10937</v>
      </c>
      <c r="AK709" s="19"/>
      <c r="AL709" s="19" t="s">
        <v>10938</v>
      </c>
      <c r="AM709" s="19" t="s">
        <v>10939</v>
      </c>
      <c r="AN709" s="19" t="s">
        <v>10940</v>
      </c>
      <c r="AO709" s="19" t="s">
        <v>154</v>
      </c>
      <c r="AP709" s="19" t="s">
        <v>155</v>
      </c>
      <c r="AQ709" s="19" t="s">
        <v>117</v>
      </c>
      <c r="AR709" s="19" t="s">
        <v>156</v>
      </c>
      <c r="AS709" s="19" t="s">
        <v>157</v>
      </c>
      <c r="AT709" s="19" t="s">
        <v>158</v>
      </c>
      <c r="AU709" s="19"/>
      <c r="AV709" s="19" t="s">
        <v>122</v>
      </c>
      <c r="AW709" s="19"/>
      <c r="AX709" s="19" t="s">
        <v>124</v>
      </c>
      <c r="AY709" s="19" t="s">
        <v>159</v>
      </c>
      <c r="AZ709" s="19" t="s">
        <v>160</v>
      </c>
      <c r="BA709" s="20">
        <v>44676</v>
      </c>
      <c r="BB709" s="19" t="s">
        <v>331</v>
      </c>
      <c r="BC709" s="19" t="s">
        <v>10941</v>
      </c>
      <c r="BD709" s="19" t="s">
        <v>10936</v>
      </c>
      <c r="BE709" s="19" t="s">
        <v>130</v>
      </c>
      <c r="BF709" s="19" t="s">
        <v>10942</v>
      </c>
      <c r="BG709" s="19"/>
      <c r="BH709" s="19" t="s">
        <v>10943</v>
      </c>
      <c r="BI709" s="19" t="s">
        <v>10943</v>
      </c>
      <c r="BJ709" s="19" t="s">
        <v>166</v>
      </c>
      <c r="BK709" s="19" t="s">
        <v>167</v>
      </c>
      <c r="BL709" s="19" t="s">
        <v>168</v>
      </c>
      <c r="BM709" s="19" t="s">
        <v>169</v>
      </c>
      <c r="BN709" s="21">
        <v>13.59</v>
      </c>
      <c r="BO709" s="21">
        <v>517.6431</v>
      </c>
      <c r="BQ709" s="2"/>
      <c r="BR709" s="2"/>
      <c r="BS709" s="2"/>
      <c r="BT709" s="2"/>
      <c r="BU709" s="22"/>
      <c r="BV709" s="2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</row>
    <row r="710" spans="1:95" x14ac:dyDescent="0.25">
      <c r="A710" s="18">
        <v>707</v>
      </c>
      <c r="B710" s="19" t="s">
        <v>10944</v>
      </c>
      <c r="C710" s="19" t="s">
        <v>10945</v>
      </c>
      <c r="D710" s="20">
        <v>46003</v>
      </c>
      <c r="E710" s="20">
        <v>31900</v>
      </c>
      <c r="F710" s="19"/>
      <c r="G710" s="19"/>
      <c r="H710" s="19" t="s">
        <v>94</v>
      </c>
      <c r="I710" s="19"/>
      <c r="J710" s="19"/>
      <c r="K710" s="19"/>
      <c r="L710" s="19" t="s">
        <v>2080</v>
      </c>
      <c r="M710" s="19" t="s">
        <v>141</v>
      </c>
      <c r="N710" s="19" t="s">
        <v>10946</v>
      </c>
      <c r="O710" s="19" t="s">
        <v>100</v>
      </c>
      <c r="P710" s="19"/>
      <c r="Q710" s="19"/>
      <c r="R710" s="19"/>
      <c r="S710" s="19"/>
      <c r="T710" s="19"/>
      <c r="U710" s="19"/>
      <c r="V710" s="19"/>
      <c r="W710" s="19"/>
      <c r="X710" s="19"/>
      <c r="Y710" s="19" t="s">
        <v>101</v>
      </c>
      <c r="Z710" s="19" t="s">
        <v>102</v>
      </c>
      <c r="AA710" s="19" t="s">
        <v>103</v>
      </c>
      <c r="AB710" s="19" t="s">
        <v>3703</v>
      </c>
      <c r="AC710" s="19" t="s">
        <v>3704</v>
      </c>
      <c r="AD710" s="19" t="s">
        <v>10947</v>
      </c>
      <c r="AE710" s="19" t="s">
        <v>10948</v>
      </c>
      <c r="AF710" s="19" t="s">
        <v>10949</v>
      </c>
      <c r="AG710" s="19" t="s">
        <v>10950</v>
      </c>
      <c r="AH710" s="19" t="s">
        <v>110</v>
      </c>
      <c r="AI710" s="19" t="s">
        <v>111</v>
      </c>
      <c r="AJ710" s="19" t="s">
        <v>10951</v>
      </c>
      <c r="AK710" s="19"/>
      <c r="AL710" s="19" t="s">
        <v>10952</v>
      </c>
      <c r="AM710" s="19" t="s">
        <v>10953</v>
      </c>
      <c r="AN710" s="19" t="s">
        <v>10954</v>
      </c>
      <c r="AO710" s="19" t="s">
        <v>2088</v>
      </c>
      <c r="AP710" s="19" t="s">
        <v>2089</v>
      </c>
      <c r="AQ710" s="19" t="s">
        <v>94</v>
      </c>
      <c r="AR710" s="19" t="s">
        <v>2090</v>
      </c>
      <c r="AS710" s="19" t="s">
        <v>2091</v>
      </c>
      <c r="AT710" s="19" t="s">
        <v>2092</v>
      </c>
      <c r="AU710" s="19" t="s">
        <v>2093</v>
      </c>
      <c r="AV710" s="19" t="s">
        <v>122</v>
      </c>
      <c r="AW710" s="19" t="s">
        <v>2094</v>
      </c>
      <c r="AX710" s="19" t="s">
        <v>901</v>
      </c>
      <c r="AY710" s="19" t="s">
        <v>2095</v>
      </c>
      <c r="AZ710" s="19" t="s">
        <v>2096</v>
      </c>
      <c r="BA710" s="20">
        <v>39974</v>
      </c>
      <c r="BB710" s="19" t="s">
        <v>2097</v>
      </c>
      <c r="BC710" s="19" t="s">
        <v>10955</v>
      </c>
      <c r="BD710" s="19" t="s">
        <v>10956</v>
      </c>
      <c r="BE710" s="19" t="s">
        <v>130</v>
      </c>
      <c r="BF710" s="19" t="s">
        <v>10957</v>
      </c>
      <c r="BG710" s="19" t="s">
        <v>10958</v>
      </c>
      <c r="BH710" s="19" t="s">
        <v>10959</v>
      </c>
      <c r="BI710" s="19" t="s">
        <v>10959</v>
      </c>
      <c r="BJ710" s="19" t="s">
        <v>1259</v>
      </c>
      <c r="BK710" s="19" t="s">
        <v>195</v>
      </c>
      <c r="BL710" s="19" t="s">
        <v>122</v>
      </c>
      <c r="BM710" s="19" t="s">
        <v>196</v>
      </c>
      <c r="BN710" s="21">
        <v>169.422</v>
      </c>
      <c r="BO710" s="21">
        <v>5892.2260847999996</v>
      </c>
      <c r="BQ710" s="2"/>
      <c r="BR710" s="2"/>
      <c r="BS710" s="2"/>
      <c r="BT710" s="2"/>
      <c r="BU710" s="22"/>
      <c r="BV710" s="2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</row>
    <row r="711" spans="1:95" x14ac:dyDescent="0.25">
      <c r="A711" s="18">
        <v>708</v>
      </c>
      <c r="B711" s="19" t="s">
        <v>10960</v>
      </c>
      <c r="C711" s="19" t="s">
        <v>10961</v>
      </c>
      <c r="D711" s="20">
        <v>46006</v>
      </c>
      <c r="E711" s="20">
        <v>28119</v>
      </c>
      <c r="F711" s="19"/>
      <c r="G711" s="19"/>
      <c r="H711" s="19" t="s">
        <v>94</v>
      </c>
      <c r="I711" s="19"/>
      <c r="J711" s="19" t="s">
        <v>95</v>
      </c>
      <c r="K711" s="19" t="s">
        <v>96</v>
      </c>
      <c r="L711" s="19" t="s">
        <v>97</v>
      </c>
      <c r="M711" s="19" t="s">
        <v>98</v>
      </c>
      <c r="N711" s="19" t="s">
        <v>10962</v>
      </c>
      <c r="O711" s="19" t="s">
        <v>100</v>
      </c>
      <c r="P711" s="19"/>
      <c r="Q711" s="19"/>
      <c r="R711" s="19"/>
      <c r="S711" s="19"/>
      <c r="T711" s="19"/>
      <c r="U711" s="19"/>
      <c r="V711" s="19"/>
      <c r="W711" s="19"/>
      <c r="X711" s="19"/>
      <c r="Y711" s="19" t="s">
        <v>101</v>
      </c>
      <c r="Z711" s="19" t="s">
        <v>102</v>
      </c>
      <c r="AA711" s="19" t="s">
        <v>103</v>
      </c>
      <c r="AB711" s="19" t="s">
        <v>292</v>
      </c>
      <c r="AC711" s="19" t="s">
        <v>293</v>
      </c>
      <c r="AD711" s="19" t="s">
        <v>10963</v>
      </c>
      <c r="AE711" s="19" t="s">
        <v>10964</v>
      </c>
      <c r="AF711" s="19" t="s">
        <v>10965</v>
      </c>
      <c r="AG711" s="19" t="s">
        <v>365</v>
      </c>
      <c r="AH711" s="19" t="s">
        <v>188</v>
      </c>
      <c r="AI711" s="19" t="s">
        <v>111</v>
      </c>
      <c r="AJ711" s="19" t="s">
        <v>10966</v>
      </c>
      <c r="AK711" s="19"/>
      <c r="AL711" s="19"/>
      <c r="AM711" s="19" t="s">
        <v>10967</v>
      </c>
      <c r="AN711" s="19" t="s">
        <v>10968</v>
      </c>
      <c r="AO711" s="19" t="s">
        <v>10969</v>
      </c>
      <c r="AP711" s="19" t="s">
        <v>10970</v>
      </c>
      <c r="AQ711" s="19" t="s">
        <v>117</v>
      </c>
      <c r="AR711" s="19" t="s">
        <v>10971</v>
      </c>
      <c r="AS711" s="19" t="s">
        <v>10972</v>
      </c>
      <c r="AT711" s="19" t="s">
        <v>10973</v>
      </c>
      <c r="AU711" s="19" t="s">
        <v>10974</v>
      </c>
      <c r="AV711" s="19" t="s">
        <v>4010</v>
      </c>
      <c r="AW711" s="19" t="s">
        <v>10975</v>
      </c>
      <c r="AX711" s="19" t="s">
        <v>1029</v>
      </c>
      <c r="AY711" s="19" t="s">
        <v>10976</v>
      </c>
      <c r="AZ711" s="19" t="s">
        <v>10977</v>
      </c>
      <c r="BA711" s="20">
        <v>39631</v>
      </c>
      <c r="BB711" s="19" t="s">
        <v>10978</v>
      </c>
      <c r="BC711" s="19" t="s">
        <v>1770</v>
      </c>
      <c r="BD711" s="19" t="s">
        <v>8086</v>
      </c>
      <c r="BE711" s="19" t="s">
        <v>130</v>
      </c>
      <c r="BF711" s="19" t="s">
        <v>10979</v>
      </c>
      <c r="BG711" s="19"/>
      <c r="BH711" s="19" t="s">
        <v>10980</v>
      </c>
      <c r="BI711" s="19" t="s">
        <v>10980</v>
      </c>
      <c r="BJ711" s="19" t="s">
        <v>166</v>
      </c>
      <c r="BK711" s="19" t="s">
        <v>3183</v>
      </c>
      <c r="BL711" s="19" t="s">
        <v>109</v>
      </c>
      <c r="BM711" s="19" t="s">
        <v>135</v>
      </c>
      <c r="BN711" s="21">
        <v>62.003999999999998</v>
      </c>
      <c r="BO711" s="21">
        <v>1020.802854</v>
      </c>
      <c r="BQ711" s="2"/>
      <c r="BR711" s="2"/>
      <c r="BS711" s="2"/>
      <c r="BT711" s="2"/>
      <c r="BU711" s="22"/>
      <c r="BV711" s="2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</row>
    <row r="712" spans="1:95" x14ac:dyDescent="0.25">
      <c r="A712" s="18">
        <v>709</v>
      </c>
      <c r="B712" s="19" t="s">
        <v>10981</v>
      </c>
      <c r="C712" s="19" t="s">
        <v>2540</v>
      </c>
      <c r="D712" s="20">
        <v>46020</v>
      </c>
      <c r="E712" s="20">
        <v>35349</v>
      </c>
      <c r="F712" s="19" t="s">
        <v>10982</v>
      </c>
      <c r="G712" s="19" t="s">
        <v>139</v>
      </c>
      <c r="H712" s="19" t="s">
        <v>94</v>
      </c>
      <c r="I712" s="19"/>
      <c r="J712" s="19"/>
      <c r="K712" s="19"/>
      <c r="L712" s="19" t="s">
        <v>101</v>
      </c>
      <c r="M712" s="19" t="s">
        <v>290</v>
      </c>
      <c r="N712" s="19" t="s">
        <v>10983</v>
      </c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 t="s">
        <v>101</v>
      </c>
      <c r="Z712" s="19" t="s">
        <v>102</v>
      </c>
      <c r="AA712" s="19" t="s">
        <v>103</v>
      </c>
      <c r="AB712" s="19" t="s">
        <v>143</v>
      </c>
      <c r="AC712" s="19" t="s">
        <v>144</v>
      </c>
      <c r="AD712" s="19" t="s">
        <v>10984</v>
      </c>
      <c r="AE712" s="19" t="s">
        <v>10985</v>
      </c>
      <c r="AF712" s="19" t="s">
        <v>10986</v>
      </c>
      <c r="AG712" s="19" t="s">
        <v>7932</v>
      </c>
      <c r="AH712" s="19" t="s">
        <v>1202</v>
      </c>
      <c r="AI712" s="19" t="s">
        <v>111</v>
      </c>
      <c r="AJ712" s="19" t="s">
        <v>10987</v>
      </c>
      <c r="AK712" s="19"/>
      <c r="AL712" s="19" t="s">
        <v>10988</v>
      </c>
      <c r="AM712" s="19" t="s">
        <v>10989</v>
      </c>
      <c r="AN712" s="19" t="s">
        <v>10990</v>
      </c>
      <c r="AO712" s="19" t="s">
        <v>154</v>
      </c>
      <c r="AP712" s="19" t="s">
        <v>155</v>
      </c>
      <c r="AQ712" s="19" t="s">
        <v>117</v>
      </c>
      <c r="AR712" s="19" t="s">
        <v>156</v>
      </c>
      <c r="AS712" s="19" t="s">
        <v>157</v>
      </c>
      <c r="AT712" s="19" t="s">
        <v>158</v>
      </c>
      <c r="AU712" s="19"/>
      <c r="AV712" s="19" t="s">
        <v>122</v>
      </c>
      <c r="AW712" s="19"/>
      <c r="AX712" s="19" t="s">
        <v>124</v>
      </c>
      <c r="AY712" s="19" t="s">
        <v>159</v>
      </c>
      <c r="AZ712" s="19" t="s">
        <v>160</v>
      </c>
      <c r="BA712" s="20">
        <v>44676</v>
      </c>
      <c r="BB712" s="19" t="s">
        <v>444</v>
      </c>
      <c r="BC712" s="19" t="s">
        <v>10991</v>
      </c>
      <c r="BD712" s="19" t="s">
        <v>6297</v>
      </c>
      <c r="BE712" s="19" t="s">
        <v>130</v>
      </c>
      <c r="BF712" s="19" t="s">
        <v>10992</v>
      </c>
      <c r="BG712" s="19"/>
      <c r="BH712" s="19" t="s">
        <v>10993</v>
      </c>
      <c r="BI712" s="19" t="s">
        <v>10993</v>
      </c>
      <c r="BJ712" s="19" t="s">
        <v>166</v>
      </c>
      <c r="BK712" s="19" t="s">
        <v>167</v>
      </c>
      <c r="BL712" s="19" t="s">
        <v>168</v>
      </c>
      <c r="BM712" s="19" t="s">
        <v>169</v>
      </c>
      <c r="BN712" s="21">
        <v>2.68</v>
      </c>
      <c r="BO712" s="21">
        <v>102.0812</v>
      </c>
      <c r="BQ712" s="2"/>
      <c r="BR712" s="2"/>
      <c r="BS712" s="2"/>
      <c r="BT712" s="2"/>
      <c r="BU712" s="22"/>
      <c r="BV712" s="2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</row>
    <row r="713" spans="1:95" x14ac:dyDescent="0.25">
      <c r="A713" s="18">
        <v>710</v>
      </c>
      <c r="B713" s="19" t="s">
        <v>10994</v>
      </c>
      <c r="C713" s="19" t="s">
        <v>10995</v>
      </c>
      <c r="D713" s="20">
        <v>46013</v>
      </c>
      <c r="E713" s="20">
        <v>34522</v>
      </c>
      <c r="F713" s="19" t="s">
        <v>10996</v>
      </c>
      <c r="G713" s="19" t="s">
        <v>139</v>
      </c>
      <c r="H713" s="19" t="s">
        <v>94</v>
      </c>
      <c r="I713" s="19"/>
      <c r="J713" s="19"/>
      <c r="K713" s="19"/>
      <c r="L713" s="19" t="s">
        <v>101</v>
      </c>
      <c r="M713" s="19" t="s">
        <v>290</v>
      </c>
      <c r="N713" s="19" t="s">
        <v>10997</v>
      </c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 t="s">
        <v>101</v>
      </c>
      <c r="Z713" s="19" t="s">
        <v>102</v>
      </c>
      <c r="AA713" s="19" t="s">
        <v>103</v>
      </c>
      <c r="AB713" s="19" t="s">
        <v>143</v>
      </c>
      <c r="AC713" s="19" t="s">
        <v>144</v>
      </c>
      <c r="AD713" s="19" t="s">
        <v>10998</v>
      </c>
      <c r="AE713" s="19"/>
      <c r="AF713" s="19"/>
      <c r="AG713" s="19" t="s">
        <v>277</v>
      </c>
      <c r="AH713" s="19" t="s">
        <v>124</v>
      </c>
      <c r="AI713" s="19"/>
      <c r="AJ713" s="19" t="s">
        <v>10999</v>
      </c>
      <c r="AK713" s="19"/>
      <c r="AL713" s="19" t="s">
        <v>11000</v>
      </c>
      <c r="AM713" s="19" t="s">
        <v>11001</v>
      </c>
      <c r="AN713" s="19"/>
      <c r="AO713" s="19" t="s">
        <v>476</v>
      </c>
      <c r="AP713" s="19" t="s">
        <v>477</v>
      </c>
      <c r="AQ713" s="19" t="s">
        <v>117</v>
      </c>
      <c r="AR713" s="19" t="s">
        <v>478</v>
      </c>
      <c r="AS713" s="19"/>
      <c r="AT713" s="19"/>
      <c r="AU713" s="19"/>
      <c r="AV713" s="19"/>
      <c r="AW713" s="19"/>
      <c r="AX713" s="19"/>
      <c r="AY713" s="19"/>
      <c r="AZ713" s="19"/>
      <c r="BA713" s="20">
        <v>44452</v>
      </c>
      <c r="BB713" s="19" t="s">
        <v>444</v>
      </c>
      <c r="BC713" s="19" t="s">
        <v>11002</v>
      </c>
      <c r="BD713" s="19" t="s">
        <v>277</v>
      </c>
      <c r="BE713" s="19" t="s">
        <v>130</v>
      </c>
      <c r="BF713" s="19" t="s">
        <v>11003</v>
      </c>
      <c r="BG713" s="19"/>
      <c r="BH713" s="19" t="s">
        <v>11004</v>
      </c>
      <c r="BI713" s="19" t="s">
        <v>11004</v>
      </c>
      <c r="BJ713" s="19" t="s">
        <v>166</v>
      </c>
      <c r="BK713" s="19" t="s">
        <v>167</v>
      </c>
      <c r="BL713" s="19" t="s">
        <v>168</v>
      </c>
      <c r="BM713" s="19" t="s">
        <v>169</v>
      </c>
      <c r="BN713" s="21">
        <v>13.368</v>
      </c>
      <c r="BO713" s="21">
        <v>509.18711999999999</v>
      </c>
      <c r="BQ713" s="2"/>
      <c r="BR713" s="2"/>
      <c r="BS713" s="2"/>
      <c r="BT713" s="2"/>
      <c r="BU713" s="22"/>
      <c r="BV713" s="2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</row>
    <row r="714" spans="1:95" x14ac:dyDescent="0.25">
      <c r="A714" s="18">
        <v>711</v>
      </c>
      <c r="B714" s="19" t="s">
        <v>11005</v>
      </c>
      <c r="C714" s="19" t="s">
        <v>11006</v>
      </c>
      <c r="D714" s="20">
        <v>46020</v>
      </c>
      <c r="E714" s="20">
        <v>36153</v>
      </c>
      <c r="F714" s="19" t="s">
        <v>11007</v>
      </c>
      <c r="G714" s="19" t="s">
        <v>139</v>
      </c>
      <c r="H714" s="19" t="s">
        <v>94</v>
      </c>
      <c r="I714" s="19"/>
      <c r="J714" s="19"/>
      <c r="K714" s="19"/>
      <c r="L714" s="19" t="s">
        <v>244</v>
      </c>
      <c r="M714" s="19" t="s">
        <v>245</v>
      </c>
      <c r="N714" s="19" t="s">
        <v>11008</v>
      </c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 t="s">
        <v>101</v>
      </c>
      <c r="Z714" s="19" t="s">
        <v>102</v>
      </c>
      <c r="AA714" s="19" t="s">
        <v>103</v>
      </c>
      <c r="AB714" s="19" t="s">
        <v>173</v>
      </c>
      <c r="AC714" s="19" t="s">
        <v>174</v>
      </c>
      <c r="AD714" s="19" t="s">
        <v>11009</v>
      </c>
      <c r="AE714" s="19" t="s">
        <v>11010</v>
      </c>
      <c r="AF714" s="19" t="s">
        <v>11011</v>
      </c>
      <c r="AG714" s="19" t="s">
        <v>5383</v>
      </c>
      <c r="AH714" s="19" t="s">
        <v>188</v>
      </c>
      <c r="AI714" s="19" t="s">
        <v>111</v>
      </c>
      <c r="AJ714" s="19" t="s">
        <v>11012</v>
      </c>
      <c r="AK714" s="19"/>
      <c r="AL714" s="19"/>
      <c r="AM714" s="19" t="s">
        <v>11013</v>
      </c>
      <c r="AN714" s="19" t="s">
        <v>11014</v>
      </c>
      <c r="AO714" s="19" t="s">
        <v>255</v>
      </c>
      <c r="AP714" s="19" t="s">
        <v>256</v>
      </c>
      <c r="AQ714" s="19" t="s">
        <v>117</v>
      </c>
      <c r="AR714" s="19" t="s">
        <v>257</v>
      </c>
      <c r="AS714" s="19" t="s">
        <v>258</v>
      </c>
      <c r="AT714" s="19" t="s">
        <v>259</v>
      </c>
      <c r="AU714" s="19" t="s">
        <v>260</v>
      </c>
      <c r="AV714" s="19" t="s">
        <v>260</v>
      </c>
      <c r="AW714" s="19" t="s">
        <v>261</v>
      </c>
      <c r="AX714" s="19" t="s">
        <v>262</v>
      </c>
      <c r="AY714" s="19" t="s">
        <v>263</v>
      </c>
      <c r="AZ714" s="19" t="s">
        <v>264</v>
      </c>
      <c r="BA714" s="20">
        <v>43627</v>
      </c>
      <c r="BB714" s="19" t="s">
        <v>444</v>
      </c>
      <c r="BC714" s="19" t="s">
        <v>11015</v>
      </c>
      <c r="BD714" s="19" t="s">
        <v>1770</v>
      </c>
      <c r="BE714" s="19" t="s">
        <v>130</v>
      </c>
      <c r="BF714" s="19" t="s">
        <v>11016</v>
      </c>
      <c r="BG714" s="19"/>
      <c r="BH714" s="19" t="s">
        <v>11017</v>
      </c>
      <c r="BI714" s="19" t="s">
        <v>11017</v>
      </c>
      <c r="BJ714" s="19" t="s">
        <v>166</v>
      </c>
      <c r="BK714" s="19" t="s">
        <v>167</v>
      </c>
      <c r="BL714" s="19" t="s">
        <v>168</v>
      </c>
      <c r="BM714" s="19" t="s">
        <v>169</v>
      </c>
      <c r="BN714" s="21">
        <v>282.637</v>
      </c>
      <c r="BO714" s="21">
        <v>10012.189615400001</v>
      </c>
      <c r="BQ714" s="2"/>
      <c r="BR714" s="2"/>
      <c r="BS714" s="2"/>
      <c r="BT714" s="2"/>
      <c r="BU714" s="22"/>
      <c r="BV714" s="2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</row>
    <row r="715" spans="1:95" x14ac:dyDescent="0.25">
      <c r="A715" s="18">
        <v>712</v>
      </c>
      <c r="B715" s="19" t="s">
        <v>11018</v>
      </c>
      <c r="C715" s="19" t="s">
        <v>11019</v>
      </c>
      <c r="D715" s="20">
        <v>46020</v>
      </c>
      <c r="E715" s="20">
        <v>29788</v>
      </c>
      <c r="F715" s="19" t="s">
        <v>11020</v>
      </c>
      <c r="G715" s="19" t="s">
        <v>139</v>
      </c>
      <c r="H715" s="19" t="s">
        <v>94</v>
      </c>
      <c r="I715" s="19"/>
      <c r="J715" s="19"/>
      <c r="K715" s="19"/>
      <c r="L715" s="19" t="s">
        <v>244</v>
      </c>
      <c r="M715" s="19" t="s">
        <v>245</v>
      </c>
      <c r="N715" s="19" t="s">
        <v>11021</v>
      </c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 t="s">
        <v>101</v>
      </c>
      <c r="Z715" s="19" t="s">
        <v>102</v>
      </c>
      <c r="AA715" s="19" t="s">
        <v>103</v>
      </c>
      <c r="AB715" s="19" t="s">
        <v>11022</v>
      </c>
      <c r="AC715" s="19" t="s">
        <v>11023</v>
      </c>
      <c r="AD715" s="19" t="s">
        <v>11024</v>
      </c>
      <c r="AE715" s="19" t="s">
        <v>11025</v>
      </c>
      <c r="AF715" s="19" t="s">
        <v>11026</v>
      </c>
      <c r="AG715" s="19" t="s">
        <v>129</v>
      </c>
      <c r="AH715" s="19" t="s">
        <v>110</v>
      </c>
      <c r="AI715" s="19"/>
      <c r="AJ715" s="19" t="s">
        <v>11027</v>
      </c>
      <c r="AK715" s="19"/>
      <c r="AL715" s="19" t="s">
        <v>11028</v>
      </c>
      <c r="AM715" s="19" t="s">
        <v>11029</v>
      </c>
      <c r="AN715" s="19" t="s">
        <v>11030</v>
      </c>
      <c r="AO715" s="19" t="s">
        <v>154</v>
      </c>
      <c r="AP715" s="19" t="s">
        <v>155</v>
      </c>
      <c r="AQ715" s="19" t="s">
        <v>117</v>
      </c>
      <c r="AR715" s="19" t="s">
        <v>156</v>
      </c>
      <c r="AS715" s="19" t="s">
        <v>157</v>
      </c>
      <c r="AT715" s="19" t="s">
        <v>158</v>
      </c>
      <c r="AU715" s="19"/>
      <c r="AV715" s="19" t="s">
        <v>122</v>
      </c>
      <c r="AW715" s="19"/>
      <c r="AX715" s="19" t="s">
        <v>124</v>
      </c>
      <c r="AY715" s="19" t="s">
        <v>159</v>
      </c>
      <c r="AZ715" s="19" t="s">
        <v>160</v>
      </c>
      <c r="BA715" s="20">
        <v>44676</v>
      </c>
      <c r="BB715" s="19" t="s">
        <v>265</v>
      </c>
      <c r="BC715" s="19" t="s">
        <v>11031</v>
      </c>
      <c r="BD715" s="19" t="s">
        <v>11032</v>
      </c>
      <c r="BE715" s="19" t="s">
        <v>130</v>
      </c>
      <c r="BF715" s="19" t="s">
        <v>11033</v>
      </c>
      <c r="BG715" s="19"/>
      <c r="BH715" s="19" t="s">
        <v>11034</v>
      </c>
      <c r="BI715" s="19" t="s">
        <v>11034</v>
      </c>
      <c r="BJ715" s="19" t="s">
        <v>166</v>
      </c>
      <c r="BK715" s="19" t="s">
        <v>167</v>
      </c>
      <c r="BL715" s="19" t="s">
        <v>168</v>
      </c>
      <c r="BM715" s="19" t="s">
        <v>169</v>
      </c>
      <c r="BN715" s="21">
        <v>2.964</v>
      </c>
      <c r="BO715" s="21">
        <v>100.42032</v>
      </c>
      <c r="BQ715" s="2"/>
      <c r="BR715" s="2"/>
      <c r="BS715" s="2"/>
      <c r="BT715" s="2"/>
      <c r="BU715" s="22"/>
      <c r="BV715" s="2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</row>
    <row r="716" spans="1:95" x14ac:dyDescent="0.25">
      <c r="A716" s="18">
        <v>713</v>
      </c>
      <c r="B716" s="19" t="s">
        <v>11035</v>
      </c>
      <c r="C716" s="19" t="s">
        <v>11036</v>
      </c>
      <c r="D716" s="20">
        <v>46009</v>
      </c>
      <c r="E716" s="20">
        <v>34250</v>
      </c>
      <c r="F716" s="19"/>
      <c r="G716" s="19"/>
      <c r="H716" s="19" t="s">
        <v>94</v>
      </c>
      <c r="I716" s="19"/>
      <c r="J716" s="19"/>
      <c r="K716" s="19"/>
      <c r="L716" s="19" t="s">
        <v>244</v>
      </c>
      <c r="M716" s="19" t="s">
        <v>245</v>
      </c>
      <c r="N716" s="19" t="s">
        <v>11037</v>
      </c>
      <c r="O716" s="19" t="s">
        <v>100</v>
      </c>
      <c r="P716" s="19"/>
      <c r="Q716" s="19"/>
      <c r="R716" s="19"/>
      <c r="S716" s="19"/>
      <c r="T716" s="19"/>
      <c r="U716" s="19"/>
      <c r="V716" s="19"/>
      <c r="W716" s="19"/>
      <c r="X716" s="19"/>
      <c r="Y716" s="19" t="s">
        <v>101</v>
      </c>
      <c r="Z716" s="19" t="s">
        <v>102</v>
      </c>
      <c r="AA716" s="19" t="s">
        <v>103</v>
      </c>
      <c r="AB716" s="19" t="s">
        <v>247</v>
      </c>
      <c r="AC716" s="19" t="s">
        <v>248</v>
      </c>
      <c r="AD716" s="19" t="s">
        <v>11038</v>
      </c>
      <c r="AE716" s="19" t="s">
        <v>11039</v>
      </c>
      <c r="AF716" s="19" t="s">
        <v>11040</v>
      </c>
      <c r="AG716" s="19" t="s">
        <v>11041</v>
      </c>
      <c r="AH716" s="19" t="s">
        <v>515</v>
      </c>
      <c r="AI716" s="19" t="s">
        <v>111</v>
      </c>
      <c r="AJ716" s="19" t="s">
        <v>11042</v>
      </c>
      <c r="AK716" s="19"/>
      <c r="AL716" s="19"/>
      <c r="AM716" s="19" t="s">
        <v>11043</v>
      </c>
      <c r="AN716" s="19" t="s">
        <v>11044</v>
      </c>
      <c r="AO716" s="19" t="s">
        <v>255</v>
      </c>
      <c r="AP716" s="19" t="s">
        <v>256</v>
      </c>
      <c r="AQ716" s="19" t="s">
        <v>117</v>
      </c>
      <c r="AR716" s="19" t="s">
        <v>257</v>
      </c>
      <c r="AS716" s="19" t="s">
        <v>258</v>
      </c>
      <c r="AT716" s="19" t="s">
        <v>259</v>
      </c>
      <c r="AU716" s="19" t="s">
        <v>260</v>
      </c>
      <c r="AV716" s="19" t="s">
        <v>260</v>
      </c>
      <c r="AW716" s="19" t="s">
        <v>261</v>
      </c>
      <c r="AX716" s="19" t="s">
        <v>262</v>
      </c>
      <c r="AY716" s="19" t="s">
        <v>263</v>
      </c>
      <c r="AZ716" s="19" t="s">
        <v>264</v>
      </c>
      <c r="BA716" s="20">
        <v>43627</v>
      </c>
      <c r="BB716" s="19" t="s">
        <v>1796</v>
      </c>
      <c r="BC716" s="19" t="s">
        <v>11045</v>
      </c>
      <c r="BD716" s="19" t="s">
        <v>11046</v>
      </c>
      <c r="BE716" s="19" t="s">
        <v>130</v>
      </c>
      <c r="BF716" s="19" t="s">
        <v>11047</v>
      </c>
      <c r="BG716" s="19"/>
      <c r="BH716" s="19" t="s">
        <v>11048</v>
      </c>
      <c r="BI716" s="19" t="s">
        <v>11048</v>
      </c>
      <c r="BJ716" s="19" t="s">
        <v>194</v>
      </c>
      <c r="BK716" s="19" t="s">
        <v>195</v>
      </c>
      <c r="BL716" s="19" t="s">
        <v>122</v>
      </c>
      <c r="BM716" s="19" t="s">
        <v>196</v>
      </c>
      <c r="BN716" s="21">
        <v>0.22900000000000001</v>
      </c>
      <c r="BO716" s="21">
        <v>100.4193396</v>
      </c>
      <c r="BQ716" s="2"/>
      <c r="BR716" s="2"/>
      <c r="BS716" s="2"/>
      <c r="BT716" s="2"/>
      <c r="BU716" s="22"/>
      <c r="BV716" s="2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</row>
    <row r="717" spans="1:95" x14ac:dyDescent="0.25">
      <c r="A717" s="18">
        <v>714</v>
      </c>
      <c r="B717" s="19" t="s">
        <v>11049</v>
      </c>
      <c r="C717" s="19" t="s">
        <v>11050</v>
      </c>
      <c r="D717" s="20">
        <v>46013</v>
      </c>
      <c r="E717" s="20">
        <v>34658</v>
      </c>
      <c r="F717" s="19"/>
      <c r="G717" s="19"/>
      <c r="H717" s="19" t="s">
        <v>94</v>
      </c>
      <c r="I717" s="19"/>
      <c r="J717" s="19"/>
      <c r="K717" s="19"/>
      <c r="L717" s="19" t="s">
        <v>97</v>
      </c>
      <c r="M717" s="19" t="s">
        <v>98</v>
      </c>
      <c r="N717" s="19" t="s">
        <v>11051</v>
      </c>
      <c r="O717" s="19" t="s">
        <v>100</v>
      </c>
      <c r="P717" s="19"/>
      <c r="Q717" s="19"/>
      <c r="R717" s="19"/>
      <c r="S717" s="19"/>
      <c r="T717" s="19"/>
      <c r="U717" s="19"/>
      <c r="V717" s="19"/>
      <c r="W717" s="19"/>
      <c r="X717" s="19"/>
      <c r="Y717" s="19" t="s">
        <v>101</v>
      </c>
      <c r="Z717" s="19" t="s">
        <v>102</v>
      </c>
      <c r="AA717" s="19" t="s">
        <v>103</v>
      </c>
      <c r="AB717" s="19" t="s">
        <v>789</v>
      </c>
      <c r="AC717" s="19" t="s">
        <v>790</v>
      </c>
      <c r="AD717" s="19" t="s">
        <v>11052</v>
      </c>
      <c r="AE717" s="19" t="s">
        <v>11053</v>
      </c>
      <c r="AF717" s="19" t="s">
        <v>11054</v>
      </c>
      <c r="AG717" s="19" t="s">
        <v>2468</v>
      </c>
      <c r="AH717" s="19" t="s">
        <v>231</v>
      </c>
      <c r="AI717" s="19" t="s">
        <v>111</v>
      </c>
      <c r="AJ717" s="19" t="s">
        <v>8207</v>
      </c>
      <c r="AK717" s="19"/>
      <c r="AL717" s="19"/>
      <c r="AM717" s="19" t="s">
        <v>11055</v>
      </c>
      <c r="AN717" s="19" t="s">
        <v>11056</v>
      </c>
      <c r="AO717" s="19" t="s">
        <v>11057</v>
      </c>
      <c r="AP717" s="19" t="s">
        <v>11058</v>
      </c>
      <c r="AQ717" s="19" t="s">
        <v>117</v>
      </c>
      <c r="AR717" s="19" t="s">
        <v>11059</v>
      </c>
      <c r="AS717" s="19" t="s">
        <v>11060</v>
      </c>
      <c r="AT717" s="19" t="s">
        <v>11061</v>
      </c>
      <c r="AU717" s="19" t="s">
        <v>11062</v>
      </c>
      <c r="AV717" s="19" t="s">
        <v>2365</v>
      </c>
      <c r="AW717" s="19" t="s">
        <v>8207</v>
      </c>
      <c r="AX717" s="19" t="s">
        <v>231</v>
      </c>
      <c r="AY717" s="19" t="s">
        <v>11063</v>
      </c>
      <c r="AZ717" s="19" t="s">
        <v>11064</v>
      </c>
      <c r="BA717" s="20">
        <v>43014</v>
      </c>
      <c r="BB717" s="19" t="s">
        <v>236</v>
      </c>
      <c r="BC717" s="19" t="s">
        <v>11065</v>
      </c>
      <c r="BD717" s="19" t="s">
        <v>2468</v>
      </c>
      <c r="BE717" s="19" t="s">
        <v>130</v>
      </c>
      <c r="BF717" s="19" t="s">
        <v>11066</v>
      </c>
      <c r="BG717" s="19"/>
      <c r="BH717" s="19" t="s">
        <v>11067</v>
      </c>
      <c r="BI717" s="19" t="s">
        <v>11067</v>
      </c>
      <c r="BJ717" s="19" t="s">
        <v>194</v>
      </c>
      <c r="BK717" s="19" t="s">
        <v>591</v>
      </c>
      <c r="BL717" s="19" t="s">
        <v>122</v>
      </c>
      <c r="BM717" s="19" t="s">
        <v>592</v>
      </c>
      <c r="BN717" s="21">
        <v>100.346</v>
      </c>
      <c r="BO717" s="21">
        <v>1992.87156</v>
      </c>
      <c r="BQ717" s="2"/>
      <c r="BR717" s="2"/>
      <c r="BS717" s="2"/>
      <c r="BT717" s="2"/>
      <c r="BU717" s="22"/>
      <c r="BV717" s="2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</row>
    <row r="718" spans="1:95" x14ac:dyDescent="0.25">
      <c r="A718" s="18">
        <v>715</v>
      </c>
      <c r="B718" s="19" t="s">
        <v>11068</v>
      </c>
      <c r="C718" s="19" t="s">
        <v>11069</v>
      </c>
      <c r="D718" s="20">
        <v>46011</v>
      </c>
      <c r="E718" s="20">
        <v>23913</v>
      </c>
      <c r="F718" s="19"/>
      <c r="G718" s="19"/>
      <c r="H718" s="19" t="s">
        <v>94</v>
      </c>
      <c r="I718" s="19"/>
      <c r="J718" s="19"/>
      <c r="K718" s="19"/>
      <c r="L718" s="19" t="s">
        <v>2359</v>
      </c>
      <c r="M718" s="19" t="s">
        <v>2360</v>
      </c>
      <c r="N718" s="19" t="s">
        <v>11070</v>
      </c>
      <c r="O718" s="19" t="s">
        <v>100</v>
      </c>
      <c r="P718" s="19"/>
      <c r="Q718" s="19"/>
      <c r="R718" s="19"/>
      <c r="S718" s="19"/>
      <c r="T718" s="19"/>
      <c r="U718" s="19"/>
      <c r="V718" s="19"/>
      <c r="W718" s="19"/>
      <c r="X718" s="19"/>
      <c r="Y718" s="19" t="s">
        <v>101</v>
      </c>
      <c r="Z718" s="19" t="s">
        <v>102</v>
      </c>
      <c r="AA718" s="19" t="s">
        <v>103</v>
      </c>
      <c r="AB718" s="19" t="s">
        <v>1222</v>
      </c>
      <c r="AC718" s="19" t="s">
        <v>1223</v>
      </c>
      <c r="AD718" s="19" t="s">
        <v>11071</v>
      </c>
      <c r="AE718" s="19" t="s">
        <v>11072</v>
      </c>
      <c r="AF718" s="19" t="s">
        <v>11073</v>
      </c>
      <c r="AG718" s="19" t="s">
        <v>5662</v>
      </c>
      <c r="AH718" s="19" t="s">
        <v>1015</v>
      </c>
      <c r="AI718" s="19" t="s">
        <v>111</v>
      </c>
      <c r="AJ718" s="19" t="s">
        <v>11074</v>
      </c>
      <c r="AK718" s="19"/>
      <c r="AL718" s="19"/>
      <c r="AM718" s="19" t="s">
        <v>11075</v>
      </c>
      <c r="AN718" s="19" t="s">
        <v>11076</v>
      </c>
      <c r="AO718" s="19" t="s">
        <v>11077</v>
      </c>
      <c r="AP718" s="19" t="s">
        <v>11078</v>
      </c>
      <c r="AQ718" s="19" t="s">
        <v>117</v>
      </c>
      <c r="AR718" s="19" t="s">
        <v>11079</v>
      </c>
      <c r="AS718" s="19" t="s">
        <v>11080</v>
      </c>
      <c r="AT718" s="19" t="s">
        <v>11081</v>
      </c>
      <c r="AU718" s="19"/>
      <c r="AV718" s="19" t="s">
        <v>11082</v>
      </c>
      <c r="AW718" s="19" t="s">
        <v>11083</v>
      </c>
      <c r="AX718" s="19" t="s">
        <v>1015</v>
      </c>
      <c r="AY718" s="19" t="s">
        <v>11084</v>
      </c>
      <c r="AZ718" s="19" t="s">
        <v>11085</v>
      </c>
      <c r="BA718" s="20">
        <v>45018</v>
      </c>
      <c r="BB718" s="19" t="s">
        <v>331</v>
      </c>
      <c r="BC718" s="19" t="s">
        <v>11086</v>
      </c>
      <c r="BD718" s="19" t="s">
        <v>2599</v>
      </c>
      <c r="BE718" s="19" t="s">
        <v>130</v>
      </c>
      <c r="BF718" s="19" t="s">
        <v>11087</v>
      </c>
      <c r="BG718" s="19" t="s">
        <v>11088</v>
      </c>
      <c r="BH718" s="19" t="s">
        <v>11089</v>
      </c>
      <c r="BI718" s="19" t="s">
        <v>11089</v>
      </c>
      <c r="BJ718" s="19" t="s">
        <v>166</v>
      </c>
      <c r="BK718" s="19" t="s">
        <v>11090</v>
      </c>
      <c r="BL718" s="19" t="s">
        <v>3877</v>
      </c>
      <c r="BM718" s="19" t="s">
        <v>169</v>
      </c>
      <c r="BN718" s="21">
        <v>184.08799999999999</v>
      </c>
      <c r="BO718" s="21">
        <v>40383.384559999999</v>
      </c>
      <c r="BQ718" s="2"/>
      <c r="BR718" s="2"/>
      <c r="BS718" s="2"/>
      <c r="BT718" s="2"/>
      <c r="BU718" s="22"/>
      <c r="BV718" s="2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</row>
    <row r="719" spans="1:95" x14ac:dyDescent="0.25">
      <c r="A719" s="18">
        <v>716</v>
      </c>
      <c r="B719" s="19" t="s">
        <v>11091</v>
      </c>
      <c r="C719" s="19" t="s">
        <v>11092</v>
      </c>
      <c r="D719" s="20">
        <v>46014</v>
      </c>
      <c r="E719" s="20">
        <v>23721</v>
      </c>
      <c r="F719" s="19" t="s">
        <v>11093</v>
      </c>
      <c r="G719" s="19" t="s">
        <v>139</v>
      </c>
      <c r="H719" s="19" t="s">
        <v>94</v>
      </c>
      <c r="I719" s="19"/>
      <c r="J719" s="19"/>
      <c r="K719" s="19"/>
      <c r="L719" s="19" t="s">
        <v>244</v>
      </c>
      <c r="M719" s="19" t="s">
        <v>245</v>
      </c>
      <c r="N719" s="19" t="s">
        <v>11094</v>
      </c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 t="s">
        <v>101</v>
      </c>
      <c r="Z719" s="19" t="s">
        <v>102</v>
      </c>
      <c r="AA719" s="19" t="s">
        <v>103</v>
      </c>
      <c r="AB719" s="19" t="s">
        <v>247</v>
      </c>
      <c r="AC719" s="19" t="s">
        <v>248</v>
      </c>
      <c r="AD719" s="19" t="s">
        <v>11095</v>
      </c>
      <c r="AE719" s="19" t="s">
        <v>11096</v>
      </c>
      <c r="AF719" s="19" t="s">
        <v>11097</v>
      </c>
      <c r="AG719" s="19" t="s">
        <v>806</v>
      </c>
      <c r="AH719" s="19" t="s">
        <v>149</v>
      </c>
      <c r="AI719" s="19"/>
      <c r="AJ719" s="19" t="s">
        <v>11098</v>
      </c>
      <c r="AK719" s="19"/>
      <c r="AL719" s="19"/>
      <c r="AM719" s="19" t="s">
        <v>11099</v>
      </c>
      <c r="AN719" s="19" t="s">
        <v>11100</v>
      </c>
      <c r="AO719" s="19" t="s">
        <v>255</v>
      </c>
      <c r="AP719" s="19" t="s">
        <v>256</v>
      </c>
      <c r="AQ719" s="19" t="s">
        <v>117</v>
      </c>
      <c r="AR719" s="19" t="s">
        <v>257</v>
      </c>
      <c r="AS719" s="19" t="s">
        <v>258</v>
      </c>
      <c r="AT719" s="19" t="s">
        <v>259</v>
      </c>
      <c r="AU719" s="19" t="s">
        <v>260</v>
      </c>
      <c r="AV719" s="19" t="s">
        <v>260</v>
      </c>
      <c r="AW719" s="19" t="s">
        <v>261</v>
      </c>
      <c r="AX719" s="19" t="s">
        <v>262</v>
      </c>
      <c r="AY719" s="19" t="s">
        <v>263</v>
      </c>
      <c r="AZ719" s="19" t="s">
        <v>264</v>
      </c>
      <c r="BA719" s="20">
        <v>43627</v>
      </c>
      <c r="BB719" s="19" t="s">
        <v>331</v>
      </c>
      <c r="BC719" s="19" t="s">
        <v>11101</v>
      </c>
      <c r="BD719" s="19" t="s">
        <v>11101</v>
      </c>
      <c r="BE719" s="19" t="s">
        <v>130</v>
      </c>
      <c r="BF719" s="19" t="s">
        <v>11102</v>
      </c>
      <c r="BG719" s="19"/>
      <c r="BH719" s="19" t="s">
        <v>11103</v>
      </c>
      <c r="BI719" s="19" t="s">
        <v>11103</v>
      </c>
      <c r="BJ719" s="19" t="s">
        <v>166</v>
      </c>
      <c r="BK719" s="19" t="s">
        <v>167</v>
      </c>
      <c r="BL719" s="19" t="s">
        <v>168</v>
      </c>
      <c r="BM719" s="19" t="s">
        <v>169</v>
      </c>
      <c r="BN719" s="21">
        <v>319.74200000000002</v>
      </c>
      <c r="BO719" s="21">
        <v>140210.83180079999</v>
      </c>
      <c r="BQ719" s="2"/>
      <c r="BR719" s="2"/>
      <c r="BS719" s="2"/>
      <c r="BT719" s="2"/>
      <c r="BU719" s="22"/>
      <c r="BV719" s="2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</row>
    <row r="720" spans="1:95" x14ac:dyDescent="0.25">
      <c r="A720" s="18">
        <v>717</v>
      </c>
      <c r="B720" s="19" t="s">
        <v>11104</v>
      </c>
      <c r="C720" s="19" t="s">
        <v>11105</v>
      </c>
      <c r="D720" s="20">
        <v>46015</v>
      </c>
      <c r="E720" s="20">
        <v>36982</v>
      </c>
      <c r="F720" s="19" t="s">
        <v>11106</v>
      </c>
      <c r="G720" s="19" t="s">
        <v>139</v>
      </c>
      <c r="H720" s="19" t="s">
        <v>94</v>
      </c>
      <c r="I720" s="19"/>
      <c r="J720" s="19"/>
      <c r="K720" s="19"/>
      <c r="L720" s="19" t="s">
        <v>244</v>
      </c>
      <c r="M720" s="19" t="s">
        <v>245</v>
      </c>
      <c r="N720" s="19" t="s">
        <v>11107</v>
      </c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 t="s">
        <v>101</v>
      </c>
      <c r="Z720" s="19" t="s">
        <v>102</v>
      </c>
      <c r="AA720" s="19" t="s">
        <v>103</v>
      </c>
      <c r="AB720" s="19" t="s">
        <v>953</v>
      </c>
      <c r="AC720" s="19" t="s">
        <v>954</v>
      </c>
      <c r="AD720" s="19" t="s">
        <v>11108</v>
      </c>
      <c r="AE720" s="19" t="s">
        <v>11109</v>
      </c>
      <c r="AF720" s="19" t="s">
        <v>11110</v>
      </c>
      <c r="AG720" s="19" t="s">
        <v>1325</v>
      </c>
      <c r="AH720" s="19" t="s">
        <v>1326</v>
      </c>
      <c r="AI720" s="19" t="s">
        <v>111</v>
      </c>
      <c r="AJ720" s="19" t="s">
        <v>11111</v>
      </c>
      <c r="AK720" s="19" t="s">
        <v>2453</v>
      </c>
      <c r="AL720" s="19" t="s">
        <v>11112</v>
      </c>
      <c r="AM720" s="19" t="s">
        <v>11113</v>
      </c>
      <c r="AN720" s="19" t="s">
        <v>11114</v>
      </c>
      <c r="AO720" s="19" t="s">
        <v>255</v>
      </c>
      <c r="AP720" s="19" t="s">
        <v>256</v>
      </c>
      <c r="AQ720" s="19" t="s">
        <v>117</v>
      </c>
      <c r="AR720" s="19" t="s">
        <v>257</v>
      </c>
      <c r="AS720" s="19" t="s">
        <v>258</v>
      </c>
      <c r="AT720" s="19" t="s">
        <v>259</v>
      </c>
      <c r="AU720" s="19" t="s">
        <v>260</v>
      </c>
      <c r="AV720" s="19" t="s">
        <v>260</v>
      </c>
      <c r="AW720" s="19" t="s">
        <v>261</v>
      </c>
      <c r="AX720" s="19" t="s">
        <v>262</v>
      </c>
      <c r="AY720" s="19" t="s">
        <v>263</v>
      </c>
      <c r="AZ720" s="19" t="s">
        <v>264</v>
      </c>
      <c r="BA720" s="20">
        <v>43627</v>
      </c>
      <c r="BB720" s="19" t="s">
        <v>331</v>
      </c>
      <c r="BC720" s="19" t="s">
        <v>11115</v>
      </c>
      <c r="BD720" s="19" t="s">
        <v>11116</v>
      </c>
      <c r="BE720" s="19" t="s">
        <v>130</v>
      </c>
      <c r="BF720" s="19" t="s">
        <v>11117</v>
      </c>
      <c r="BG720" s="19"/>
      <c r="BH720" s="19" t="s">
        <v>11118</v>
      </c>
      <c r="BI720" s="19" t="s">
        <v>11118</v>
      </c>
      <c r="BJ720" s="19" t="s">
        <v>166</v>
      </c>
      <c r="BK720" s="19" t="s">
        <v>167</v>
      </c>
      <c r="BL720" s="19" t="s">
        <v>168</v>
      </c>
      <c r="BM720" s="19" t="s">
        <v>169</v>
      </c>
      <c r="BN720" s="21">
        <v>218.148</v>
      </c>
      <c r="BO720" s="21">
        <v>8787.3722916000006</v>
      </c>
      <c r="BQ720" s="2"/>
      <c r="BR720" s="2"/>
      <c r="BS720" s="2"/>
      <c r="BT720" s="2"/>
      <c r="BU720" s="22"/>
      <c r="BV720" s="2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</row>
    <row r="721" spans="1:95" x14ac:dyDescent="0.25">
      <c r="A721" s="18">
        <v>718</v>
      </c>
      <c r="B721" s="19" t="s">
        <v>11119</v>
      </c>
      <c r="C721" s="19" t="s">
        <v>11120</v>
      </c>
      <c r="D721" s="20">
        <v>45999</v>
      </c>
      <c r="E721" s="20">
        <v>27175</v>
      </c>
      <c r="F721" s="19"/>
      <c r="G721" s="19"/>
      <c r="H721" s="19" t="s">
        <v>94</v>
      </c>
      <c r="I721" s="19"/>
      <c r="J721" s="19"/>
      <c r="K721" s="19"/>
      <c r="L721" s="19" t="s">
        <v>467</v>
      </c>
      <c r="M721" s="19" t="s">
        <v>468</v>
      </c>
      <c r="N721" s="19" t="s">
        <v>11121</v>
      </c>
      <c r="O721" s="19" t="s">
        <v>100</v>
      </c>
      <c r="P721" s="19"/>
      <c r="Q721" s="19"/>
      <c r="R721" s="19"/>
      <c r="S721" s="19"/>
      <c r="T721" s="19"/>
      <c r="U721" s="19"/>
      <c r="V721" s="19"/>
      <c r="W721" s="19"/>
      <c r="X721" s="19"/>
      <c r="Y721" s="19" t="s">
        <v>101</v>
      </c>
      <c r="Z721" s="19" t="s">
        <v>102</v>
      </c>
      <c r="AA721" s="19" t="s">
        <v>103</v>
      </c>
      <c r="AB721" s="19" t="s">
        <v>850</v>
      </c>
      <c r="AC721" s="19" t="s">
        <v>851</v>
      </c>
      <c r="AD721" s="19" t="s">
        <v>11122</v>
      </c>
      <c r="AE721" s="19" t="s">
        <v>11123</v>
      </c>
      <c r="AF721" s="19" t="s">
        <v>3096</v>
      </c>
      <c r="AG721" s="19" t="s">
        <v>11124</v>
      </c>
      <c r="AH721" s="19" t="s">
        <v>124</v>
      </c>
      <c r="AI721" s="19" t="s">
        <v>111</v>
      </c>
      <c r="AJ721" s="19" t="s">
        <v>11125</v>
      </c>
      <c r="AK721" s="19"/>
      <c r="AL721" s="19"/>
      <c r="AM721" s="19" t="s">
        <v>11126</v>
      </c>
      <c r="AN721" s="19" t="s">
        <v>11127</v>
      </c>
      <c r="AO721" s="19" t="s">
        <v>11128</v>
      </c>
      <c r="AP721" s="19" t="s">
        <v>11129</v>
      </c>
      <c r="AQ721" s="19" t="s">
        <v>117</v>
      </c>
      <c r="AR721" s="19" t="s">
        <v>11130</v>
      </c>
      <c r="AS721" s="19" t="s">
        <v>11131</v>
      </c>
      <c r="AT721" s="19" t="s">
        <v>11132</v>
      </c>
      <c r="AU721" s="19" t="s">
        <v>11133</v>
      </c>
      <c r="AV721" s="19" t="s">
        <v>11133</v>
      </c>
      <c r="AW721" s="19" t="s">
        <v>11125</v>
      </c>
      <c r="AX721" s="19" t="s">
        <v>124</v>
      </c>
      <c r="AY721" s="19" t="s">
        <v>11134</v>
      </c>
      <c r="AZ721" s="19" t="s">
        <v>11135</v>
      </c>
      <c r="BA721" s="20">
        <v>42776</v>
      </c>
      <c r="BB721" s="19" t="s">
        <v>11136</v>
      </c>
      <c r="BC721" s="19" t="s">
        <v>11137</v>
      </c>
      <c r="BD721" s="19" t="s">
        <v>11138</v>
      </c>
      <c r="BE721" s="19" t="s">
        <v>130</v>
      </c>
      <c r="BF721" s="19" t="s">
        <v>11139</v>
      </c>
      <c r="BG721" s="19"/>
      <c r="BH721" s="19" t="s">
        <v>11140</v>
      </c>
      <c r="BI721" s="19" t="s">
        <v>11140</v>
      </c>
      <c r="BJ721" s="19" t="s">
        <v>194</v>
      </c>
      <c r="BK721" s="19" t="s">
        <v>591</v>
      </c>
      <c r="BL721" s="19" t="s">
        <v>122</v>
      </c>
      <c r="BM721" s="19" t="s">
        <v>592</v>
      </c>
      <c r="BN721" s="21">
        <v>915.70500000000004</v>
      </c>
      <c r="BO721" s="21">
        <v>100718.39294999999</v>
      </c>
      <c r="BQ721" s="2"/>
      <c r="BR721" s="2"/>
      <c r="BS721" s="2"/>
      <c r="BT721" s="2"/>
      <c r="BU721" s="22"/>
      <c r="BV721" s="2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</row>
    <row r="722" spans="1:95" x14ac:dyDescent="0.25">
      <c r="A722" s="18">
        <v>719</v>
      </c>
      <c r="B722" s="19" t="s">
        <v>11141</v>
      </c>
      <c r="C722" s="19" t="s">
        <v>11142</v>
      </c>
      <c r="D722" s="20">
        <v>45999</v>
      </c>
      <c r="E722" s="20">
        <v>26621</v>
      </c>
      <c r="F722" s="19"/>
      <c r="G722" s="19"/>
      <c r="H722" s="19" t="s">
        <v>94</v>
      </c>
      <c r="I722" s="19"/>
      <c r="J722" s="19"/>
      <c r="K722" s="19"/>
      <c r="L722" s="19" t="s">
        <v>140</v>
      </c>
      <c r="M722" s="19" t="s">
        <v>141</v>
      </c>
      <c r="N722" s="19" t="s">
        <v>11143</v>
      </c>
      <c r="O722" s="19" t="s">
        <v>100</v>
      </c>
      <c r="P722" s="19"/>
      <c r="Q722" s="19"/>
      <c r="R722" s="19"/>
      <c r="S722" s="19"/>
      <c r="T722" s="19"/>
      <c r="U722" s="19"/>
      <c r="V722" s="19"/>
      <c r="W722" s="19"/>
      <c r="X722" s="19"/>
      <c r="Y722" s="19" t="s">
        <v>101</v>
      </c>
      <c r="Z722" s="19" t="s">
        <v>102</v>
      </c>
      <c r="AA722" s="19" t="s">
        <v>103</v>
      </c>
      <c r="AB722" s="19" t="s">
        <v>173</v>
      </c>
      <c r="AC722" s="19" t="s">
        <v>174</v>
      </c>
      <c r="AD722" s="19" t="s">
        <v>11144</v>
      </c>
      <c r="AE722" s="19" t="s">
        <v>11145</v>
      </c>
      <c r="AF722" s="19" t="s">
        <v>11146</v>
      </c>
      <c r="AG722" s="19" t="s">
        <v>11147</v>
      </c>
      <c r="AH722" s="19" t="s">
        <v>707</v>
      </c>
      <c r="AI722" s="19" t="s">
        <v>111</v>
      </c>
      <c r="AJ722" s="19" t="s">
        <v>11148</v>
      </c>
      <c r="AK722" s="19"/>
      <c r="AL722" s="19"/>
      <c r="AM722" s="19" t="s">
        <v>11149</v>
      </c>
      <c r="AN722" s="19" t="s">
        <v>11150</v>
      </c>
      <c r="AO722" s="19" t="s">
        <v>181</v>
      </c>
      <c r="AP722" s="19" t="s">
        <v>182</v>
      </c>
      <c r="AQ722" s="19" t="s">
        <v>117</v>
      </c>
      <c r="AR722" s="19" t="s">
        <v>183</v>
      </c>
      <c r="AS722" s="19" t="s">
        <v>184</v>
      </c>
      <c r="AT722" s="19" t="s">
        <v>185</v>
      </c>
      <c r="AU722" s="19"/>
      <c r="AV722" s="19" t="s">
        <v>186</v>
      </c>
      <c r="AW722" s="19" t="s">
        <v>187</v>
      </c>
      <c r="AX722" s="19" t="s">
        <v>188</v>
      </c>
      <c r="AY722" s="19"/>
      <c r="AZ722" s="19" t="s">
        <v>189</v>
      </c>
      <c r="BA722" s="20">
        <v>44673</v>
      </c>
      <c r="BB722" s="19" t="s">
        <v>331</v>
      </c>
      <c r="BC722" s="19" t="s">
        <v>11151</v>
      </c>
      <c r="BD722" s="19" t="s">
        <v>11147</v>
      </c>
      <c r="BE722" s="19" t="s">
        <v>130</v>
      </c>
      <c r="BF722" s="19" t="s">
        <v>11152</v>
      </c>
      <c r="BG722" s="19"/>
      <c r="BH722" s="19" t="s">
        <v>11153</v>
      </c>
      <c r="BI722" s="19" t="s">
        <v>11153</v>
      </c>
      <c r="BJ722" s="19" t="s">
        <v>194</v>
      </c>
      <c r="BK722" s="19" t="s">
        <v>195</v>
      </c>
      <c r="BL722" s="19" t="s">
        <v>122</v>
      </c>
      <c r="BM722" s="19" t="s">
        <v>196</v>
      </c>
      <c r="BN722" s="21">
        <v>126.982</v>
      </c>
      <c r="BO722" s="21">
        <v>4498.2357644000003</v>
      </c>
      <c r="BQ722" s="2"/>
      <c r="BR722" s="2"/>
      <c r="BS722" s="2"/>
      <c r="BT722" s="2"/>
      <c r="BU722" s="22"/>
      <c r="BV722" s="2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</row>
    <row r="723" spans="1:95" x14ac:dyDescent="0.25">
      <c r="A723" s="18">
        <v>720</v>
      </c>
      <c r="B723" s="19" t="s">
        <v>11154</v>
      </c>
      <c r="C723" s="19" t="s">
        <v>11155</v>
      </c>
      <c r="D723" s="20">
        <v>45992</v>
      </c>
      <c r="E723" s="20">
        <v>39120</v>
      </c>
      <c r="F723" s="19"/>
      <c r="G723" s="19"/>
      <c r="H723" s="19" t="s">
        <v>94</v>
      </c>
      <c r="I723" s="19"/>
      <c r="J723" s="19"/>
      <c r="K723" s="19"/>
      <c r="L723" s="19" t="s">
        <v>140</v>
      </c>
      <c r="M723" s="19" t="s">
        <v>141</v>
      </c>
      <c r="N723" s="19" t="s">
        <v>11156</v>
      </c>
      <c r="O723" s="19" t="s">
        <v>100</v>
      </c>
      <c r="P723" s="19"/>
      <c r="Q723" s="19"/>
      <c r="R723" s="19"/>
      <c r="S723" s="19"/>
      <c r="T723" s="19"/>
      <c r="U723" s="19"/>
      <c r="V723" s="19"/>
      <c r="W723" s="19"/>
      <c r="X723" s="19"/>
      <c r="Y723" s="19" t="s">
        <v>101</v>
      </c>
      <c r="Z723" s="19" t="s">
        <v>102</v>
      </c>
      <c r="AA723" s="19" t="s">
        <v>103</v>
      </c>
      <c r="AB723" s="19" t="s">
        <v>1372</v>
      </c>
      <c r="AC723" s="19" t="s">
        <v>1373</v>
      </c>
      <c r="AD723" s="19" t="s">
        <v>11157</v>
      </c>
      <c r="AE723" s="19" t="s">
        <v>11158</v>
      </c>
      <c r="AF723" s="19" t="s">
        <v>5342</v>
      </c>
      <c r="AG723" s="19" t="s">
        <v>11159</v>
      </c>
      <c r="AH723" s="19" t="s">
        <v>149</v>
      </c>
      <c r="AI723" s="19" t="s">
        <v>111</v>
      </c>
      <c r="AJ723" s="19" t="s">
        <v>8161</v>
      </c>
      <c r="AK723" s="19"/>
      <c r="AL723" s="19"/>
      <c r="AM723" s="19" t="s">
        <v>11160</v>
      </c>
      <c r="AN723" s="19" t="s">
        <v>11161</v>
      </c>
      <c r="AO723" s="19" t="s">
        <v>1206</v>
      </c>
      <c r="AP723" s="19" t="s">
        <v>1207</v>
      </c>
      <c r="AQ723" s="19" t="s">
        <v>117</v>
      </c>
      <c r="AR723" s="19" t="s">
        <v>1208</v>
      </c>
      <c r="AS723" s="19" t="s">
        <v>1209</v>
      </c>
      <c r="AT723" s="19" t="s">
        <v>1210</v>
      </c>
      <c r="AU723" s="19" t="s">
        <v>1211</v>
      </c>
      <c r="AV723" s="19" t="s">
        <v>219</v>
      </c>
      <c r="AW723" s="19" t="s">
        <v>1212</v>
      </c>
      <c r="AX723" s="19" t="s">
        <v>124</v>
      </c>
      <c r="AY723" s="19" t="s">
        <v>1213</v>
      </c>
      <c r="AZ723" s="19" t="s">
        <v>1214</v>
      </c>
      <c r="BA723" s="20">
        <v>37560</v>
      </c>
      <c r="BB723" s="19" t="s">
        <v>638</v>
      </c>
      <c r="BC723" s="19" t="s">
        <v>11162</v>
      </c>
      <c r="BD723" s="19" t="s">
        <v>148</v>
      </c>
      <c r="BE723" s="19" t="s">
        <v>130</v>
      </c>
      <c r="BF723" s="19" t="s">
        <v>11163</v>
      </c>
      <c r="BG723" s="19"/>
      <c r="BH723" s="19" t="s">
        <v>11164</v>
      </c>
      <c r="BI723" s="19" t="s">
        <v>11164</v>
      </c>
      <c r="BJ723" s="19" t="s">
        <v>194</v>
      </c>
      <c r="BK723" s="19" t="s">
        <v>591</v>
      </c>
      <c r="BL723" s="19" t="s">
        <v>122</v>
      </c>
      <c r="BM723" s="19" t="s">
        <v>592</v>
      </c>
      <c r="BN723" s="21">
        <v>2.6869999999999998</v>
      </c>
      <c r="BO723" s="21">
        <v>103.9820634</v>
      </c>
      <c r="BQ723" s="2"/>
      <c r="BR723" s="2"/>
      <c r="BS723" s="2"/>
      <c r="BT723" s="2"/>
      <c r="BU723" s="22"/>
      <c r="BV723" s="2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</row>
    <row r="724" spans="1:95" x14ac:dyDescent="0.25">
      <c r="A724" s="18">
        <v>721</v>
      </c>
      <c r="B724" s="19" t="s">
        <v>11165</v>
      </c>
      <c r="C724" s="19" t="s">
        <v>11166</v>
      </c>
      <c r="D724" s="20">
        <v>45996</v>
      </c>
      <c r="E724" s="20">
        <v>23165</v>
      </c>
      <c r="F724" s="19"/>
      <c r="G724" s="19"/>
      <c r="H724" s="19" t="s">
        <v>94</v>
      </c>
      <c r="I724" s="19"/>
      <c r="J724" s="19"/>
      <c r="K724" s="19"/>
      <c r="L724" s="19" t="s">
        <v>140</v>
      </c>
      <c r="M724" s="19" t="s">
        <v>141</v>
      </c>
      <c r="N724" s="19" t="s">
        <v>11167</v>
      </c>
      <c r="O724" s="19" t="s">
        <v>100</v>
      </c>
      <c r="P724" s="19"/>
      <c r="Q724" s="19"/>
      <c r="R724" s="19"/>
      <c r="S724" s="19"/>
      <c r="T724" s="19"/>
      <c r="U724" s="19"/>
      <c r="V724" s="19"/>
      <c r="W724" s="19"/>
      <c r="X724" s="19"/>
      <c r="Y724" s="19" t="s">
        <v>101</v>
      </c>
      <c r="Z724" s="19" t="s">
        <v>102</v>
      </c>
      <c r="AA724" s="19" t="s">
        <v>103</v>
      </c>
      <c r="AB724" s="19" t="s">
        <v>984</v>
      </c>
      <c r="AC724" s="19" t="s">
        <v>985</v>
      </c>
      <c r="AD724" s="19" t="s">
        <v>11168</v>
      </c>
      <c r="AE724" s="19" t="s">
        <v>11169</v>
      </c>
      <c r="AF724" s="19" t="s">
        <v>11170</v>
      </c>
      <c r="AG724" s="19" t="s">
        <v>3869</v>
      </c>
      <c r="AH724" s="19" t="s">
        <v>327</v>
      </c>
      <c r="AI724" s="19" t="s">
        <v>111</v>
      </c>
      <c r="AJ724" s="19" t="s">
        <v>5893</v>
      </c>
      <c r="AK724" s="19"/>
      <c r="AL724" s="19"/>
      <c r="AM724" s="19" t="s">
        <v>11171</v>
      </c>
      <c r="AN724" s="19" t="s">
        <v>11172</v>
      </c>
      <c r="AO724" s="19" t="s">
        <v>11173</v>
      </c>
      <c r="AP724" s="19" t="s">
        <v>11174</v>
      </c>
      <c r="AQ724" s="19" t="s">
        <v>117</v>
      </c>
      <c r="AR724" s="19" t="s">
        <v>11175</v>
      </c>
      <c r="AS724" s="19" t="s">
        <v>11176</v>
      </c>
      <c r="AT724" s="19" t="s">
        <v>11177</v>
      </c>
      <c r="AU724" s="19" t="s">
        <v>11178</v>
      </c>
      <c r="AV724" s="19" t="s">
        <v>3869</v>
      </c>
      <c r="AW724" s="19" t="s">
        <v>5893</v>
      </c>
      <c r="AX724" s="19" t="s">
        <v>327</v>
      </c>
      <c r="AY724" s="19" t="s">
        <v>11179</v>
      </c>
      <c r="AZ724" s="19" t="s">
        <v>11180</v>
      </c>
      <c r="BA724" s="20">
        <v>39701</v>
      </c>
      <c r="BB724" s="19" t="s">
        <v>1144</v>
      </c>
      <c r="BC724" s="19" t="s">
        <v>11181</v>
      </c>
      <c r="BD724" s="19" t="s">
        <v>3869</v>
      </c>
      <c r="BE724" s="19" t="s">
        <v>130</v>
      </c>
      <c r="BF724" s="19" t="s">
        <v>11182</v>
      </c>
      <c r="BG724" s="19"/>
      <c r="BH724" s="19" t="s">
        <v>11183</v>
      </c>
      <c r="BI724" s="19" t="s">
        <v>11183</v>
      </c>
      <c r="BJ724" s="19" t="s">
        <v>194</v>
      </c>
      <c r="BK724" s="19" t="s">
        <v>591</v>
      </c>
      <c r="BL724" s="19" t="s">
        <v>122</v>
      </c>
      <c r="BM724" s="19" t="s">
        <v>592</v>
      </c>
      <c r="BN724" s="21">
        <v>68.989999999999995</v>
      </c>
      <c r="BO724" s="21">
        <v>5131.9039380000004</v>
      </c>
      <c r="BQ724" s="2"/>
      <c r="BR724" s="2"/>
      <c r="BS724" s="2"/>
      <c r="BT724" s="2"/>
      <c r="BU724" s="22"/>
      <c r="BV724" s="2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</row>
    <row r="725" spans="1:95" x14ac:dyDescent="0.25">
      <c r="A725" s="18">
        <v>722</v>
      </c>
      <c r="B725" s="19" t="s">
        <v>11184</v>
      </c>
      <c r="C725" s="19" t="s">
        <v>11185</v>
      </c>
      <c r="D725" s="20">
        <v>45996</v>
      </c>
      <c r="E725" s="20">
        <v>27369</v>
      </c>
      <c r="F725" s="19" t="s">
        <v>11186</v>
      </c>
      <c r="G725" s="19" t="s">
        <v>139</v>
      </c>
      <c r="H725" s="19" t="s">
        <v>94</v>
      </c>
      <c r="I725" s="19"/>
      <c r="J725" s="19"/>
      <c r="K725" s="19"/>
      <c r="L725" s="19" t="s">
        <v>101</v>
      </c>
      <c r="M725" s="19" t="s">
        <v>290</v>
      </c>
      <c r="N725" s="19" t="s">
        <v>11187</v>
      </c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 t="s">
        <v>101</v>
      </c>
      <c r="Z725" s="19" t="s">
        <v>102</v>
      </c>
      <c r="AA725" s="19" t="s">
        <v>103</v>
      </c>
      <c r="AB725" s="19" t="s">
        <v>173</v>
      </c>
      <c r="AC725" s="19" t="s">
        <v>174</v>
      </c>
      <c r="AD725" s="19" t="s">
        <v>11188</v>
      </c>
      <c r="AE725" s="19" t="s">
        <v>11189</v>
      </c>
      <c r="AF725" s="19" t="s">
        <v>11190</v>
      </c>
      <c r="AG725" s="19" t="s">
        <v>11191</v>
      </c>
      <c r="AH725" s="19" t="s">
        <v>757</v>
      </c>
      <c r="AI725" s="19" t="s">
        <v>111</v>
      </c>
      <c r="AJ725" s="19" t="s">
        <v>11192</v>
      </c>
      <c r="AK725" s="19"/>
      <c r="AL725" s="19"/>
      <c r="AM725" s="19" t="s">
        <v>11193</v>
      </c>
      <c r="AN725" s="19" t="s">
        <v>11194</v>
      </c>
      <c r="AO725" s="19" t="s">
        <v>476</v>
      </c>
      <c r="AP725" s="19" t="s">
        <v>477</v>
      </c>
      <c r="AQ725" s="19" t="s">
        <v>117</v>
      </c>
      <c r="AR725" s="19" t="s">
        <v>478</v>
      </c>
      <c r="AS725" s="19"/>
      <c r="AT725" s="19"/>
      <c r="AU725" s="19"/>
      <c r="AV725" s="19"/>
      <c r="AW725" s="19"/>
      <c r="AX725" s="19"/>
      <c r="AY725" s="19"/>
      <c r="AZ725" s="19"/>
      <c r="BA725" s="20">
        <v>44452</v>
      </c>
      <c r="BB725" s="19" t="s">
        <v>1144</v>
      </c>
      <c r="BC725" s="19" t="s">
        <v>11191</v>
      </c>
      <c r="BD725" s="19" t="s">
        <v>11191</v>
      </c>
      <c r="BE725" s="19" t="s">
        <v>130</v>
      </c>
      <c r="BF725" s="19" t="s">
        <v>11195</v>
      </c>
      <c r="BG725" s="19"/>
      <c r="BH725" s="19" t="s">
        <v>11196</v>
      </c>
      <c r="BI725" s="19" t="s">
        <v>11196</v>
      </c>
      <c r="BJ725" s="19" t="s">
        <v>166</v>
      </c>
      <c r="BK725" s="19" t="s">
        <v>167</v>
      </c>
      <c r="BL725" s="19" t="s">
        <v>168</v>
      </c>
      <c r="BM725" s="19" t="s">
        <v>169</v>
      </c>
      <c r="BN725" s="21">
        <v>690.54399999999998</v>
      </c>
      <c r="BO725" s="21">
        <v>24461.9687648</v>
      </c>
      <c r="BQ725" s="2"/>
      <c r="BR725" s="2"/>
      <c r="BS725" s="2"/>
      <c r="BT725" s="2"/>
      <c r="BU725" s="22"/>
      <c r="BV725" s="2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</row>
    <row r="726" spans="1:95" x14ac:dyDescent="0.25">
      <c r="A726" s="18">
        <v>723</v>
      </c>
      <c r="B726" s="19" t="s">
        <v>11197</v>
      </c>
      <c r="C726" s="19" t="s">
        <v>11198</v>
      </c>
      <c r="D726" s="20">
        <v>45994</v>
      </c>
      <c r="E726" s="20">
        <v>32996</v>
      </c>
      <c r="F726" s="19"/>
      <c r="G726" s="19"/>
      <c r="H726" s="19" t="s">
        <v>94</v>
      </c>
      <c r="I726" s="19"/>
      <c r="J726" s="19"/>
      <c r="K726" s="19"/>
      <c r="L726" s="19" t="s">
        <v>97</v>
      </c>
      <c r="M726" s="19" t="s">
        <v>98</v>
      </c>
      <c r="N726" s="19" t="s">
        <v>11199</v>
      </c>
      <c r="O726" s="19" t="s">
        <v>100</v>
      </c>
      <c r="P726" s="19"/>
      <c r="Q726" s="19"/>
      <c r="R726" s="19"/>
      <c r="S726" s="19"/>
      <c r="T726" s="19"/>
      <c r="U726" s="19"/>
      <c r="V726" s="19"/>
      <c r="W726" s="19"/>
      <c r="X726" s="19"/>
      <c r="Y726" s="19" t="s">
        <v>101</v>
      </c>
      <c r="Z726" s="19" t="s">
        <v>102</v>
      </c>
      <c r="AA726" s="19" t="s">
        <v>103</v>
      </c>
      <c r="AB726" s="19" t="s">
        <v>1940</v>
      </c>
      <c r="AC726" s="19" t="s">
        <v>1941</v>
      </c>
      <c r="AD726" s="19" t="s">
        <v>11200</v>
      </c>
      <c r="AE726" s="19" t="s">
        <v>11201</v>
      </c>
      <c r="AF726" s="19" t="s">
        <v>176</v>
      </c>
      <c r="AG726" s="19" t="s">
        <v>277</v>
      </c>
      <c r="AH726" s="19" t="s">
        <v>124</v>
      </c>
      <c r="AI726" s="19" t="s">
        <v>111</v>
      </c>
      <c r="AJ726" s="19" t="s">
        <v>10032</v>
      </c>
      <c r="AK726" s="19"/>
      <c r="AL726" s="19"/>
      <c r="AM726" s="19" t="s">
        <v>11202</v>
      </c>
      <c r="AN726" s="19" t="s">
        <v>11203</v>
      </c>
      <c r="AO726" s="19" t="s">
        <v>11204</v>
      </c>
      <c r="AP726" s="19" t="s">
        <v>11205</v>
      </c>
      <c r="AQ726" s="19" t="s">
        <v>117</v>
      </c>
      <c r="AR726" s="19" t="s">
        <v>11206</v>
      </c>
      <c r="AS726" s="19" t="s">
        <v>11207</v>
      </c>
      <c r="AT726" s="19" t="s">
        <v>11208</v>
      </c>
      <c r="AU726" s="19" t="s">
        <v>11209</v>
      </c>
      <c r="AV726" s="19" t="s">
        <v>11210</v>
      </c>
      <c r="AW726" s="19" t="s">
        <v>11211</v>
      </c>
      <c r="AX726" s="19" t="s">
        <v>1237</v>
      </c>
      <c r="AY726" s="19" t="s">
        <v>11212</v>
      </c>
      <c r="AZ726" s="19" t="s">
        <v>11213</v>
      </c>
      <c r="BA726" s="20">
        <v>42830</v>
      </c>
      <c r="BB726" s="19" t="s">
        <v>363</v>
      </c>
      <c r="BC726" s="19" t="s">
        <v>11214</v>
      </c>
      <c r="BD726" s="19" t="s">
        <v>11215</v>
      </c>
      <c r="BE726" s="19" t="s">
        <v>130</v>
      </c>
      <c r="BF726" s="19" t="s">
        <v>11216</v>
      </c>
      <c r="BG726" s="19" t="s">
        <v>11217</v>
      </c>
      <c r="BH726" s="19" t="s">
        <v>11218</v>
      </c>
      <c r="BI726" s="19" t="s">
        <v>11218</v>
      </c>
      <c r="BJ726" s="19" t="s">
        <v>166</v>
      </c>
      <c r="BK726" s="19" t="s">
        <v>591</v>
      </c>
      <c r="BL726" s="19" t="s">
        <v>122</v>
      </c>
      <c r="BM726" s="19" t="s">
        <v>592</v>
      </c>
      <c r="BN726" s="21">
        <v>0</v>
      </c>
      <c r="BO726" s="21">
        <v>0</v>
      </c>
      <c r="BQ726" s="2"/>
      <c r="BR726" s="2"/>
      <c r="BS726" s="2"/>
      <c r="BT726" s="2"/>
      <c r="BU726" s="22"/>
      <c r="BV726" s="2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</row>
    <row r="727" spans="1:95" x14ac:dyDescent="0.25">
      <c r="A727" s="18">
        <v>724</v>
      </c>
      <c r="B727" s="19" t="s">
        <v>11219</v>
      </c>
      <c r="C727" s="19" t="s">
        <v>11220</v>
      </c>
      <c r="D727" s="20">
        <v>46000</v>
      </c>
      <c r="E727" s="20">
        <v>24620</v>
      </c>
      <c r="F727" s="19"/>
      <c r="G727" s="19"/>
      <c r="H727" s="19" t="s">
        <v>94</v>
      </c>
      <c r="I727" s="19"/>
      <c r="J727" s="19"/>
      <c r="K727" s="19"/>
      <c r="L727" s="19" t="s">
        <v>2359</v>
      </c>
      <c r="M727" s="19" t="s">
        <v>2360</v>
      </c>
      <c r="N727" s="19" t="s">
        <v>11221</v>
      </c>
      <c r="O727" s="19" t="s">
        <v>100</v>
      </c>
      <c r="P727" s="19"/>
      <c r="Q727" s="19"/>
      <c r="R727" s="19"/>
      <c r="S727" s="19"/>
      <c r="T727" s="19"/>
      <c r="U727" s="19"/>
      <c r="V727" s="19"/>
      <c r="W727" s="19"/>
      <c r="X727" s="19"/>
      <c r="Y727" s="19" t="s">
        <v>101</v>
      </c>
      <c r="Z727" s="19" t="s">
        <v>102</v>
      </c>
      <c r="AA727" s="19" t="s">
        <v>103</v>
      </c>
      <c r="AB727" s="19" t="s">
        <v>402</v>
      </c>
      <c r="AC727" s="19" t="s">
        <v>403</v>
      </c>
      <c r="AD727" s="19" t="s">
        <v>11222</v>
      </c>
      <c r="AE727" s="19" t="s">
        <v>11223</v>
      </c>
      <c r="AF727" s="19" t="s">
        <v>11224</v>
      </c>
      <c r="AG727" s="19" t="s">
        <v>219</v>
      </c>
      <c r="AH727" s="19" t="s">
        <v>124</v>
      </c>
      <c r="AI727" s="19" t="s">
        <v>111</v>
      </c>
      <c r="AJ727" s="19" t="s">
        <v>11225</v>
      </c>
      <c r="AK727" s="19"/>
      <c r="AL727" s="19"/>
      <c r="AM727" s="19" t="s">
        <v>11226</v>
      </c>
      <c r="AN727" s="19" t="s">
        <v>11227</v>
      </c>
      <c r="AO727" s="19" t="s">
        <v>620</v>
      </c>
      <c r="AP727" s="19" t="s">
        <v>436</v>
      </c>
      <c r="AQ727" s="19" t="s">
        <v>94</v>
      </c>
      <c r="AR727" s="19" t="s">
        <v>437</v>
      </c>
      <c r="AS727" s="19" t="s">
        <v>438</v>
      </c>
      <c r="AT727" s="19" t="s">
        <v>439</v>
      </c>
      <c r="AU727" s="19" t="s">
        <v>440</v>
      </c>
      <c r="AV727" s="19" t="s">
        <v>148</v>
      </c>
      <c r="AW727" s="19" t="s">
        <v>441</v>
      </c>
      <c r="AX727" s="19" t="s">
        <v>149</v>
      </c>
      <c r="AY727" s="19" t="s">
        <v>442</v>
      </c>
      <c r="AZ727" s="19" t="s">
        <v>443</v>
      </c>
      <c r="BA727" s="20">
        <v>41415</v>
      </c>
      <c r="BB727" s="19" t="s">
        <v>8660</v>
      </c>
      <c r="BC727" s="19" t="s">
        <v>5689</v>
      </c>
      <c r="BD727" s="19" t="s">
        <v>219</v>
      </c>
      <c r="BE727" s="19" t="s">
        <v>130</v>
      </c>
      <c r="BF727" s="19" t="s">
        <v>11228</v>
      </c>
      <c r="BG727" s="19" t="s">
        <v>11229</v>
      </c>
      <c r="BH727" s="19" t="s">
        <v>11230</v>
      </c>
      <c r="BI727" s="19" t="s">
        <v>11230</v>
      </c>
      <c r="BJ727" s="19" t="s">
        <v>194</v>
      </c>
      <c r="BK727" s="19" t="s">
        <v>195</v>
      </c>
      <c r="BL727" s="19" t="s">
        <v>122</v>
      </c>
      <c r="BM727" s="19" t="s">
        <v>196</v>
      </c>
      <c r="BN727" s="21">
        <v>2.6850000000000001</v>
      </c>
      <c r="BO727" s="21">
        <v>5083.59105</v>
      </c>
      <c r="BQ727" s="2"/>
      <c r="BR727" s="2"/>
      <c r="BS727" s="2"/>
      <c r="BT727" s="2"/>
      <c r="BU727" s="22"/>
      <c r="BV727" s="2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</row>
    <row r="728" spans="1:95" x14ac:dyDescent="0.25">
      <c r="A728" s="18">
        <v>725</v>
      </c>
      <c r="B728" s="19" t="s">
        <v>11231</v>
      </c>
      <c r="C728" s="19" t="s">
        <v>11232</v>
      </c>
      <c r="D728" s="20">
        <v>45993</v>
      </c>
      <c r="E728" s="20">
        <v>33467</v>
      </c>
      <c r="F728" s="19" t="s">
        <v>11233</v>
      </c>
      <c r="G728" s="19" t="s">
        <v>139</v>
      </c>
      <c r="H728" s="19" t="s">
        <v>94</v>
      </c>
      <c r="I728" s="19"/>
      <c r="J728" s="19"/>
      <c r="K728" s="19"/>
      <c r="L728" s="19" t="s">
        <v>244</v>
      </c>
      <c r="M728" s="19" t="s">
        <v>245</v>
      </c>
      <c r="N728" s="19" t="s">
        <v>11234</v>
      </c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 t="s">
        <v>101</v>
      </c>
      <c r="Z728" s="19" t="s">
        <v>102</v>
      </c>
      <c r="AA728" s="19" t="s">
        <v>103</v>
      </c>
      <c r="AB728" s="19" t="s">
        <v>143</v>
      </c>
      <c r="AC728" s="19" t="s">
        <v>144</v>
      </c>
      <c r="AD728" s="19" t="s">
        <v>11235</v>
      </c>
      <c r="AE728" s="19" t="s">
        <v>11236</v>
      </c>
      <c r="AF728" s="19" t="s">
        <v>455</v>
      </c>
      <c r="AG728" s="19" t="s">
        <v>148</v>
      </c>
      <c r="AH728" s="19" t="s">
        <v>149</v>
      </c>
      <c r="AI728" s="19" t="s">
        <v>111</v>
      </c>
      <c r="AJ728" s="19" t="s">
        <v>11237</v>
      </c>
      <c r="AK728" s="19"/>
      <c r="AL728" s="19" t="s">
        <v>11238</v>
      </c>
      <c r="AM728" s="19" t="s">
        <v>11239</v>
      </c>
      <c r="AN728" s="19" t="s">
        <v>11240</v>
      </c>
      <c r="AO728" s="19" t="s">
        <v>154</v>
      </c>
      <c r="AP728" s="19" t="s">
        <v>155</v>
      </c>
      <c r="AQ728" s="19" t="s">
        <v>117</v>
      </c>
      <c r="AR728" s="19" t="s">
        <v>156</v>
      </c>
      <c r="AS728" s="19" t="s">
        <v>157</v>
      </c>
      <c r="AT728" s="19" t="s">
        <v>158</v>
      </c>
      <c r="AU728" s="19"/>
      <c r="AV728" s="19" t="s">
        <v>122</v>
      </c>
      <c r="AW728" s="19"/>
      <c r="AX728" s="19" t="s">
        <v>124</v>
      </c>
      <c r="AY728" s="19" t="s">
        <v>159</v>
      </c>
      <c r="AZ728" s="19" t="s">
        <v>160</v>
      </c>
      <c r="BA728" s="20">
        <v>44676</v>
      </c>
      <c r="BB728" s="19" t="s">
        <v>331</v>
      </c>
      <c r="BC728" s="19" t="s">
        <v>11241</v>
      </c>
      <c r="BD728" s="19" t="s">
        <v>148</v>
      </c>
      <c r="BE728" s="19" t="s">
        <v>130</v>
      </c>
      <c r="BF728" s="19" t="s">
        <v>11242</v>
      </c>
      <c r="BG728" s="19"/>
      <c r="BH728" s="19" t="s">
        <v>11243</v>
      </c>
      <c r="BI728" s="19" t="s">
        <v>11243</v>
      </c>
      <c r="BJ728" s="19" t="s">
        <v>166</v>
      </c>
      <c r="BK728" s="19" t="s">
        <v>167</v>
      </c>
      <c r="BL728" s="19" t="s">
        <v>168</v>
      </c>
      <c r="BM728" s="19" t="s">
        <v>169</v>
      </c>
      <c r="BN728" s="21">
        <v>2.661</v>
      </c>
      <c r="BO728" s="21">
        <v>101.35749</v>
      </c>
      <c r="BQ728" s="2"/>
      <c r="BR728" s="2"/>
      <c r="BS728" s="2"/>
      <c r="BT728" s="2"/>
      <c r="BU728" s="22"/>
      <c r="BV728" s="2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</row>
    <row r="729" spans="1:95" x14ac:dyDescent="0.25">
      <c r="A729" s="18">
        <v>726</v>
      </c>
      <c r="B729" s="19" t="s">
        <v>11244</v>
      </c>
      <c r="C729" s="19" t="s">
        <v>11245</v>
      </c>
      <c r="D729" s="20">
        <v>45993</v>
      </c>
      <c r="E729" s="20">
        <v>23684</v>
      </c>
      <c r="F729" s="19"/>
      <c r="G729" s="19"/>
      <c r="H729" s="19" t="s">
        <v>94</v>
      </c>
      <c r="I729" s="19"/>
      <c r="J729" s="19" t="s">
        <v>3080</v>
      </c>
      <c r="K729" s="19" t="s">
        <v>3081</v>
      </c>
      <c r="L729" s="19" t="s">
        <v>289</v>
      </c>
      <c r="M729" s="19" t="s">
        <v>290</v>
      </c>
      <c r="N729" s="19" t="s">
        <v>11246</v>
      </c>
      <c r="O729" s="19" t="s">
        <v>100</v>
      </c>
      <c r="P729" s="19"/>
      <c r="Q729" s="19"/>
      <c r="R729" s="19"/>
      <c r="S729" s="19" t="s">
        <v>11247</v>
      </c>
      <c r="T729" s="19" t="s">
        <v>11248</v>
      </c>
      <c r="U729" s="19" t="s">
        <v>100</v>
      </c>
      <c r="V729" s="19"/>
      <c r="W729" s="19"/>
      <c r="X729" s="19"/>
      <c r="Y729" s="19" t="s">
        <v>101</v>
      </c>
      <c r="Z729" s="19" t="s">
        <v>102</v>
      </c>
      <c r="AA729" s="19" t="s">
        <v>103</v>
      </c>
      <c r="AB729" s="19" t="s">
        <v>1940</v>
      </c>
      <c r="AC729" s="19" t="s">
        <v>1941</v>
      </c>
      <c r="AD729" s="19" t="s">
        <v>11249</v>
      </c>
      <c r="AE729" s="19" t="s">
        <v>11250</v>
      </c>
      <c r="AF729" s="19"/>
      <c r="AG729" s="19" t="s">
        <v>11251</v>
      </c>
      <c r="AH729" s="19" t="s">
        <v>110</v>
      </c>
      <c r="AI729" s="19" t="s">
        <v>111</v>
      </c>
      <c r="AJ729" s="19" t="s">
        <v>11252</v>
      </c>
      <c r="AK729" s="19"/>
      <c r="AL729" s="19"/>
      <c r="AM729" s="19" t="s">
        <v>11253</v>
      </c>
      <c r="AN729" s="19" t="s">
        <v>11254</v>
      </c>
      <c r="AO729" s="19" t="s">
        <v>11255</v>
      </c>
      <c r="AP729" s="19" t="s">
        <v>11256</v>
      </c>
      <c r="AQ729" s="19" t="s">
        <v>117</v>
      </c>
      <c r="AR729" s="19" t="s">
        <v>11257</v>
      </c>
      <c r="AS729" s="19" t="s">
        <v>11258</v>
      </c>
      <c r="AT729" s="19" t="s">
        <v>11259</v>
      </c>
      <c r="AU729" s="19"/>
      <c r="AV729" s="19" t="s">
        <v>3545</v>
      </c>
      <c r="AW729" s="19" t="s">
        <v>11260</v>
      </c>
      <c r="AX729" s="19" t="s">
        <v>110</v>
      </c>
      <c r="AY729" s="19" t="s">
        <v>11261</v>
      </c>
      <c r="AZ729" s="19" t="s">
        <v>11262</v>
      </c>
      <c r="BA729" s="20">
        <v>42548</v>
      </c>
      <c r="BB729" s="19" t="s">
        <v>127</v>
      </c>
      <c r="BC729" s="19" t="s">
        <v>11263</v>
      </c>
      <c r="BD729" s="19" t="s">
        <v>11264</v>
      </c>
      <c r="BE729" s="19" t="s">
        <v>7499</v>
      </c>
      <c r="BF729" s="19" t="s">
        <v>11265</v>
      </c>
      <c r="BG729" s="19" t="s">
        <v>11266</v>
      </c>
      <c r="BH729" s="19" t="s">
        <v>11267</v>
      </c>
      <c r="BI729" s="19" t="s">
        <v>11267</v>
      </c>
      <c r="BJ729" s="19" t="s">
        <v>133</v>
      </c>
      <c r="BK729" s="19" t="s">
        <v>3560</v>
      </c>
      <c r="BL729" s="19" t="s">
        <v>3553</v>
      </c>
      <c r="BM729" s="19" t="s">
        <v>135</v>
      </c>
      <c r="BN729" s="21">
        <v>1482.3889999999999</v>
      </c>
      <c r="BO729" s="21">
        <v>1002590.9713594</v>
      </c>
      <c r="BQ729" s="2"/>
      <c r="BR729" s="2"/>
      <c r="BS729" s="2"/>
      <c r="BT729" s="2"/>
      <c r="BU729" s="22"/>
      <c r="BV729" s="2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</row>
    <row r="730" spans="1:95" x14ac:dyDescent="0.25">
      <c r="A730" s="18">
        <v>727</v>
      </c>
      <c r="B730" s="19" t="s">
        <v>11268</v>
      </c>
      <c r="C730" s="19" t="s">
        <v>11269</v>
      </c>
      <c r="D730" s="20">
        <v>45996</v>
      </c>
      <c r="E730" s="20">
        <v>33796</v>
      </c>
      <c r="F730" s="19"/>
      <c r="G730" s="19"/>
      <c r="H730" s="19" t="s">
        <v>94</v>
      </c>
      <c r="I730" s="19"/>
      <c r="J730" s="19"/>
      <c r="K730" s="19"/>
      <c r="L730" s="19" t="s">
        <v>2080</v>
      </c>
      <c r="M730" s="19" t="s">
        <v>141</v>
      </c>
      <c r="N730" s="19" t="s">
        <v>11270</v>
      </c>
      <c r="O730" s="19" t="s">
        <v>100</v>
      </c>
      <c r="P730" s="19"/>
      <c r="Q730" s="19"/>
      <c r="R730" s="19"/>
      <c r="S730" s="19"/>
      <c r="T730" s="19"/>
      <c r="U730" s="19"/>
      <c r="V730" s="19"/>
      <c r="W730" s="19"/>
      <c r="X730" s="19"/>
      <c r="Y730" s="19" t="s">
        <v>101</v>
      </c>
      <c r="Z730" s="19" t="s">
        <v>102</v>
      </c>
      <c r="AA730" s="19" t="s">
        <v>103</v>
      </c>
      <c r="AB730" s="19" t="s">
        <v>612</v>
      </c>
      <c r="AC730" s="19" t="s">
        <v>613</v>
      </c>
      <c r="AD730" s="19" t="s">
        <v>11271</v>
      </c>
      <c r="AE730" s="19"/>
      <c r="AF730" s="19"/>
      <c r="AG730" s="19" t="s">
        <v>4714</v>
      </c>
      <c r="AH730" s="19" t="s">
        <v>327</v>
      </c>
      <c r="AI730" s="19" t="s">
        <v>111</v>
      </c>
      <c r="AJ730" s="19" t="s">
        <v>11272</v>
      </c>
      <c r="AK730" s="19"/>
      <c r="AL730" s="19"/>
      <c r="AM730" s="19" t="s">
        <v>11273</v>
      </c>
      <c r="AN730" s="19" t="s">
        <v>11274</v>
      </c>
      <c r="AO730" s="19" t="s">
        <v>2369</v>
      </c>
      <c r="AP730" s="19" t="s">
        <v>2370</v>
      </c>
      <c r="AQ730" s="19" t="s">
        <v>94</v>
      </c>
      <c r="AR730" s="19" t="s">
        <v>2371</v>
      </c>
      <c r="AS730" s="19" t="s">
        <v>2372</v>
      </c>
      <c r="AT730" s="19" t="s">
        <v>2373</v>
      </c>
      <c r="AU730" s="19" t="s">
        <v>2374</v>
      </c>
      <c r="AV730" s="19" t="s">
        <v>222</v>
      </c>
      <c r="AW730" s="19" t="s">
        <v>2375</v>
      </c>
      <c r="AX730" s="19" t="s">
        <v>515</v>
      </c>
      <c r="AY730" s="19" t="s">
        <v>2376</v>
      </c>
      <c r="AZ730" s="19" t="s">
        <v>2377</v>
      </c>
      <c r="BA730" s="20">
        <v>42262</v>
      </c>
      <c r="BB730" s="19" t="s">
        <v>2378</v>
      </c>
      <c r="BC730" s="19" t="s">
        <v>11275</v>
      </c>
      <c r="BD730" s="19" t="s">
        <v>11276</v>
      </c>
      <c r="BE730" s="19" t="s">
        <v>130</v>
      </c>
      <c r="BF730" s="19" t="s">
        <v>11277</v>
      </c>
      <c r="BG730" s="19"/>
      <c r="BH730" s="19" t="s">
        <v>11278</v>
      </c>
      <c r="BI730" s="19" t="s">
        <v>11278</v>
      </c>
      <c r="BJ730" s="19" t="s">
        <v>166</v>
      </c>
      <c r="BK730" s="19" t="s">
        <v>195</v>
      </c>
      <c r="BL730" s="19" t="s">
        <v>122</v>
      </c>
      <c r="BM730" s="19" t="s">
        <v>196</v>
      </c>
      <c r="BN730" s="21">
        <v>3.6459999999999999</v>
      </c>
      <c r="BO730" s="21">
        <v>1997.8986199999999</v>
      </c>
      <c r="BQ730" s="2"/>
      <c r="BR730" s="2"/>
      <c r="BS730" s="2"/>
      <c r="BT730" s="2"/>
      <c r="BU730" s="22"/>
      <c r="BV730" s="2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</row>
    <row r="731" spans="1:95" x14ac:dyDescent="0.25">
      <c r="A731" s="18">
        <v>728</v>
      </c>
      <c r="B731" s="19" t="s">
        <v>11279</v>
      </c>
      <c r="C731" s="19" t="s">
        <v>11280</v>
      </c>
      <c r="D731" s="20">
        <v>45993</v>
      </c>
      <c r="E731" s="20">
        <v>29068</v>
      </c>
      <c r="F731" s="19"/>
      <c r="G731" s="19"/>
      <c r="H731" s="19" t="s">
        <v>94</v>
      </c>
      <c r="I731" s="19"/>
      <c r="J731" s="19"/>
      <c r="K731" s="19"/>
      <c r="L731" s="19" t="s">
        <v>140</v>
      </c>
      <c r="M731" s="19" t="s">
        <v>141</v>
      </c>
      <c r="N731" s="19" t="s">
        <v>11281</v>
      </c>
      <c r="O731" s="19" t="s">
        <v>100</v>
      </c>
      <c r="P731" s="19"/>
      <c r="Q731" s="19"/>
      <c r="R731" s="19"/>
      <c r="S731" s="19"/>
      <c r="T731" s="19"/>
      <c r="U731" s="19"/>
      <c r="V731" s="19"/>
      <c r="W731" s="19"/>
      <c r="X731" s="19"/>
      <c r="Y731" s="19" t="s">
        <v>101</v>
      </c>
      <c r="Z731" s="19" t="s">
        <v>102</v>
      </c>
      <c r="AA731" s="19" t="s">
        <v>103</v>
      </c>
      <c r="AB731" s="19" t="s">
        <v>1025</v>
      </c>
      <c r="AC731" s="19" t="s">
        <v>1026</v>
      </c>
      <c r="AD731" s="19" t="s">
        <v>11282</v>
      </c>
      <c r="AE731" s="19" t="s">
        <v>11283</v>
      </c>
      <c r="AF731" s="19"/>
      <c r="AG731" s="19" t="s">
        <v>11284</v>
      </c>
      <c r="AH731" s="19" t="s">
        <v>3516</v>
      </c>
      <c r="AI731" s="19" t="s">
        <v>111</v>
      </c>
      <c r="AJ731" s="19" t="s">
        <v>11285</v>
      </c>
      <c r="AK731" s="19"/>
      <c r="AL731" s="19"/>
      <c r="AM731" s="19" t="s">
        <v>11286</v>
      </c>
      <c r="AN731" s="19" t="s">
        <v>11287</v>
      </c>
      <c r="AO731" s="19" t="s">
        <v>579</v>
      </c>
      <c r="AP731" s="19" t="s">
        <v>580</v>
      </c>
      <c r="AQ731" s="19" t="s">
        <v>117</v>
      </c>
      <c r="AR731" s="19" t="s">
        <v>581</v>
      </c>
      <c r="AS731" s="19" t="s">
        <v>582</v>
      </c>
      <c r="AT731" s="19" t="s">
        <v>583</v>
      </c>
      <c r="AU731" s="19" t="s">
        <v>584</v>
      </c>
      <c r="AV731" s="19" t="s">
        <v>168</v>
      </c>
      <c r="AW731" s="19" t="s">
        <v>585</v>
      </c>
      <c r="AX731" s="19" t="s">
        <v>262</v>
      </c>
      <c r="AY731" s="19" t="s">
        <v>586</v>
      </c>
      <c r="AZ731" s="19" t="s">
        <v>587</v>
      </c>
      <c r="BA731" s="20">
        <v>44494</v>
      </c>
      <c r="BB731" s="19" t="s">
        <v>236</v>
      </c>
      <c r="BC731" s="19" t="s">
        <v>11288</v>
      </c>
      <c r="BD731" s="19" t="s">
        <v>11288</v>
      </c>
      <c r="BE731" s="19" t="s">
        <v>130</v>
      </c>
      <c r="BF731" s="19" t="s">
        <v>11289</v>
      </c>
      <c r="BG731" s="19"/>
      <c r="BH731" s="19" t="s">
        <v>11290</v>
      </c>
      <c r="BI731" s="19" t="s">
        <v>11290</v>
      </c>
      <c r="BJ731" s="19" t="s">
        <v>194</v>
      </c>
      <c r="BK731" s="19" t="s">
        <v>591</v>
      </c>
      <c r="BL731" s="19" t="s">
        <v>122</v>
      </c>
      <c r="BM731" s="19" t="s">
        <v>592</v>
      </c>
      <c r="BN731" s="21">
        <v>37.036999999999999</v>
      </c>
      <c r="BO731" s="21">
        <v>1288.3246376</v>
      </c>
      <c r="BQ731" s="2"/>
      <c r="BR731" s="2"/>
      <c r="BS731" s="2"/>
      <c r="BT731" s="2"/>
      <c r="BU731" s="22"/>
      <c r="BV731" s="2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</row>
    <row r="732" spans="1:95" x14ac:dyDescent="0.25">
      <c r="A732" s="18">
        <v>729</v>
      </c>
      <c r="B732" s="19" t="s">
        <v>11291</v>
      </c>
      <c r="C732" s="19" t="s">
        <v>11292</v>
      </c>
      <c r="D732" s="20">
        <v>46002</v>
      </c>
      <c r="E732" s="20">
        <v>23107</v>
      </c>
      <c r="F732" s="19" t="s">
        <v>11293</v>
      </c>
      <c r="G732" s="19" t="s">
        <v>139</v>
      </c>
      <c r="H732" s="19" t="s">
        <v>94</v>
      </c>
      <c r="I732" s="19"/>
      <c r="J732" s="19"/>
      <c r="K732" s="19"/>
      <c r="L732" s="19" t="s">
        <v>244</v>
      </c>
      <c r="M732" s="19" t="s">
        <v>245</v>
      </c>
      <c r="N732" s="19" t="s">
        <v>11294</v>
      </c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 t="s">
        <v>101</v>
      </c>
      <c r="Z732" s="19" t="s">
        <v>102</v>
      </c>
      <c r="AA732" s="19" t="s">
        <v>103</v>
      </c>
      <c r="AB732" s="19" t="s">
        <v>5912</v>
      </c>
      <c r="AC732" s="19" t="s">
        <v>5913</v>
      </c>
      <c r="AD732" s="19" t="s">
        <v>11295</v>
      </c>
      <c r="AE732" s="19" t="s">
        <v>11296</v>
      </c>
      <c r="AF732" s="19" t="s">
        <v>11297</v>
      </c>
      <c r="AG732" s="19" t="s">
        <v>11298</v>
      </c>
      <c r="AH732" s="19" t="s">
        <v>1808</v>
      </c>
      <c r="AI732" s="19" t="s">
        <v>111</v>
      </c>
      <c r="AJ732" s="19" t="s">
        <v>8801</v>
      </c>
      <c r="AK732" s="19"/>
      <c r="AL732" s="19"/>
      <c r="AM732" s="19" t="s">
        <v>11299</v>
      </c>
      <c r="AN732" s="19" t="s">
        <v>11300</v>
      </c>
      <c r="AO732" s="19" t="s">
        <v>255</v>
      </c>
      <c r="AP732" s="19" t="s">
        <v>256</v>
      </c>
      <c r="AQ732" s="19" t="s">
        <v>117</v>
      </c>
      <c r="AR732" s="19" t="s">
        <v>257</v>
      </c>
      <c r="AS732" s="19" t="s">
        <v>258</v>
      </c>
      <c r="AT732" s="19" t="s">
        <v>259</v>
      </c>
      <c r="AU732" s="19" t="s">
        <v>260</v>
      </c>
      <c r="AV732" s="19" t="s">
        <v>260</v>
      </c>
      <c r="AW732" s="19" t="s">
        <v>261</v>
      </c>
      <c r="AX732" s="19" t="s">
        <v>262</v>
      </c>
      <c r="AY732" s="19" t="s">
        <v>263</v>
      </c>
      <c r="AZ732" s="19" t="s">
        <v>264</v>
      </c>
      <c r="BA732" s="20">
        <v>43627</v>
      </c>
      <c r="BB732" s="19" t="s">
        <v>331</v>
      </c>
      <c r="BC732" s="19" t="s">
        <v>11301</v>
      </c>
      <c r="BD732" s="19" t="s">
        <v>4254</v>
      </c>
      <c r="BE732" s="19" t="s">
        <v>130</v>
      </c>
      <c r="BF732" s="19" t="s">
        <v>11302</v>
      </c>
      <c r="BG732" s="19"/>
      <c r="BH732" s="19" t="s">
        <v>11303</v>
      </c>
      <c r="BI732" s="19" t="s">
        <v>11303</v>
      </c>
      <c r="BJ732" s="19" t="s">
        <v>166</v>
      </c>
      <c r="BK732" s="19" t="s">
        <v>167</v>
      </c>
      <c r="BL732" s="19" t="s">
        <v>168</v>
      </c>
      <c r="BM732" s="19" t="s">
        <v>169</v>
      </c>
      <c r="BN732" s="21">
        <v>3913.4839999999999</v>
      </c>
      <c r="BO732" s="21">
        <v>100320.205598</v>
      </c>
      <c r="BQ732" s="2"/>
      <c r="BR732" s="2"/>
      <c r="BS732" s="2"/>
      <c r="BT732" s="2"/>
      <c r="BU732" s="22"/>
      <c r="BV732" s="2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</row>
    <row r="733" spans="1:95" x14ac:dyDescent="0.25">
      <c r="A733" s="18">
        <v>730</v>
      </c>
      <c r="B733" s="19" t="s">
        <v>11304</v>
      </c>
      <c r="C733" s="19" t="s">
        <v>11305</v>
      </c>
      <c r="D733" s="20">
        <v>46002</v>
      </c>
      <c r="E733" s="20">
        <v>33056</v>
      </c>
      <c r="F733" s="19"/>
      <c r="G733" s="19"/>
      <c r="H733" s="19" t="s">
        <v>94</v>
      </c>
      <c r="I733" s="19"/>
      <c r="J733" s="19"/>
      <c r="K733" s="19"/>
      <c r="L733" s="19" t="s">
        <v>289</v>
      </c>
      <c r="M733" s="19" t="s">
        <v>290</v>
      </c>
      <c r="N733" s="19" t="s">
        <v>11306</v>
      </c>
      <c r="O733" s="19" t="s">
        <v>100</v>
      </c>
      <c r="P733" s="19"/>
      <c r="Q733" s="19"/>
      <c r="R733" s="19"/>
      <c r="S733" s="19"/>
      <c r="T733" s="19"/>
      <c r="U733" s="19"/>
      <c r="V733" s="19"/>
      <c r="W733" s="19"/>
      <c r="X733" s="19"/>
      <c r="Y733" s="19" t="s">
        <v>101</v>
      </c>
      <c r="Z733" s="19" t="s">
        <v>102</v>
      </c>
      <c r="AA733" s="19" t="s">
        <v>103</v>
      </c>
      <c r="AB733" s="19" t="s">
        <v>402</v>
      </c>
      <c r="AC733" s="19" t="s">
        <v>403</v>
      </c>
      <c r="AD733" s="19" t="s">
        <v>11307</v>
      </c>
      <c r="AE733" s="19" t="s">
        <v>11308</v>
      </c>
      <c r="AF733" s="19" t="s">
        <v>11309</v>
      </c>
      <c r="AG733" s="19" t="s">
        <v>11310</v>
      </c>
      <c r="AH733" s="19" t="s">
        <v>1226</v>
      </c>
      <c r="AI733" s="19" t="s">
        <v>111</v>
      </c>
      <c r="AJ733" s="19" t="s">
        <v>11311</v>
      </c>
      <c r="AK733" s="19" t="s">
        <v>1079</v>
      </c>
      <c r="AL733" s="19"/>
      <c r="AM733" s="19" t="s">
        <v>11312</v>
      </c>
      <c r="AN733" s="19"/>
      <c r="AO733" s="19" t="s">
        <v>11313</v>
      </c>
      <c r="AP733" s="19" t="s">
        <v>1207</v>
      </c>
      <c r="AQ733" s="19" t="s">
        <v>94</v>
      </c>
      <c r="AR733" s="19" t="s">
        <v>1208</v>
      </c>
      <c r="AS733" s="19" t="s">
        <v>1209</v>
      </c>
      <c r="AT733" s="19" t="s">
        <v>1210</v>
      </c>
      <c r="AU733" s="19" t="s">
        <v>1211</v>
      </c>
      <c r="AV733" s="19" t="s">
        <v>219</v>
      </c>
      <c r="AW733" s="19" t="s">
        <v>1212</v>
      </c>
      <c r="AX733" s="19" t="s">
        <v>124</v>
      </c>
      <c r="AY733" s="19" t="s">
        <v>1213</v>
      </c>
      <c r="AZ733" s="19" t="s">
        <v>1214</v>
      </c>
      <c r="BA733" s="20">
        <v>38694</v>
      </c>
      <c r="BB733" s="19" t="s">
        <v>11314</v>
      </c>
      <c r="BC733" s="19" t="s">
        <v>11315</v>
      </c>
      <c r="BD733" s="19" t="s">
        <v>11315</v>
      </c>
      <c r="BE733" s="19" t="s">
        <v>130</v>
      </c>
      <c r="BF733" s="19" t="s">
        <v>11316</v>
      </c>
      <c r="BG733" s="19"/>
      <c r="BH733" s="19" t="s">
        <v>7190</v>
      </c>
      <c r="BI733" s="19" t="s">
        <v>7190</v>
      </c>
      <c r="BJ733" s="19" t="s">
        <v>11317</v>
      </c>
      <c r="BK733" s="19" t="s">
        <v>195</v>
      </c>
      <c r="BL733" s="19" t="s">
        <v>122</v>
      </c>
      <c r="BM733" s="19" t="s">
        <v>196</v>
      </c>
      <c r="BN733" s="21">
        <v>1.341</v>
      </c>
      <c r="BO733" s="21">
        <v>2538.9555300000002</v>
      </c>
      <c r="BQ733" s="2"/>
      <c r="BR733" s="2"/>
      <c r="BS733" s="2"/>
      <c r="BT733" s="2"/>
      <c r="BU733" s="22"/>
      <c r="BV733" s="2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</row>
    <row r="734" spans="1:95" x14ac:dyDescent="0.25">
      <c r="A734" s="18">
        <v>731</v>
      </c>
      <c r="B734" s="19" t="s">
        <v>11318</v>
      </c>
      <c r="C734" s="19" t="s">
        <v>11319</v>
      </c>
      <c r="D734" s="20">
        <v>46003</v>
      </c>
      <c r="E734" s="20">
        <v>31181</v>
      </c>
      <c r="F734" s="19"/>
      <c r="G734" s="19"/>
      <c r="H734" s="19" t="s">
        <v>94</v>
      </c>
      <c r="I734" s="19"/>
      <c r="J734" s="19" t="s">
        <v>95</v>
      </c>
      <c r="K734" s="19" t="s">
        <v>96</v>
      </c>
      <c r="L734" s="19" t="s">
        <v>97</v>
      </c>
      <c r="M734" s="19" t="s">
        <v>98</v>
      </c>
      <c r="N734" s="19" t="s">
        <v>11320</v>
      </c>
      <c r="O734" s="19" t="s">
        <v>100</v>
      </c>
      <c r="P734" s="19"/>
      <c r="Q734" s="19"/>
      <c r="R734" s="19"/>
      <c r="S734" s="19"/>
      <c r="T734" s="19"/>
      <c r="U734" s="19"/>
      <c r="V734" s="19"/>
      <c r="W734" s="19"/>
      <c r="X734" s="19"/>
      <c r="Y734" s="19" t="s">
        <v>101</v>
      </c>
      <c r="Z734" s="19" t="s">
        <v>102</v>
      </c>
      <c r="AA734" s="19" t="s">
        <v>103</v>
      </c>
      <c r="AB734" s="19" t="s">
        <v>1940</v>
      </c>
      <c r="AC734" s="19" t="s">
        <v>1941</v>
      </c>
      <c r="AD734" s="19" t="s">
        <v>11321</v>
      </c>
      <c r="AE734" s="19" t="s">
        <v>11322</v>
      </c>
      <c r="AF734" s="19" t="s">
        <v>11323</v>
      </c>
      <c r="AG734" s="19" t="s">
        <v>3919</v>
      </c>
      <c r="AH734" s="19" t="s">
        <v>515</v>
      </c>
      <c r="AI734" s="19" t="s">
        <v>111</v>
      </c>
      <c r="AJ734" s="19" t="s">
        <v>9381</v>
      </c>
      <c r="AK734" s="19"/>
      <c r="AL734" s="19"/>
      <c r="AM734" s="19" t="s">
        <v>11324</v>
      </c>
      <c r="AN734" s="19" t="s">
        <v>11325</v>
      </c>
      <c r="AO734" s="19" t="s">
        <v>6959</v>
      </c>
      <c r="AP734" s="19" t="s">
        <v>6960</v>
      </c>
      <c r="AQ734" s="19" t="s">
        <v>117</v>
      </c>
      <c r="AR734" s="19" t="s">
        <v>6961</v>
      </c>
      <c r="AS734" s="19" t="s">
        <v>6962</v>
      </c>
      <c r="AT734" s="19" t="s">
        <v>6963</v>
      </c>
      <c r="AU734" s="19" t="s">
        <v>6964</v>
      </c>
      <c r="AV734" s="19" t="s">
        <v>122</v>
      </c>
      <c r="AW734" s="19" t="s">
        <v>123</v>
      </c>
      <c r="AX734" s="19" t="s">
        <v>124</v>
      </c>
      <c r="AY734" s="19" t="s">
        <v>6965</v>
      </c>
      <c r="AZ734" s="19" t="s">
        <v>6966</v>
      </c>
      <c r="BA734" s="20">
        <v>45098</v>
      </c>
      <c r="BB734" s="19" t="s">
        <v>4617</v>
      </c>
      <c r="BC734" s="19" t="s">
        <v>11326</v>
      </c>
      <c r="BD734" s="19" t="s">
        <v>3919</v>
      </c>
      <c r="BE734" s="19" t="s">
        <v>130</v>
      </c>
      <c r="BF734" s="19" t="s">
        <v>11327</v>
      </c>
      <c r="BG734" s="19" t="s">
        <v>11328</v>
      </c>
      <c r="BH734" s="19" t="s">
        <v>11329</v>
      </c>
      <c r="BI734" s="19" t="s">
        <v>11329</v>
      </c>
      <c r="BJ734" s="19" t="s">
        <v>166</v>
      </c>
      <c r="BK734" s="19" t="s">
        <v>7377</v>
      </c>
      <c r="BL734" s="19" t="s">
        <v>7378</v>
      </c>
      <c r="BM734" s="19" t="s">
        <v>169</v>
      </c>
      <c r="BN734" s="21">
        <v>312.58699999999999</v>
      </c>
      <c r="BO734" s="21">
        <v>211413.40361020001</v>
      </c>
      <c r="BQ734" s="2"/>
      <c r="BR734" s="2"/>
      <c r="BS734" s="2"/>
      <c r="BT734" s="2"/>
      <c r="BU734" s="22"/>
      <c r="BV734" s="2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</row>
    <row r="735" spans="1:95" x14ac:dyDescent="0.25">
      <c r="A735" s="18">
        <v>732</v>
      </c>
      <c r="B735" s="19" t="s">
        <v>11330</v>
      </c>
      <c r="C735" s="19" t="s">
        <v>11331</v>
      </c>
      <c r="D735" s="20">
        <v>46002</v>
      </c>
      <c r="E735" s="20">
        <v>30110</v>
      </c>
      <c r="F735" s="19" t="s">
        <v>11332</v>
      </c>
      <c r="G735" s="19" t="s">
        <v>139</v>
      </c>
      <c r="H735" s="19" t="s">
        <v>94</v>
      </c>
      <c r="I735" s="19"/>
      <c r="J735" s="19"/>
      <c r="K735" s="19"/>
      <c r="L735" s="19" t="s">
        <v>244</v>
      </c>
      <c r="M735" s="19" t="s">
        <v>245</v>
      </c>
      <c r="N735" s="19" t="s">
        <v>11333</v>
      </c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 t="s">
        <v>101</v>
      </c>
      <c r="Z735" s="19" t="s">
        <v>102</v>
      </c>
      <c r="AA735" s="19" t="s">
        <v>103</v>
      </c>
      <c r="AB735" s="19" t="s">
        <v>247</v>
      </c>
      <c r="AC735" s="19" t="s">
        <v>248</v>
      </c>
      <c r="AD735" s="19" t="s">
        <v>11334</v>
      </c>
      <c r="AE735" s="19" t="s">
        <v>11335</v>
      </c>
      <c r="AF735" s="19"/>
      <c r="AG735" s="19" t="s">
        <v>219</v>
      </c>
      <c r="AH735" s="19" t="s">
        <v>124</v>
      </c>
      <c r="AI735" s="19" t="s">
        <v>111</v>
      </c>
      <c r="AJ735" s="19" t="s">
        <v>6074</v>
      </c>
      <c r="AK735" s="19"/>
      <c r="AL735" s="19"/>
      <c r="AM735" s="19" t="s">
        <v>11336</v>
      </c>
      <c r="AN735" s="19" t="s">
        <v>11337</v>
      </c>
      <c r="AO735" s="19" t="s">
        <v>255</v>
      </c>
      <c r="AP735" s="19" t="s">
        <v>256</v>
      </c>
      <c r="AQ735" s="19" t="s">
        <v>117</v>
      </c>
      <c r="AR735" s="19" t="s">
        <v>257</v>
      </c>
      <c r="AS735" s="19" t="s">
        <v>258</v>
      </c>
      <c r="AT735" s="19" t="s">
        <v>259</v>
      </c>
      <c r="AU735" s="19" t="s">
        <v>260</v>
      </c>
      <c r="AV735" s="19" t="s">
        <v>260</v>
      </c>
      <c r="AW735" s="19" t="s">
        <v>261</v>
      </c>
      <c r="AX735" s="19" t="s">
        <v>262</v>
      </c>
      <c r="AY735" s="19" t="s">
        <v>263</v>
      </c>
      <c r="AZ735" s="19" t="s">
        <v>264</v>
      </c>
      <c r="BA735" s="20">
        <v>43627</v>
      </c>
      <c r="BB735" s="19" t="s">
        <v>444</v>
      </c>
      <c r="BC735" s="19" t="s">
        <v>11338</v>
      </c>
      <c r="BD735" s="19" t="s">
        <v>219</v>
      </c>
      <c r="BE735" s="19" t="s">
        <v>130</v>
      </c>
      <c r="BF735" s="19" t="s">
        <v>11339</v>
      </c>
      <c r="BG735" s="19"/>
      <c r="BH735" s="19" t="s">
        <v>11340</v>
      </c>
      <c r="BI735" s="19" t="s">
        <v>11340</v>
      </c>
      <c r="BJ735" s="19" t="s">
        <v>166</v>
      </c>
      <c r="BK735" s="19" t="s">
        <v>167</v>
      </c>
      <c r="BL735" s="19" t="s">
        <v>168</v>
      </c>
      <c r="BM735" s="19" t="s">
        <v>169</v>
      </c>
      <c r="BN735" s="21">
        <v>183.048</v>
      </c>
      <c r="BO735" s="21">
        <v>80268.817795199997</v>
      </c>
      <c r="BQ735" s="2"/>
      <c r="BR735" s="2"/>
      <c r="BS735" s="2"/>
      <c r="BT735" s="2"/>
      <c r="BU735" s="22"/>
      <c r="BV735" s="2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</row>
    <row r="736" spans="1:95" x14ac:dyDescent="0.25">
      <c r="A736" s="18">
        <v>733</v>
      </c>
      <c r="B736" s="19" t="s">
        <v>11341</v>
      </c>
      <c r="C736" s="19" t="s">
        <v>11342</v>
      </c>
      <c r="D736" s="20">
        <v>46003</v>
      </c>
      <c r="E736" s="20">
        <v>35830</v>
      </c>
      <c r="F736" s="19"/>
      <c r="G736" s="19"/>
      <c r="H736" s="19" t="s">
        <v>94</v>
      </c>
      <c r="I736" s="19"/>
      <c r="J736" s="19"/>
      <c r="K736" s="19"/>
      <c r="L736" s="19" t="s">
        <v>101</v>
      </c>
      <c r="M736" s="19" t="s">
        <v>290</v>
      </c>
      <c r="N736" s="19" t="s">
        <v>11343</v>
      </c>
      <c r="O736" s="19" t="s">
        <v>100</v>
      </c>
      <c r="P736" s="19"/>
      <c r="Q736" s="19"/>
      <c r="R736" s="19"/>
      <c r="S736" s="19"/>
      <c r="T736" s="19"/>
      <c r="U736" s="19"/>
      <c r="V736" s="19"/>
      <c r="W736" s="19"/>
      <c r="X736" s="19"/>
      <c r="Y736" s="19" t="s">
        <v>101</v>
      </c>
      <c r="Z736" s="19" t="s">
        <v>102</v>
      </c>
      <c r="AA736" s="19" t="s">
        <v>103</v>
      </c>
      <c r="AB736" s="19" t="s">
        <v>1347</v>
      </c>
      <c r="AC736" s="19" t="s">
        <v>1348</v>
      </c>
      <c r="AD736" s="19" t="s">
        <v>11344</v>
      </c>
      <c r="AE736" s="19" t="s">
        <v>11345</v>
      </c>
      <c r="AF736" s="19"/>
      <c r="AG736" s="19" t="s">
        <v>11346</v>
      </c>
      <c r="AH736" s="19" t="s">
        <v>231</v>
      </c>
      <c r="AI736" s="19" t="s">
        <v>111</v>
      </c>
      <c r="AJ736" s="19" t="s">
        <v>11347</v>
      </c>
      <c r="AK736" s="19"/>
      <c r="AL736" s="19"/>
      <c r="AM736" s="19" t="s">
        <v>11348</v>
      </c>
      <c r="AN736" s="19" t="s">
        <v>11349</v>
      </c>
      <c r="AO736" s="19" t="s">
        <v>11350</v>
      </c>
      <c r="AP736" s="19" t="s">
        <v>11351</v>
      </c>
      <c r="AQ736" s="19" t="s">
        <v>117</v>
      </c>
      <c r="AR736" s="19" t="s">
        <v>11352</v>
      </c>
      <c r="AS736" s="19" t="s">
        <v>11353</v>
      </c>
      <c r="AT736" s="19" t="s">
        <v>11354</v>
      </c>
      <c r="AU736" s="19"/>
      <c r="AV736" s="19" t="s">
        <v>109</v>
      </c>
      <c r="AW736" s="19" t="s">
        <v>11355</v>
      </c>
      <c r="AX736" s="19" t="s">
        <v>110</v>
      </c>
      <c r="AY736" s="19" t="s">
        <v>11356</v>
      </c>
      <c r="AZ736" s="19" t="s">
        <v>11357</v>
      </c>
      <c r="BA736" s="20">
        <v>44187</v>
      </c>
      <c r="BB736" s="19" t="s">
        <v>349</v>
      </c>
      <c r="BC736" s="19" t="s">
        <v>11358</v>
      </c>
      <c r="BD736" s="19" t="s">
        <v>129</v>
      </c>
      <c r="BE736" s="19" t="s">
        <v>130</v>
      </c>
      <c r="BF736" s="19" t="s">
        <v>11359</v>
      </c>
      <c r="BG736" s="19"/>
      <c r="BH736" s="19" t="s">
        <v>11360</v>
      </c>
      <c r="BI736" s="19" t="s">
        <v>11360</v>
      </c>
      <c r="BJ736" s="19" t="s">
        <v>194</v>
      </c>
      <c r="BK736" s="19" t="s">
        <v>591</v>
      </c>
      <c r="BL736" s="19" t="s">
        <v>122</v>
      </c>
      <c r="BM736" s="19" t="s">
        <v>592</v>
      </c>
      <c r="BN736" s="21">
        <v>458.27199999999999</v>
      </c>
      <c r="BO736" s="21">
        <v>4981.4166400000004</v>
      </c>
      <c r="BQ736" s="2"/>
      <c r="BR736" s="2"/>
      <c r="BS736" s="2"/>
      <c r="BT736" s="2"/>
      <c r="BU736" s="22"/>
      <c r="BV736" s="2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</row>
    <row r="737" spans="1:95" x14ac:dyDescent="0.25">
      <c r="A737" s="18">
        <v>734</v>
      </c>
      <c r="B737" s="19" t="s">
        <v>11361</v>
      </c>
      <c r="C737" s="19" t="s">
        <v>11362</v>
      </c>
      <c r="D737" s="20">
        <v>46003</v>
      </c>
      <c r="E737" s="20">
        <v>29393</v>
      </c>
      <c r="F737" s="19"/>
      <c r="G737" s="19"/>
      <c r="H737" s="19" t="s">
        <v>94</v>
      </c>
      <c r="I737" s="19"/>
      <c r="J737" s="19"/>
      <c r="K737" s="19"/>
      <c r="L737" s="19" t="s">
        <v>244</v>
      </c>
      <c r="M737" s="19" t="s">
        <v>245</v>
      </c>
      <c r="N737" s="19" t="s">
        <v>11363</v>
      </c>
      <c r="O737" s="19" t="s">
        <v>100</v>
      </c>
      <c r="P737" s="19"/>
      <c r="Q737" s="19"/>
      <c r="R737" s="19"/>
      <c r="S737" s="19"/>
      <c r="T737" s="19"/>
      <c r="U737" s="19"/>
      <c r="V737" s="19"/>
      <c r="W737" s="19"/>
      <c r="X737" s="19"/>
      <c r="Y737" s="19" t="s">
        <v>101</v>
      </c>
      <c r="Z737" s="19" t="s">
        <v>102</v>
      </c>
      <c r="AA737" s="19" t="s">
        <v>103</v>
      </c>
      <c r="AB737" s="19" t="s">
        <v>612</v>
      </c>
      <c r="AC737" s="19" t="s">
        <v>613</v>
      </c>
      <c r="AD737" s="19" t="s">
        <v>11364</v>
      </c>
      <c r="AE737" s="19" t="s">
        <v>11365</v>
      </c>
      <c r="AF737" s="19"/>
      <c r="AG737" s="19" t="s">
        <v>536</v>
      </c>
      <c r="AH737" s="19" t="s">
        <v>262</v>
      </c>
      <c r="AI737" s="19" t="s">
        <v>111</v>
      </c>
      <c r="AJ737" s="19" t="s">
        <v>11366</v>
      </c>
      <c r="AK737" s="19"/>
      <c r="AL737" s="19"/>
      <c r="AM737" s="19" t="s">
        <v>11367</v>
      </c>
      <c r="AN737" s="19" t="s">
        <v>11368</v>
      </c>
      <c r="AO737" s="19" t="s">
        <v>2307</v>
      </c>
      <c r="AP737" s="19" t="s">
        <v>2308</v>
      </c>
      <c r="AQ737" s="19" t="s">
        <v>94</v>
      </c>
      <c r="AR737" s="19" t="s">
        <v>2309</v>
      </c>
      <c r="AS737" s="19" t="s">
        <v>2310</v>
      </c>
      <c r="AT737" s="19" t="s">
        <v>2311</v>
      </c>
      <c r="AU737" s="19" t="s">
        <v>2312</v>
      </c>
      <c r="AV737" s="19" t="s">
        <v>122</v>
      </c>
      <c r="AW737" s="19" t="s">
        <v>2313</v>
      </c>
      <c r="AX737" s="19" t="s">
        <v>901</v>
      </c>
      <c r="AY737" s="19" t="s">
        <v>2314</v>
      </c>
      <c r="AZ737" s="19" t="s">
        <v>2315</v>
      </c>
      <c r="BA737" s="20">
        <v>43194</v>
      </c>
      <c r="BB737" s="19" t="s">
        <v>2308</v>
      </c>
      <c r="BC737" s="19" t="s">
        <v>6397</v>
      </c>
      <c r="BD737" s="19" t="s">
        <v>260</v>
      </c>
      <c r="BE737" s="19" t="s">
        <v>130</v>
      </c>
      <c r="BF737" s="19" t="s">
        <v>11369</v>
      </c>
      <c r="BG737" s="19"/>
      <c r="BH737" s="19" t="s">
        <v>2319</v>
      </c>
      <c r="BI737" s="19" t="s">
        <v>2319</v>
      </c>
      <c r="BJ737" s="19" t="s">
        <v>166</v>
      </c>
      <c r="BK737" s="19" t="s">
        <v>195</v>
      </c>
      <c r="BL737" s="19" t="s">
        <v>122</v>
      </c>
      <c r="BM737" s="19" t="s">
        <v>196</v>
      </c>
      <c r="BN737" s="21">
        <v>13.084</v>
      </c>
      <c r="BO737" s="21">
        <v>7169.6394799999998</v>
      </c>
      <c r="BQ737" s="2"/>
      <c r="BR737" s="2"/>
      <c r="BS737" s="2"/>
      <c r="BT737" s="2"/>
      <c r="BU737" s="22"/>
      <c r="BV737" s="2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</row>
    <row r="738" spans="1:95" x14ac:dyDescent="0.25">
      <c r="A738" s="18">
        <v>735</v>
      </c>
      <c r="B738" s="19" t="s">
        <v>11370</v>
      </c>
      <c r="C738" s="19" t="s">
        <v>11371</v>
      </c>
      <c r="D738" s="20">
        <v>46003</v>
      </c>
      <c r="E738" s="20"/>
      <c r="F738" s="19" t="s">
        <v>11372</v>
      </c>
      <c r="G738" s="19" t="s">
        <v>139</v>
      </c>
      <c r="H738" s="19" t="s">
        <v>94</v>
      </c>
      <c r="I738" s="19"/>
      <c r="J738" s="19"/>
      <c r="K738" s="19"/>
      <c r="L738" s="19"/>
      <c r="M738" s="19"/>
      <c r="N738" s="19" t="s">
        <v>11373</v>
      </c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 t="s">
        <v>101</v>
      </c>
      <c r="Z738" s="19" t="s">
        <v>102</v>
      </c>
      <c r="AA738" s="19" t="s">
        <v>103</v>
      </c>
      <c r="AB738" s="19" t="s">
        <v>1622</v>
      </c>
      <c r="AC738" s="19" t="s">
        <v>1623</v>
      </c>
      <c r="AD738" s="19" t="s">
        <v>11374</v>
      </c>
      <c r="AE738" s="19" t="s">
        <v>11375</v>
      </c>
      <c r="AF738" s="19" t="s">
        <v>11376</v>
      </c>
      <c r="AG738" s="19" t="s">
        <v>219</v>
      </c>
      <c r="AH738" s="19"/>
      <c r="AI738" s="19"/>
      <c r="AJ738" s="19" t="s">
        <v>7480</v>
      </c>
      <c r="AK738" s="19"/>
      <c r="AL738" s="19"/>
      <c r="AM738" s="19"/>
      <c r="AN738" s="19"/>
      <c r="AO738" s="19" t="s">
        <v>208</v>
      </c>
      <c r="AP738" s="19" t="s">
        <v>209</v>
      </c>
      <c r="AQ738" s="19" t="s">
        <v>117</v>
      </c>
      <c r="AR738" s="19" t="s">
        <v>210</v>
      </c>
      <c r="AS738" s="19" t="s">
        <v>211</v>
      </c>
      <c r="AT738" s="19" t="s">
        <v>212</v>
      </c>
      <c r="AU738" s="19" t="s">
        <v>213</v>
      </c>
      <c r="AV738" s="19" t="s">
        <v>214</v>
      </c>
      <c r="AW738" s="19" t="s">
        <v>215</v>
      </c>
      <c r="AX738" s="19" t="s">
        <v>149</v>
      </c>
      <c r="AY738" s="19" t="s">
        <v>216</v>
      </c>
      <c r="AZ738" s="19" t="s">
        <v>217</v>
      </c>
      <c r="BA738" s="20">
        <v>35521</v>
      </c>
      <c r="BB738" s="19" t="s">
        <v>363</v>
      </c>
      <c r="BC738" s="19"/>
      <c r="BD738" s="19" t="s">
        <v>219</v>
      </c>
      <c r="BE738" s="19"/>
      <c r="BF738" s="19" t="s">
        <v>11377</v>
      </c>
      <c r="BG738" s="19"/>
      <c r="BH738" s="19"/>
      <c r="BI738" s="19"/>
      <c r="BJ738" s="19" t="s">
        <v>166</v>
      </c>
      <c r="BK738" s="19" t="s">
        <v>221</v>
      </c>
      <c r="BL738" s="19" t="s">
        <v>222</v>
      </c>
      <c r="BM738" s="19" t="s">
        <v>169</v>
      </c>
      <c r="BN738" s="21">
        <v>26.625</v>
      </c>
      <c r="BO738" s="21">
        <v>24358.41375</v>
      </c>
      <c r="BQ738" s="2"/>
      <c r="BR738" s="2"/>
      <c r="BS738" s="2"/>
      <c r="BT738" s="2"/>
      <c r="BU738" s="22"/>
      <c r="BV738" s="2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</row>
    <row r="739" spans="1:95" x14ac:dyDescent="0.25">
      <c r="A739" s="18">
        <v>736</v>
      </c>
      <c r="B739" s="19" t="s">
        <v>11378</v>
      </c>
      <c r="C739" s="19" t="s">
        <v>11379</v>
      </c>
      <c r="D739" s="20">
        <v>46003</v>
      </c>
      <c r="E739" s="20">
        <v>45506</v>
      </c>
      <c r="F739" s="19"/>
      <c r="G739" s="19"/>
      <c r="H739" s="19" t="s">
        <v>94</v>
      </c>
      <c r="I739" s="19"/>
      <c r="J739" s="19"/>
      <c r="K739" s="19"/>
      <c r="L739" s="19"/>
      <c r="M739" s="19"/>
      <c r="N739" s="19" t="s">
        <v>11380</v>
      </c>
      <c r="O739" s="19" t="s">
        <v>100</v>
      </c>
      <c r="P739" s="19"/>
      <c r="Q739" s="19"/>
      <c r="R739" s="19"/>
      <c r="S739" s="19"/>
      <c r="T739" s="19"/>
      <c r="U739" s="19"/>
      <c r="V739" s="19"/>
      <c r="W739" s="19"/>
      <c r="X739" s="19"/>
      <c r="Y739" s="19" t="s">
        <v>467</v>
      </c>
      <c r="Z739" s="19" t="s">
        <v>2237</v>
      </c>
      <c r="AA739" s="19" t="s">
        <v>103</v>
      </c>
      <c r="AB739" s="19" t="s">
        <v>1372</v>
      </c>
      <c r="AC739" s="19" t="s">
        <v>1373</v>
      </c>
      <c r="AD739" s="19" t="s">
        <v>11381</v>
      </c>
      <c r="AE739" s="19" t="s">
        <v>11382</v>
      </c>
      <c r="AF739" s="19" t="s">
        <v>11383</v>
      </c>
      <c r="AG739" s="19" t="s">
        <v>277</v>
      </c>
      <c r="AH739" s="19" t="s">
        <v>124</v>
      </c>
      <c r="AI739" s="19" t="s">
        <v>111</v>
      </c>
      <c r="AJ739" s="19" t="s">
        <v>11384</v>
      </c>
      <c r="AK739" s="19" t="s">
        <v>11385</v>
      </c>
      <c r="AL739" s="19" t="s">
        <v>11386</v>
      </c>
      <c r="AM739" s="19" t="s">
        <v>11387</v>
      </c>
      <c r="AN739" s="19" t="s">
        <v>11388</v>
      </c>
      <c r="AO739" s="19" t="s">
        <v>11389</v>
      </c>
      <c r="AP739" s="19" t="s">
        <v>11390</v>
      </c>
      <c r="AQ739" s="19" t="s">
        <v>117</v>
      </c>
      <c r="AR739" s="19" t="s">
        <v>11391</v>
      </c>
      <c r="AS739" s="19" t="s">
        <v>11392</v>
      </c>
      <c r="AT739" s="19" t="s">
        <v>11393</v>
      </c>
      <c r="AU739" s="19"/>
      <c r="AV739" s="19" t="s">
        <v>277</v>
      </c>
      <c r="AW739" s="19" t="s">
        <v>3323</v>
      </c>
      <c r="AX739" s="19" t="s">
        <v>124</v>
      </c>
      <c r="AY739" s="19" t="s">
        <v>11394</v>
      </c>
      <c r="AZ739" s="19" t="s">
        <v>11395</v>
      </c>
      <c r="BA739" s="20">
        <v>45435</v>
      </c>
      <c r="BB739" s="19" t="s">
        <v>11396</v>
      </c>
      <c r="BC739" s="19" t="s">
        <v>11397</v>
      </c>
      <c r="BD739" s="19" t="s">
        <v>11398</v>
      </c>
      <c r="BE739" s="19" t="s">
        <v>130</v>
      </c>
      <c r="BF739" s="19" t="s">
        <v>11399</v>
      </c>
      <c r="BG739" s="19" t="s">
        <v>11400</v>
      </c>
      <c r="BH739" s="19" t="s">
        <v>11401</v>
      </c>
      <c r="BI739" s="19" t="s">
        <v>11401</v>
      </c>
      <c r="BJ739" s="19" t="s">
        <v>166</v>
      </c>
      <c r="BK739" s="19" t="s">
        <v>2444</v>
      </c>
      <c r="BL739" s="19" t="s">
        <v>2445</v>
      </c>
      <c r="BM739" s="19" t="s">
        <v>592</v>
      </c>
      <c r="BN739" s="21">
        <v>130.666</v>
      </c>
      <c r="BO739" s="21">
        <v>5056.5390011999998</v>
      </c>
      <c r="BQ739" s="2"/>
      <c r="BR739" s="2"/>
      <c r="BS739" s="2"/>
      <c r="BT739" s="2"/>
      <c r="BU739" s="22"/>
      <c r="BV739" s="2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</row>
    <row r="740" spans="1:95" x14ac:dyDescent="0.25">
      <c r="A740" s="18">
        <v>737</v>
      </c>
      <c r="B740" s="19" t="s">
        <v>11402</v>
      </c>
      <c r="C740" s="19" t="s">
        <v>11403</v>
      </c>
      <c r="D740" s="20">
        <v>46006</v>
      </c>
      <c r="E740" s="20">
        <v>35764</v>
      </c>
      <c r="F740" s="19" t="s">
        <v>11404</v>
      </c>
      <c r="G740" s="19" t="s">
        <v>139</v>
      </c>
      <c r="H740" s="19" t="s">
        <v>94</v>
      </c>
      <c r="I740" s="19"/>
      <c r="J740" s="19"/>
      <c r="K740" s="19"/>
      <c r="L740" s="19" t="s">
        <v>244</v>
      </c>
      <c r="M740" s="19" t="s">
        <v>245</v>
      </c>
      <c r="N740" s="19" t="s">
        <v>11405</v>
      </c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 t="s">
        <v>101</v>
      </c>
      <c r="Z740" s="19" t="s">
        <v>102</v>
      </c>
      <c r="AA740" s="19" t="s">
        <v>103</v>
      </c>
      <c r="AB740" s="19" t="s">
        <v>143</v>
      </c>
      <c r="AC740" s="19" t="s">
        <v>144</v>
      </c>
      <c r="AD740" s="19" t="s">
        <v>11406</v>
      </c>
      <c r="AE740" s="19"/>
      <c r="AF740" s="19"/>
      <c r="AG740" s="19" t="s">
        <v>11407</v>
      </c>
      <c r="AH740" s="19" t="s">
        <v>124</v>
      </c>
      <c r="AI740" s="19" t="s">
        <v>111</v>
      </c>
      <c r="AJ740" s="19" t="s">
        <v>11408</v>
      </c>
      <c r="AK740" s="19"/>
      <c r="AL740" s="19" t="s">
        <v>11409</v>
      </c>
      <c r="AM740" s="19" t="s">
        <v>11410</v>
      </c>
      <c r="AN740" s="19" t="s">
        <v>11411</v>
      </c>
      <c r="AO740" s="19" t="s">
        <v>154</v>
      </c>
      <c r="AP740" s="19" t="s">
        <v>155</v>
      </c>
      <c r="AQ740" s="19" t="s">
        <v>117</v>
      </c>
      <c r="AR740" s="19" t="s">
        <v>156</v>
      </c>
      <c r="AS740" s="19" t="s">
        <v>157</v>
      </c>
      <c r="AT740" s="19" t="s">
        <v>158</v>
      </c>
      <c r="AU740" s="19"/>
      <c r="AV740" s="19" t="s">
        <v>122</v>
      </c>
      <c r="AW740" s="19"/>
      <c r="AX740" s="19" t="s">
        <v>124</v>
      </c>
      <c r="AY740" s="19" t="s">
        <v>159</v>
      </c>
      <c r="AZ740" s="19" t="s">
        <v>160</v>
      </c>
      <c r="BA740" s="20">
        <v>44676</v>
      </c>
      <c r="BB740" s="19" t="s">
        <v>1144</v>
      </c>
      <c r="BC740" s="19" t="s">
        <v>927</v>
      </c>
      <c r="BD740" s="19" t="s">
        <v>927</v>
      </c>
      <c r="BE740" s="19" t="s">
        <v>130</v>
      </c>
      <c r="BF740" s="19" t="s">
        <v>11412</v>
      </c>
      <c r="BG740" s="19"/>
      <c r="BH740" s="19" t="s">
        <v>11413</v>
      </c>
      <c r="BI740" s="19" t="s">
        <v>11413</v>
      </c>
      <c r="BJ740" s="19" t="s">
        <v>166</v>
      </c>
      <c r="BK740" s="19" t="s">
        <v>167</v>
      </c>
      <c r="BL740" s="19" t="s">
        <v>168</v>
      </c>
      <c r="BM740" s="19" t="s">
        <v>169</v>
      </c>
      <c r="BN740" s="21">
        <v>26.946000000000002</v>
      </c>
      <c r="BO740" s="21">
        <v>1026.3731399999999</v>
      </c>
      <c r="BQ740" s="2"/>
      <c r="BR740" s="2"/>
      <c r="BS740" s="2"/>
      <c r="BT740" s="2"/>
      <c r="BU740" s="22"/>
      <c r="BV740" s="2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</row>
    <row r="741" spans="1:95" x14ac:dyDescent="0.25">
      <c r="A741" s="18">
        <v>738</v>
      </c>
      <c r="B741" s="19" t="s">
        <v>11414</v>
      </c>
      <c r="C741" s="19" t="s">
        <v>11415</v>
      </c>
      <c r="D741" s="20">
        <v>46002</v>
      </c>
      <c r="E741" s="20">
        <v>32987</v>
      </c>
      <c r="F741" s="19"/>
      <c r="G741" s="19"/>
      <c r="H741" s="19" t="s">
        <v>94</v>
      </c>
      <c r="I741" s="19"/>
      <c r="J741" s="19"/>
      <c r="K741" s="19"/>
      <c r="L741" s="19" t="s">
        <v>140</v>
      </c>
      <c r="M741" s="19" t="s">
        <v>141</v>
      </c>
      <c r="N741" s="19" t="s">
        <v>11416</v>
      </c>
      <c r="O741" s="19" t="s">
        <v>100</v>
      </c>
      <c r="P741" s="19"/>
      <c r="Q741" s="19"/>
      <c r="R741" s="19"/>
      <c r="S741" s="19"/>
      <c r="T741" s="19"/>
      <c r="U741" s="19"/>
      <c r="V741" s="19"/>
      <c r="W741" s="19"/>
      <c r="X741" s="19"/>
      <c r="Y741" s="19" t="s">
        <v>101</v>
      </c>
      <c r="Z741" s="19" t="s">
        <v>102</v>
      </c>
      <c r="AA741" s="19" t="s">
        <v>103</v>
      </c>
      <c r="AB741" s="19" t="s">
        <v>984</v>
      </c>
      <c r="AC741" s="19" t="s">
        <v>985</v>
      </c>
      <c r="AD741" s="19" t="s">
        <v>11417</v>
      </c>
      <c r="AE741" s="19"/>
      <c r="AF741" s="19"/>
      <c r="AG741" s="19" t="s">
        <v>11418</v>
      </c>
      <c r="AH741" s="19" t="s">
        <v>110</v>
      </c>
      <c r="AI741" s="19" t="s">
        <v>111</v>
      </c>
      <c r="AJ741" s="19" t="s">
        <v>11419</v>
      </c>
      <c r="AK741" s="19"/>
      <c r="AL741" s="19"/>
      <c r="AM741" s="19" t="s">
        <v>11420</v>
      </c>
      <c r="AN741" s="19" t="s">
        <v>11421</v>
      </c>
      <c r="AO741" s="19" t="s">
        <v>11422</v>
      </c>
      <c r="AP741" s="19" t="s">
        <v>11423</v>
      </c>
      <c r="AQ741" s="19" t="s">
        <v>117</v>
      </c>
      <c r="AR741" s="19" t="s">
        <v>11424</v>
      </c>
      <c r="AS741" s="19" t="s">
        <v>11425</v>
      </c>
      <c r="AT741" s="19" t="s">
        <v>11426</v>
      </c>
      <c r="AU741" s="19" t="s">
        <v>11427</v>
      </c>
      <c r="AV741" s="19" t="s">
        <v>11428</v>
      </c>
      <c r="AW741" s="19" t="s">
        <v>11419</v>
      </c>
      <c r="AX741" s="19" t="s">
        <v>110</v>
      </c>
      <c r="AY741" s="19" t="s">
        <v>11429</v>
      </c>
      <c r="AZ741" s="19" t="s">
        <v>11430</v>
      </c>
      <c r="BA741" s="20">
        <v>42920</v>
      </c>
      <c r="BB741" s="19" t="s">
        <v>363</v>
      </c>
      <c r="BC741" s="19" t="s">
        <v>11428</v>
      </c>
      <c r="BD741" s="19" t="s">
        <v>11428</v>
      </c>
      <c r="BE741" s="19" t="s">
        <v>130</v>
      </c>
      <c r="BF741" s="19" t="s">
        <v>11431</v>
      </c>
      <c r="BG741" s="19"/>
      <c r="BH741" s="19" t="s">
        <v>11432</v>
      </c>
      <c r="BI741" s="19" t="s">
        <v>11432</v>
      </c>
      <c r="BJ741" s="19" t="s">
        <v>1259</v>
      </c>
      <c r="BK741" s="19" t="s">
        <v>221</v>
      </c>
      <c r="BL741" s="19" t="s">
        <v>222</v>
      </c>
      <c r="BM741" s="19" t="s">
        <v>169</v>
      </c>
      <c r="BN741" s="21">
        <v>80.837999999999994</v>
      </c>
      <c r="BO741" s="21">
        <v>6013.2316356000001</v>
      </c>
      <c r="BQ741" s="2"/>
      <c r="BR741" s="2"/>
      <c r="BS741" s="2"/>
      <c r="BT741" s="2"/>
      <c r="BU741" s="22"/>
      <c r="BV741" s="2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</row>
    <row r="742" spans="1:95" x14ac:dyDescent="0.25">
      <c r="A742" s="18">
        <v>739</v>
      </c>
      <c r="B742" s="19" t="s">
        <v>11433</v>
      </c>
      <c r="C742" s="19" t="s">
        <v>11434</v>
      </c>
      <c r="D742" s="20">
        <v>46006</v>
      </c>
      <c r="E742" s="20">
        <v>30037</v>
      </c>
      <c r="F742" s="19"/>
      <c r="G742" s="19"/>
      <c r="H742" s="19" t="s">
        <v>94</v>
      </c>
      <c r="I742" s="19"/>
      <c r="J742" s="19"/>
      <c r="K742" s="19"/>
      <c r="L742" s="19" t="s">
        <v>97</v>
      </c>
      <c r="M742" s="19" t="s">
        <v>98</v>
      </c>
      <c r="N742" s="19" t="s">
        <v>11435</v>
      </c>
      <c r="O742" s="19" t="s">
        <v>100</v>
      </c>
      <c r="P742" s="19"/>
      <c r="Q742" s="19"/>
      <c r="R742" s="19"/>
      <c r="S742" s="19"/>
      <c r="T742" s="19"/>
      <c r="U742" s="19"/>
      <c r="V742" s="19"/>
      <c r="W742" s="19"/>
      <c r="X742" s="19"/>
      <c r="Y742" s="19" t="s">
        <v>101</v>
      </c>
      <c r="Z742" s="19" t="s">
        <v>102</v>
      </c>
      <c r="AA742" s="19" t="s">
        <v>103</v>
      </c>
      <c r="AB742" s="19" t="s">
        <v>11436</v>
      </c>
      <c r="AC742" s="19" t="s">
        <v>11437</v>
      </c>
      <c r="AD742" s="19" t="s">
        <v>11438</v>
      </c>
      <c r="AE742" s="19" t="s">
        <v>11439</v>
      </c>
      <c r="AF742" s="19" t="s">
        <v>11440</v>
      </c>
      <c r="AG742" s="19" t="s">
        <v>4699</v>
      </c>
      <c r="AH742" s="19" t="s">
        <v>6454</v>
      </c>
      <c r="AI742" s="19" t="s">
        <v>111</v>
      </c>
      <c r="AJ742" s="19" t="s">
        <v>11441</v>
      </c>
      <c r="AK742" s="19"/>
      <c r="AL742" s="19"/>
      <c r="AM742" s="19" t="s">
        <v>11442</v>
      </c>
      <c r="AN742" s="19" t="s">
        <v>11443</v>
      </c>
      <c r="AO742" s="19" t="s">
        <v>1077</v>
      </c>
      <c r="AP742" s="19" t="s">
        <v>1077</v>
      </c>
      <c r="AQ742" s="19" t="s">
        <v>117</v>
      </c>
      <c r="AR742" s="19"/>
      <c r="AS742" s="19" t="s">
        <v>1078</v>
      </c>
      <c r="AT742" s="19"/>
      <c r="AU742" s="19"/>
      <c r="AV742" s="19"/>
      <c r="AW742" s="19" t="s">
        <v>1079</v>
      </c>
      <c r="AX742" s="19"/>
      <c r="AY742" s="19"/>
      <c r="AZ742" s="19"/>
      <c r="BA742" s="20">
        <v>38627</v>
      </c>
      <c r="BB742" s="19" t="s">
        <v>127</v>
      </c>
      <c r="BC742" s="19" t="s">
        <v>11444</v>
      </c>
      <c r="BD742" s="19" t="s">
        <v>1549</v>
      </c>
      <c r="BE742" s="19" t="s">
        <v>130</v>
      </c>
      <c r="BF742" s="19" t="s">
        <v>11445</v>
      </c>
      <c r="BG742" s="19" t="s">
        <v>11446</v>
      </c>
      <c r="BH742" s="19" t="s">
        <v>11447</v>
      </c>
      <c r="BI742" s="19" t="s">
        <v>11447</v>
      </c>
      <c r="BJ742" s="19" t="s">
        <v>194</v>
      </c>
      <c r="BK742" s="19" t="s">
        <v>221</v>
      </c>
      <c r="BL742" s="19" t="s">
        <v>222</v>
      </c>
      <c r="BM742" s="19" t="s">
        <v>169</v>
      </c>
      <c r="BN742" s="21">
        <v>0</v>
      </c>
      <c r="BO742" s="21">
        <v>0</v>
      </c>
      <c r="BQ742" s="2"/>
      <c r="BR742" s="2"/>
      <c r="BS742" s="2"/>
      <c r="BT742" s="2"/>
      <c r="BU742" s="22"/>
      <c r="BV742" s="2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</row>
    <row r="743" spans="1:95" x14ac:dyDescent="0.25">
      <c r="A743" s="18">
        <v>740</v>
      </c>
      <c r="B743" s="19" t="s">
        <v>11448</v>
      </c>
      <c r="C743" s="19" t="s">
        <v>11449</v>
      </c>
      <c r="D743" s="20">
        <v>46008</v>
      </c>
      <c r="E743" s="20">
        <v>32815</v>
      </c>
      <c r="F743" s="19" t="s">
        <v>11450</v>
      </c>
      <c r="G743" s="19" t="s">
        <v>139</v>
      </c>
      <c r="H743" s="19" t="s">
        <v>94</v>
      </c>
      <c r="I743" s="19"/>
      <c r="J743" s="19"/>
      <c r="K743" s="19"/>
      <c r="L743" s="19" t="s">
        <v>101</v>
      </c>
      <c r="M743" s="19" t="s">
        <v>290</v>
      </c>
      <c r="N743" s="19" t="s">
        <v>11451</v>
      </c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 t="s">
        <v>101</v>
      </c>
      <c r="Z743" s="19" t="s">
        <v>102</v>
      </c>
      <c r="AA743" s="19" t="s">
        <v>103</v>
      </c>
      <c r="AB743" s="19" t="s">
        <v>143</v>
      </c>
      <c r="AC743" s="19" t="s">
        <v>144</v>
      </c>
      <c r="AD743" s="19" t="s">
        <v>11452</v>
      </c>
      <c r="AE743" s="19" t="s">
        <v>11453</v>
      </c>
      <c r="AF743" s="19" t="s">
        <v>1014</v>
      </c>
      <c r="AG743" s="19" t="s">
        <v>1014</v>
      </c>
      <c r="AH743" s="19" t="s">
        <v>1015</v>
      </c>
      <c r="AI743" s="19"/>
      <c r="AJ743" s="19" t="s">
        <v>11454</v>
      </c>
      <c r="AK743" s="19"/>
      <c r="AL743" s="19" t="s">
        <v>11455</v>
      </c>
      <c r="AM743" s="19" t="s">
        <v>11456</v>
      </c>
      <c r="AN743" s="19" t="s">
        <v>11457</v>
      </c>
      <c r="AO743" s="19" t="s">
        <v>154</v>
      </c>
      <c r="AP743" s="19" t="s">
        <v>155</v>
      </c>
      <c r="AQ743" s="19" t="s">
        <v>117</v>
      </c>
      <c r="AR743" s="19" t="s">
        <v>156</v>
      </c>
      <c r="AS743" s="19" t="s">
        <v>157</v>
      </c>
      <c r="AT743" s="19" t="s">
        <v>158</v>
      </c>
      <c r="AU743" s="19"/>
      <c r="AV743" s="19" t="s">
        <v>122</v>
      </c>
      <c r="AW743" s="19"/>
      <c r="AX743" s="19" t="s">
        <v>124</v>
      </c>
      <c r="AY743" s="19" t="s">
        <v>159</v>
      </c>
      <c r="AZ743" s="19" t="s">
        <v>160</v>
      </c>
      <c r="BA743" s="20">
        <v>44676</v>
      </c>
      <c r="BB743" s="19" t="s">
        <v>331</v>
      </c>
      <c r="BC743" s="19" t="s">
        <v>11458</v>
      </c>
      <c r="BD743" s="19" t="s">
        <v>11459</v>
      </c>
      <c r="BE743" s="19" t="s">
        <v>130</v>
      </c>
      <c r="BF743" s="19" t="s">
        <v>11460</v>
      </c>
      <c r="BG743" s="19"/>
      <c r="BH743" s="19" t="s">
        <v>11461</v>
      </c>
      <c r="BI743" s="19" t="s">
        <v>11461</v>
      </c>
      <c r="BJ743" s="19" t="s">
        <v>166</v>
      </c>
      <c r="BK743" s="19" t="s">
        <v>167</v>
      </c>
      <c r="BL743" s="19" t="s">
        <v>168</v>
      </c>
      <c r="BM743" s="19" t="s">
        <v>169</v>
      </c>
      <c r="BN743" s="21">
        <v>27.077000000000002</v>
      </c>
      <c r="BO743" s="21">
        <v>1031.36293</v>
      </c>
      <c r="BQ743" s="2"/>
      <c r="BR743" s="2"/>
      <c r="BS743" s="2"/>
      <c r="BT743" s="2"/>
      <c r="BU743" s="22"/>
      <c r="BV743" s="2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</row>
    <row r="744" spans="1:95" x14ac:dyDescent="0.25">
      <c r="A744" s="18">
        <v>741</v>
      </c>
      <c r="B744" s="19" t="s">
        <v>11462</v>
      </c>
      <c r="C744" s="19" t="s">
        <v>11463</v>
      </c>
      <c r="D744" s="20">
        <v>46009</v>
      </c>
      <c r="E744" s="20">
        <v>36229</v>
      </c>
      <c r="F744" s="19" t="s">
        <v>11464</v>
      </c>
      <c r="G744" s="19" t="s">
        <v>139</v>
      </c>
      <c r="H744" s="19" t="s">
        <v>94</v>
      </c>
      <c r="I744" s="19"/>
      <c r="J744" s="19"/>
      <c r="K744" s="19"/>
      <c r="L744" s="19" t="s">
        <v>244</v>
      </c>
      <c r="M744" s="19" t="s">
        <v>245</v>
      </c>
      <c r="N744" s="19" t="s">
        <v>11465</v>
      </c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 t="s">
        <v>101</v>
      </c>
      <c r="Z744" s="19" t="s">
        <v>102</v>
      </c>
      <c r="AA744" s="19" t="s">
        <v>103</v>
      </c>
      <c r="AB744" s="19" t="s">
        <v>173</v>
      </c>
      <c r="AC744" s="19" t="s">
        <v>174</v>
      </c>
      <c r="AD744" s="19" t="s">
        <v>11466</v>
      </c>
      <c r="AE744" s="19" t="s">
        <v>11467</v>
      </c>
      <c r="AF744" s="19" t="s">
        <v>11468</v>
      </c>
      <c r="AG744" s="19" t="s">
        <v>5383</v>
      </c>
      <c r="AH744" s="19" t="s">
        <v>188</v>
      </c>
      <c r="AI744" s="19" t="s">
        <v>111</v>
      </c>
      <c r="AJ744" s="19" t="s">
        <v>11469</v>
      </c>
      <c r="AK744" s="19"/>
      <c r="AL744" s="19"/>
      <c r="AM744" s="19" t="s">
        <v>11470</v>
      </c>
      <c r="AN744" s="19" t="s">
        <v>11471</v>
      </c>
      <c r="AO744" s="19" t="s">
        <v>255</v>
      </c>
      <c r="AP744" s="19" t="s">
        <v>256</v>
      </c>
      <c r="AQ744" s="19" t="s">
        <v>117</v>
      </c>
      <c r="AR744" s="19" t="s">
        <v>257</v>
      </c>
      <c r="AS744" s="19" t="s">
        <v>258</v>
      </c>
      <c r="AT744" s="19" t="s">
        <v>259</v>
      </c>
      <c r="AU744" s="19" t="s">
        <v>260</v>
      </c>
      <c r="AV744" s="19" t="s">
        <v>260</v>
      </c>
      <c r="AW744" s="19" t="s">
        <v>261</v>
      </c>
      <c r="AX744" s="19" t="s">
        <v>262</v>
      </c>
      <c r="AY744" s="19" t="s">
        <v>263</v>
      </c>
      <c r="AZ744" s="19" t="s">
        <v>264</v>
      </c>
      <c r="BA744" s="20">
        <v>43627</v>
      </c>
      <c r="BB744" s="19" t="s">
        <v>444</v>
      </c>
      <c r="BC744" s="19" t="s">
        <v>11472</v>
      </c>
      <c r="BD744" s="19" t="s">
        <v>481</v>
      </c>
      <c r="BE744" s="19" t="s">
        <v>130</v>
      </c>
      <c r="BF744" s="19" t="s">
        <v>11473</v>
      </c>
      <c r="BG744" s="19"/>
      <c r="BH744" s="19" t="s">
        <v>11474</v>
      </c>
      <c r="BI744" s="19" t="s">
        <v>11474</v>
      </c>
      <c r="BJ744" s="19" t="s">
        <v>166</v>
      </c>
      <c r="BK744" s="19" t="s">
        <v>167</v>
      </c>
      <c r="BL744" s="19" t="s">
        <v>168</v>
      </c>
      <c r="BM744" s="19" t="s">
        <v>169</v>
      </c>
      <c r="BN744" s="21">
        <v>15.872</v>
      </c>
      <c r="BO744" s="21">
        <v>562.25290240000004</v>
      </c>
      <c r="BQ744" s="2"/>
      <c r="BR744" s="2"/>
      <c r="BS744" s="2"/>
      <c r="BT744" s="2"/>
      <c r="BU744" s="22"/>
      <c r="BV744" s="2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</row>
    <row r="745" spans="1:95" x14ac:dyDescent="0.25">
      <c r="A745" s="18">
        <v>742</v>
      </c>
      <c r="B745" s="19" t="s">
        <v>11475</v>
      </c>
      <c r="C745" s="19" t="s">
        <v>11476</v>
      </c>
      <c r="D745" s="20">
        <v>46009</v>
      </c>
      <c r="E745" s="20">
        <v>37745</v>
      </c>
      <c r="F745" s="19" t="s">
        <v>11477</v>
      </c>
      <c r="G745" s="19" t="s">
        <v>139</v>
      </c>
      <c r="H745" s="19" t="s">
        <v>94</v>
      </c>
      <c r="I745" s="19"/>
      <c r="J745" s="19"/>
      <c r="K745" s="19"/>
      <c r="L745" s="19" t="s">
        <v>244</v>
      </c>
      <c r="M745" s="19" t="s">
        <v>245</v>
      </c>
      <c r="N745" s="19" t="s">
        <v>11478</v>
      </c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 t="s">
        <v>101</v>
      </c>
      <c r="Z745" s="19" t="s">
        <v>102</v>
      </c>
      <c r="AA745" s="19" t="s">
        <v>103</v>
      </c>
      <c r="AB745" s="19" t="s">
        <v>143</v>
      </c>
      <c r="AC745" s="19" t="s">
        <v>144</v>
      </c>
      <c r="AD745" s="19" t="s">
        <v>11479</v>
      </c>
      <c r="AE745" s="19" t="s">
        <v>11480</v>
      </c>
      <c r="AF745" s="19"/>
      <c r="AG745" s="19" t="s">
        <v>514</v>
      </c>
      <c r="AH745" s="19" t="s">
        <v>515</v>
      </c>
      <c r="AI745" s="19" t="s">
        <v>111</v>
      </c>
      <c r="AJ745" s="19" t="s">
        <v>11481</v>
      </c>
      <c r="AK745" s="19"/>
      <c r="AL745" s="19" t="s">
        <v>11482</v>
      </c>
      <c r="AM745" s="19" t="s">
        <v>11483</v>
      </c>
      <c r="AN745" s="19" t="s">
        <v>11484</v>
      </c>
      <c r="AO745" s="19" t="s">
        <v>154</v>
      </c>
      <c r="AP745" s="19" t="s">
        <v>155</v>
      </c>
      <c r="AQ745" s="19" t="s">
        <v>117</v>
      </c>
      <c r="AR745" s="19" t="s">
        <v>156</v>
      </c>
      <c r="AS745" s="19" t="s">
        <v>157</v>
      </c>
      <c r="AT745" s="19" t="s">
        <v>158</v>
      </c>
      <c r="AU745" s="19"/>
      <c r="AV745" s="19" t="s">
        <v>122</v>
      </c>
      <c r="AW745" s="19"/>
      <c r="AX745" s="19" t="s">
        <v>124</v>
      </c>
      <c r="AY745" s="19" t="s">
        <v>159</v>
      </c>
      <c r="AZ745" s="19" t="s">
        <v>160</v>
      </c>
      <c r="BA745" s="20">
        <v>44676</v>
      </c>
      <c r="BB745" s="19" t="s">
        <v>1487</v>
      </c>
      <c r="BC745" s="19" t="s">
        <v>11485</v>
      </c>
      <c r="BD745" s="19" t="s">
        <v>11486</v>
      </c>
      <c r="BE745" s="19" t="s">
        <v>130</v>
      </c>
      <c r="BF745" s="19" t="s">
        <v>11487</v>
      </c>
      <c r="BG745" s="19"/>
      <c r="BH745" s="19" t="s">
        <v>11488</v>
      </c>
      <c r="BI745" s="19" t="s">
        <v>11488</v>
      </c>
      <c r="BJ745" s="19" t="s">
        <v>166</v>
      </c>
      <c r="BK745" s="19" t="s">
        <v>167</v>
      </c>
      <c r="BL745" s="19" t="s">
        <v>168</v>
      </c>
      <c r="BM745" s="19" t="s">
        <v>169</v>
      </c>
      <c r="BN745" s="21">
        <v>2.7149999999999999</v>
      </c>
      <c r="BO745" s="21">
        <v>103.41435</v>
      </c>
      <c r="BQ745" s="2"/>
      <c r="BR745" s="2"/>
      <c r="BS745" s="2"/>
      <c r="BT745" s="2"/>
      <c r="BU745" s="22"/>
      <c r="BV745" s="2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</row>
    <row r="746" spans="1:95" x14ac:dyDescent="0.25">
      <c r="A746" s="18">
        <v>743</v>
      </c>
      <c r="B746" s="19" t="s">
        <v>11489</v>
      </c>
      <c r="C746" s="19" t="s">
        <v>11490</v>
      </c>
      <c r="D746" s="20">
        <v>46007</v>
      </c>
      <c r="E746" s="20">
        <v>22756</v>
      </c>
      <c r="F746" s="19"/>
      <c r="G746" s="19"/>
      <c r="H746" s="19" t="s">
        <v>94</v>
      </c>
      <c r="I746" s="19"/>
      <c r="J746" s="19" t="s">
        <v>287</v>
      </c>
      <c r="K746" s="19" t="s">
        <v>288</v>
      </c>
      <c r="L746" s="19" t="s">
        <v>244</v>
      </c>
      <c r="M746" s="19" t="s">
        <v>245</v>
      </c>
      <c r="N746" s="19" t="s">
        <v>11491</v>
      </c>
      <c r="O746" s="19" t="s">
        <v>100</v>
      </c>
      <c r="P746" s="19"/>
      <c r="Q746" s="19"/>
      <c r="R746" s="19"/>
      <c r="S746" s="19"/>
      <c r="T746" s="19"/>
      <c r="U746" s="19"/>
      <c r="V746" s="19"/>
      <c r="W746" s="19"/>
      <c r="X746" s="19"/>
      <c r="Y746" s="19" t="s">
        <v>101</v>
      </c>
      <c r="Z746" s="19" t="s">
        <v>102</v>
      </c>
      <c r="AA746" s="19" t="s">
        <v>103</v>
      </c>
      <c r="AB746" s="19" t="s">
        <v>173</v>
      </c>
      <c r="AC746" s="19" t="s">
        <v>174</v>
      </c>
      <c r="AD746" s="19" t="s">
        <v>11492</v>
      </c>
      <c r="AE746" s="19" t="s">
        <v>11493</v>
      </c>
      <c r="AF746" s="19"/>
      <c r="AG746" s="19" t="s">
        <v>2772</v>
      </c>
      <c r="AH746" s="19" t="s">
        <v>149</v>
      </c>
      <c r="AI746" s="19" t="s">
        <v>111</v>
      </c>
      <c r="AJ746" s="19" t="s">
        <v>11494</v>
      </c>
      <c r="AK746" s="19"/>
      <c r="AL746" s="19"/>
      <c r="AM746" s="19" t="s">
        <v>11495</v>
      </c>
      <c r="AN746" s="19" t="s">
        <v>11496</v>
      </c>
      <c r="AO746" s="19" t="s">
        <v>1077</v>
      </c>
      <c r="AP746" s="19" t="s">
        <v>1077</v>
      </c>
      <c r="AQ746" s="19" t="s">
        <v>117</v>
      </c>
      <c r="AR746" s="19"/>
      <c r="AS746" s="19" t="s">
        <v>1078</v>
      </c>
      <c r="AT746" s="19"/>
      <c r="AU746" s="19"/>
      <c r="AV746" s="19"/>
      <c r="AW746" s="19" t="s">
        <v>1079</v>
      </c>
      <c r="AX746" s="19"/>
      <c r="AY746" s="19"/>
      <c r="AZ746" s="19"/>
      <c r="BA746" s="20">
        <v>38627</v>
      </c>
      <c r="BB746" s="19" t="s">
        <v>1342</v>
      </c>
      <c r="BC746" s="19" t="s">
        <v>11497</v>
      </c>
      <c r="BD746" s="19" t="s">
        <v>148</v>
      </c>
      <c r="BE746" s="19" t="s">
        <v>130</v>
      </c>
      <c r="BF746" s="19" t="s">
        <v>11498</v>
      </c>
      <c r="BG746" s="19"/>
      <c r="BH746" s="19" t="s">
        <v>11499</v>
      </c>
      <c r="BI746" s="19" t="s">
        <v>11499</v>
      </c>
      <c r="BJ746" s="19" t="s">
        <v>166</v>
      </c>
      <c r="BK746" s="19" t="s">
        <v>1166</v>
      </c>
      <c r="BL746" s="19" t="s">
        <v>440</v>
      </c>
      <c r="BM746" s="19" t="s">
        <v>592</v>
      </c>
      <c r="BN746" s="21">
        <v>158.84899999999999</v>
      </c>
      <c r="BO746" s="21">
        <v>5627.0987458</v>
      </c>
      <c r="BQ746" s="2"/>
      <c r="BR746" s="2"/>
      <c r="BS746" s="2"/>
      <c r="BT746" s="2"/>
      <c r="BU746" s="22"/>
      <c r="BV746" s="2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</row>
    <row r="747" spans="1:95" x14ac:dyDescent="0.25">
      <c r="A747" s="18">
        <v>744</v>
      </c>
      <c r="B747" s="19" t="s">
        <v>11500</v>
      </c>
      <c r="C747" s="19" t="s">
        <v>11501</v>
      </c>
      <c r="D747" s="20">
        <v>46020</v>
      </c>
      <c r="E747" s="20">
        <v>26205</v>
      </c>
      <c r="F747" s="19" t="s">
        <v>11502</v>
      </c>
      <c r="G747" s="19" t="s">
        <v>139</v>
      </c>
      <c r="H747" s="19" t="s">
        <v>94</v>
      </c>
      <c r="I747" s="19"/>
      <c r="J747" s="19"/>
      <c r="K747" s="19"/>
      <c r="L747" s="19" t="s">
        <v>244</v>
      </c>
      <c r="M747" s="19" t="s">
        <v>245</v>
      </c>
      <c r="N747" s="19" t="s">
        <v>11503</v>
      </c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 t="s">
        <v>101</v>
      </c>
      <c r="Z747" s="19" t="s">
        <v>102</v>
      </c>
      <c r="AA747" s="19" t="s">
        <v>103</v>
      </c>
      <c r="AB747" s="19" t="s">
        <v>143</v>
      </c>
      <c r="AC747" s="19" t="s">
        <v>144</v>
      </c>
      <c r="AD747" s="19" t="s">
        <v>11504</v>
      </c>
      <c r="AE747" s="19" t="s">
        <v>971</v>
      </c>
      <c r="AF747" s="19"/>
      <c r="AG747" s="19" t="s">
        <v>490</v>
      </c>
      <c r="AH747" s="19" t="s">
        <v>262</v>
      </c>
      <c r="AI747" s="19" t="s">
        <v>111</v>
      </c>
      <c r="AJ747" s="19" t="s">
        <v>11505</v>
      </c>
      <c r="AK747" s="19"/>
      <c r="AL747" s="19" t="s">
        <v>11506</v>
      </c>
      <c r="AM747" s="19" t="s">
        <v>11507</v>
      </c>
      <c r="AN747" s="19" t="s">
        <v>11508</v>
      </c>
      <c r="AO747" s="19" t="s">
        <v>154</v>
      </c>
      <c r="AP747" s="19" t="s">
        <v>155</v>
      </c>
      <c r="AQ747" s="19" t="s">
        <v>117</v>
      </c>
      <c r="AR747" s="19" t="s">
        <v>156</v>
      </c>
      <c r="AS747" s="19" t="s">
        <v>157</v>
      </c>
      <c r="AT747" s="19" t="s">
        <v>158</v>
      </c>
      <c r="AU747" s="19"/>
      <c r="AV747" s="19" t="s">
        <v>122</v>
      </c>
      <c r="AW747" s="19"/>
      <c r="AX747" s="19" t="s">
        <v>124</v>
      </c>
      <c r="AY747" s="19" t="s">
        <v>159</v>
      </c>
      <c r="AZ747" s="19" t="s">
        <v>160</v>
      </c>
      <c r="BA747" s="20">
        <v>44676</v>
      </c>
      <c r="BB747" s="19" t="s">
        <v>2575</v>
      </c>
      <c r="BC747" s="19" t="s">
        <v>11509</v>
      </c>
      <c r="BD747" s="19" t="s">
        <v>260</v>
      </c>
      <c r="BE747" s="19" t="s">
        <v>130</v>
      </c>
      <c r="BF747" s="19" t="s">
        <v>11510</v>
      </c>
      <c r="BG747" s="19"/>
      <c r="BH747" s="19" t="s">
        <v>11511</v>
      </c>
      <c r="BI747" s="19" t="s">
        <v>11511</v>
      </c>
      <c r="BJ747" s="19" t="s">
        <v>166</v>
      </c>
      <c r="BK747" s="19" t="s">
        <v>167</v>
      </c>
      <c r="BL747" s="19" t="s">
        <v>168</v>
      </c>
      <c r="BM747" s="19" t="s">
        <v>169</v>
      </c>
      <c r="BN747" s="21">
        <v>0</v>
      </c>
      <c r="BO747" s="21">
        <v>0</v>
      </c>
      <c r="BQ747" s="2"/>
      <c r="BR747" s="2"/>
      <c r="BS747" s="2"/>
      <c r="BT747" s="2"/>
      <c r="BU747" s="22"/>
      <c r="BV747" s="2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</row>
    <row r="748" spans="1:95" x14ac:dyDescent="0.25">
      <c r="A748" s="18">
        <v>745</v>
      </c>
      <c r="B748" s="19" t="s">
        <v>11512</v>
      </c>
      <c r="C748" s="19" t="s">
        <v>11513</v>
      </c>
      <c r="D748" s="20">
        <v>46017</v>
      </c>
      <c r="E748" s="20">
        <v>34626</v>
      </c>
      <c r="F748" s="19" t="s">
        <v>11514</v>
      </c>
      <c r="G748" s="19" t="s">
        <v>139</v>
      </c>
      <c r="H748" s="19" t="s">
        <v>94</v>
      </c>
      <c r="I748" s="19"/>
      <c r="J748" s="19"/>
      <c r="K748" s="19"/>
      <c r="L748" s="19" t="s">
        <v>244</v>
      </c>
      <c r="M748" s="19" t="s">
        <v>245</v>
      </c>
      <c r="N748" s="19" t="s">
        <v>11515</v>
      </c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 t="s">
        <v>101</v>
      </c>
      <c r="Z748" s="19" t="s">
        <v>102</v>
      </c>
      <c r="AA748" s="19" t="s">
        <v>103</v>
      </c>
      <c r="AB748" s="19" t="s">
        <v>143</v>
      </c>
      <c r="AC748" s="19" t="s">
        <v>144</v>
      </c>
      <c r="AD748" s="19" t="s">
        <v>11516</v>
      </c>
      <c r="AE748" s="19" t="s">
        <v>11517</v>
      </c>
      <c r="AF748" s="19" t="s">
        <v>11518</v>
      </c>
      <c r="AG748" s="19" t="s">
        <v>11519</v>
      </c>
      <c r="AH748" s="19" t="s">
        <v>11520</v>
      </c>
      <c r="AI748" s="19"/>
      <c r="AJ748" s="19" t="s">
        <v>11521</v>
      </c>
      <c r="AK748" s="19"/>
      <c r="AL748" s="19"/>
      <c r="AM748" s="19" t="s">
        <v>11522</v>
      </c>
      <c r="AN748" s="19" t="s">
        <v>11523</v>
      </c>
      <c r="AO748" s="19" t="s">
        <v>255</v>
      </c>
      <c r="AP748" s="19" t="s">
        <v>256</v>
      </c>
      <c r="AQ748" s="19" t="s">
        <v>117</v>
      </c>
      <c r="AR748" s="19" t="s">
        <v>257</v>
      </c>
      <c r="AS748" s="19" t="s">
        <v>258</v>
      </c>
      <c r="AT748" s="19" t="s">
        <v>259</v>
      </c>
      <c r="AU748" s="19" t="s">
        <v>260</v>
      </c>
      <c r="AV748" s="19" t="s">
        <v>260</v>
      </c>
      <c r="AW748" s="19" t="s">
        <v>261</v>
      </c>
      <c r="AX748" s="19" t="s">
        <v>262</v>
      </c>
      <c r="AY748" s="19" t="s">
        <v>263</v>
      </c>
      <c r="AZ748" s="19" t="s">
        <v>264</v>
      </c>
      <c r="BA748" s="20">
        <v>43627</v>
      </c>
      <c r="BB748" s="19" t="s">
        <v>444</v>
      </c>
      <c r="BC748" s="19" t="s">
        <v>11524</v>
      </c>
      <c r="BD748" s="19" t="s">
        <v>11519</v>
      </c>
      <c r="BE748" s="19" t="s">
        <v>130</v>
      </c>
      <c r="BF748" s="19" t="s">
        <v>11525</v>
      </c>
      <c r="BG748" s="19"/>
      <c r="BH748" s="19" t="s">
        <v>11526</v>
      </c>
      <c r="BI748" s="19" t="s">
        <v>11526</v>
      </c>
      <c r="BJ748" s="19" t="s">
        <v>166</v>
      </c>
      <c r="BK748" s="19" t="s">
        <v>167</v>
      </c>
      <c r="BL748" s="19" t="s">
        <v>168</v>
      </c>
      <c r="BM748" s="19" t="s">
        <v>169</v>
      </c>
      <c r="BN748" s="21">
        <v>26.728999999999999</v>
      </c>
      <c r="BO748" s="21">
        <v>1018.10761</v>
      </c>
      <c r="BQ748" s="2"/>
      <c r="BR748" s="2"/>
      <c r="BS748" s="2"/>
      <c r="BT748" s="2"/>
      <c r="BU748" s="22"/>
      <c r="BV748" s="2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</row>
    <row r="749" spans="1:95" x14ac:dyDescent="0.25">
      <c r="A749" s="18">
        <v>746</v>
      </c>
      <c r="B749" s="19" t="s">
        <v>11527</v>
      </c>
      <c r="C749" s="19" t="s">
        <v>11528</v>
      </c>
      <c r="D749" s="20">
        <v>46017</v>
      </c>
      <c r="E749" s="20">
        <v>36642</v>
      </c>
      <c r="F749" s="19" t="s">
        <v>11529</v>
      </c>
      <c r="G749" s="19" t="s">
        <v>139</v>
      </c>
      <c r="H749" s="19" t="s">
        <v>94</v>
      </c>
      <c r="I749" s="19"/>
      <c r="J749" s="19"/>
      <c r="K749" s="19"/>
      <c r="L749" s="19" t="s">
        <v>244</v>
      </c>
      <c r="M749" s="19" t="s">
        <v>245</v>
      </c>
      <c r="N749" s="19" t="s">
        <v>11530</v>
      </c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 t="s">
        <v>101</v>
      </c>
      <c r="Z749" s="19" t="s">
        <v>102</v>
      </c>
      <c r="AA749" s="19" t="s">
        <v>103</v>
      </c>
      <c r="AB749" s="19" t="s">
        <v>173</v>
      </c>
      <c r="AC749" s="19" t="s">
        <v>174</v>
      </c>
      <c r="AD749" s="19" t="s">
        <v>11531</v>
      </c>
      <c r="AE749" s="19" t="s">
        <v>11532</v>
      </c>
      <c r="AF749" s="19" t="s">
        <v>11533</v>
      </c>
      <c r="AG749" s="19" t="s">
        <v>2125</v>
      </c>
      <c r="AH749" s="19" t="s">
        <v>149</v>
      </c>
      <c r="AI749" s="19" t="s">
        <v>111</v>
      </c>
      <c r="AJ749" s="19" t="s">
        <v>2126</v>
      </c>
      <c r="AK749" s="19"/>
      <c r="AL749" s="19"/>
      <c r="AM749" s="19" t="s">
        <v>11534</v>
      </c>
      <c r="AN749" s="19" t="s">
        <v>11535</v>
      </c>
      <c r="AO749" s="19" t="s">
        <v>255</v>
      </c>
      <c r="AP749" s="19" t="s">
        <v>256</v>
      </c>
      <c r="AQ749" s="19" t="s">
        <v>117</v>
      </c>
      <c r="AR749" s="19" t="s">
        <v>257</v>
      </c>
      <c r="AS749" s="19" t="s">
        <v>258</v>
      </c>
      <c r="AT749" s="19" t="s">
        <v>259</v>
      </c>
      <c r="AU749" s="19" t="s">
        <v>260</v>
      </c>
      <c r="AV749" s="19" t="s">
        <v>260</v>
      </c>
      <c r="AW749" s="19" t="s">
        <v>261</v>
      </c>
      <c r="AX749" s="19" t="s">
        <v>262</v>
      </c>
      <c r="AY749" s="19" t="s">
        <v>263</v>
      </c>
      <c r="AZ749" s="19" t="s">
        <v>264</v>
      </c>
      <c r="BA749" s="20">
        <v>43627</v>
      </c>
      <c r="BB749" s="19" t="s">
        <v>349</v>
      </c>
      <c r="BC749" s="19" t="s">
        <v>11536</v>
      </c>
      <c r="BD749" s="19" t="s">
        <v>148</v>
      </c>
      <c r="BE749" s="19" t="s">
        <v>130</v>
      </c>
      <c r="BF749" s="19" t="s">
        <v>11537</v>
      </c>
      <c r="BG749" s="19"/>
      <c r="BH749" s="19" t="s">
        <v>11538</v>
      </c>
      <c r="BI749" s="19" t="s">
        <v>11538</v>
      </c>
      <c r="BJ749" s="19" t="s">
        <v>166</v>
      </c>
      <c r="BK749" s="19" t="s">
        <v>167</v>
      </c>
      <c r="BL749" s="19" t="s">
        <v>168</v>
      </c>
      <c r="BM749" s="19" t="s">
        <v>169</v>
      </c>
      <c r="BN749" s="21">
        <v>279.13900000000001</v>
      </c>
      <c r="BO749" s="21">
        <v>9888.2757638000003</v>
      </c>
      <c r="BQ749" s="2"/>
      <c r="BR749" s="2"/>
      <c r="BS749" s="2"/>
      <c r="BT749" s="2"/>
      <c r="BU749" s="22"/>
      <c r="BV749" s="2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</row>
    <row r="750" spans="1:95" x14ac:dyDescent="0.25">
      <c r="A750" s="18">
        <v>747</v>
      </c>
      <c r="B750" s="19" t="s">
        <v>11539</v>
      </c>
      <c r="C750" s="19" t="s">
        <v>11540</v>
      </c>
      <c r="D750" s="20">
        <v>46021</v>
      </c>
      <c r="E750" s="20">
        <v>27555</v>
      </c>
      <c r="F750" s="19" t="s">
        <v>11541</v>
      </c>
      <c r="G750" s="19" t="s">
        <v>139</v>
      </c>
      <c r="H750" s="19" t="s">
        <v>94</v>
      </c>
      <c r="I750" s="19"/>
      <c r="J750" s="19"/>
      <c r="K750" s="19"/>
      <c r="L750" s="19" t="s">
        <v>244</v>
      </c>
      <c r="M750" s="19" t="s">
        <v>245</v>
      </c>
      <c r="N750" s="19" t="s">
        <v>11542</v>
      </c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 t="s">
        <v>101</v>
      </c>
      <c r="Z750" s="19" t="s">
        <v>102</v>
      </c>
      <c r="AA750" s="19" t="s">
        <v>103</v>
      </c>
      <c r="AB750" s="19" t="s">
        <v>247</v>
      </c>
      <c r="AC750" s="19" t="s">
        <v>248</v>
      </c>
      <c r="AD750" s="19" t="s">
        <v>11543</v>
      </c>
      <c r="AE750" s="19" t="s">
        <v>11544</v>
      </c>
      <c r="AF750" s="19" t="s">
        <v>11545</v>
      </c>
      <c r="AG750" s="19" t="s">
        <v>3399</v>
      </c>
      <c r="AH750" s="19" t="s">
        <v>1015</v>
      </c>
      <c r="AI750" s="19"/>
      <c r="AJ750" s="19" t="s">
        <v>11546</v>
      </c>
      <c r="AK750" s="19"/>
      <c r="AL750" s="19"/>
      <c r="AM750" s="19" t="s">
        <v>11547</v>
      </c>
      <c r="AN750" s="19" t="s">
        <v>11548</v>
      </c>
      <c r="AO750" s="19" t="s">
        <v>255</v>
      </c>
      <c r="AP750" s="19" t="s">
        <v>256</v>
      </c>
      <c r="AQ750" s="19" t="s">
        <v>117</v>
      </c>
      <c r="AR750" s="19" t="s">
        <v>257</v>
      </c>
      <c r="AS750" s="19" t="s">
        <v>258</v>
      </c>
      <c r="AT750" s="19" t="s">
        <v>259</v>
      </c>
      <c r="AU750" s="19" t="s">
        <v>260</v>
      </c>
      <c r="AV750" s="19" t="s">
        <v>260</v>
      </c>
      <c r="AW750" s="19" t="s">
        <v>261</v>
      </c>
      <c r="AX750" s="19" t="s">
        <v>262</v>
      </c>
      <c r="AY750" s="19" t="s">
        <v>263</v>
      </c>
      <c r="AZ750" s="19" t="s">
        <v>264</v>
      </c>
      <c r="BA750" s="20">
        <v>43627</v>
      </c>
      <c r="BB750" s="19" t="s">
        <v>331</v>
      </c>
      <c r="BC750" s="19" t="s">
        <v>11549</v>
      </c>
      <c r="BD750" s="19" t="s">
        <v>11549</v>
      </c>
      <c r="BE750" s="19" t="s">
        <v>130</v>
      </c>
      <c r="BF750" s="19" t="s">
        <v>11550</v>
      </c>
      <c r="BG750" s="19"/>
      <c r="BH750" s="19" t="s">
        <v>11551</v>
      </c>
      <c r="BI750" s="19" t="s">
        <v>11551</v>
      </c>
      <c r="BJ750" s="19" t="s">
        <v>166</v>
      </c>
      <c r="BK750" s="19" t="s">
        <v>167</v>
      </c>
      <c r="BL750" s="19" t="s">
        <v>168</v>
      </c>
      <c r="BM750" s="19" t="s">
        <v>169</v>
      </c>
      <c r="BN750" s="21">
        <v>593.00400000000002</v>
      </c>
      <c r="BO750" s="21">
        <v>260039.6072496</v>
      </c>
      <c r="BQ750" s="2"/>
      <c r="BR750" s="2"/>
      <c r="BS750" s="2"/>
      <c r="BT750" s="2"/>
      <c r="BU750" s="22"/>
      <c r="BV750" s="2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</row>
  </sheetData>
  <mergeCells count="5">
    <mergeCell ref="BU2:BX2"/>
    <mergeCell ref="BY2:CB2"/>
    <mergeCell ref="CC2:CF2"/>
    <mergeCell ref="CG2:CJ2"/>
    <mergeCell ref="CK2:CN2"/>
  </mergeCells>
  <conditionalFormatting sqref="BQ4:CQ750">
    <cfRule type="containsText" dxfId="1" priority="2" operator="containsText" text="Check">
      <formula>NOT(ISERROR(SEARCH("Check",BQ4)))</formula>
    </cfRule>
  </conditionalFormatting>
  <conditionalFormatting sqref="CC1">
    <cfRule type="containsText" dxfId="0" priority="1" operator="containsText" text="Check">
      <formula>NOT(ISERROR(SEARCH("Check",CC1)))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9F62-C855-4E58-8655-962CE855A3BF}">
  <dimension ref="B2:I34"/>
  <sheetViews>
    <sheetView workbookViewId="0">
      <selection activeCell="K12" sqref="K12"/>
    </sheetView>
  </sheetViews>
  <sheetFormatPr defaultRowHeight="15" x14ac:dyDescent="0.25"/>
  <cols>
    <col min="2" max="2" width="32.7109375" bestFit="1" customWidth="1"/>
    <col min="3" max="3" width="9.85546875" bestFit="1" customWidth="1"/>
    <col min="4" max="4" width="16.28515625" bestFit="1" customWidth="1"/>
  </cols>
  <sheetData>
    <row r="2" spans="2:9" x14ac:dyDescent="0.25">
      <c r="B2" s="23" t="s">
        <v>32</v>
      </c>
      <c r="C2" s="24" t="s">
        <v>11552</v>
      </c>
      <c r="D2" s="24" t="s">
        <v>11553</v>
      </c>
    </row>
    <row r="3" spans="2:9" x14ac:dyDescent="0.25">
      <c r="B3" s="25" t="s">
        <v>102</v>
      </c>
      <c r="C3" s="18" t="s">
        <v>102</v>
      </c>
      <c r="D3" s="18" t="s">
        <v>11554</v>
      </c>
    </row>
    <row r="4" spans="2:9" x14ac:dyDescent="0.25">
      <c r="B4" s="25" t="s">
        <v>3161</v>
      </c>
      <c r="C4" s="18" t="s">
        <v>102</v>
      </c>
      <c r="D4" s="18" t="s">
        <v>11554</v>
      </c>
    </row>
    <row r="5" spans="2:9" x14ac:dyDescent="0.25">
      <c r="B5" s="25" t="s">
        <v>1280</v>
      </c>
      <c r="C5" s="18" t="s">
        <v>102</v>
      </c>
      <c r="D5" s="18" t="s">
        <v>11554</v>
      </c>
    </row>
    <row r="6" spans="2:9" x14ac:dyDescent="0.25">
      <c r="B6" s="25" t="s">
        <v>11555</v>
      </c>
      <c r="C6" s="18" t="s">
        <v>11555</v>
      </c>
      <c r="D6" s="18" t="s">
        <v>11556</v>
      </c>
    </row>
    <row r="7" spans="2:9" x14ac:dyDescent="0.25">
      <c r="B7" s="25" t="s">
        <v>2237</v>
      </c>
      <c r="C7" s="18" t="s">
        <v>2237</v>
      </c>
      <c r="D7" s="18" t="s">
        <v>11557</v>
      </c>
    </row>
    <row r="8" spans="2:9" x14ac:dyDescent="0.25">
      <c r="B8" s="25" t="s">
        <v>6061</v>
      </c>
      <c r="C8" s="18" t="s">
        <v>6061</v>
      </c>
      <c r="D8" s="18" t="s">
        <v>719</v>
      </c>
    </row>
    <row r="9" spans="2:9" x14ac:dyDescent="0.25">
      <c r="B9" s="25" t="s">
        <v>11558</v>
      </c>
      <c r="C9" s="18" t="s">
        <v>6061</v>
      </c>
      <c r="D9" s="18" t="s">
        <v>719</v>
      </c>
    </row>
    <row r="10" spans="2:9" x14ac:dyDescent="0.25">
      <c r="B10" s="25" t="s">
        <v>718</v>
      </c>
      <c r="C10" s="18" t="s">
        <v>6061</v>
      </c>
      <c r="D10" s="18" t="s">
        <v>719</v>
      </c>
    </row>
    <row r="11" spans="2:9" x14ac:dyDescent="0.25">
      <c r="B11" s="25" t="s">
        <v>1371</v>
      </c>
      <c r="C11" s="18" t="s">
        <v>102</v>
      </c>
      <c r="D11" s="18" t="s">
        <v>11554</v>
      </c>
    </row>
    <row r="12" spans="2:9" x14ac:dyDescent="0.25">
      <c r="B12" s="25" t="s">
        <v>11559</v>
      </c>
      <c r="C12" s="18" t="s">
        <v>102</v>
      </c>
      <c r="D12" s="18" t="s">
        <v>11554</v>
      </c>
      <c r="H12">
        <v>5</v>
      </c>
      <c r="I12" t="s">
        <v>11560</v>
      </c>
    </row>
    <row r="13" spans="2:9" x14ac:dyDescent="0.25">
      <c r="B13" s="25" t="s">
        <v>7446</v>
      </c>
      <c r="C13" s="18" t="s">
        <v>102</v>
      </c>
      <c r="D13" s="18" t="s">
        <v>11554</v>
      </c>
      <c r="H13">
        <v>4</v>
      </c>
      <c r="I13" t="s">
        <v>11561</v>
      </c>
    </row>
    <row r="14" spans="2:9" x14ac:dyDescent="0.25">
      <c r="B14" s="25" t="s">
        <v>11562</v>
      </c>
      <c r="C14" s="18"/>
      <c r="D14" s="18"/>
      <c r="H14">
        <v>1</v>
      </c>
      <c r="I14" t="s">
        <v>11560</v>
      </c>
    </row>
    <row r="15" spans="2:9" x14ac:dyDescent="0.25">
      <c r="B15" s="25" t="s">
        <v>11563</v>
      </c>
      <c r="C15" s="18" t="s">
        <v>102</v>
      </c>
      <c r="D15" s="18" t="s">
        <v>11554</v>
      </c>
    </row>
    <row r="16" spans="2:9" x14ac:dyDescent="0.25">
      <c r="B16" s="25" t="s">
        <v>11564</v>
      </c>
      <c r="C16" s="18" t="s">
        <v>6061</v>
      </c>
      <c r="D16" s="18" t="s">
        <v>719</v>
      </c>
    </row>
    <row r="17" spans="2:4" x14ac:dyDescent="0.25">
      <c r="B17" s="25" t="s">
        <v>11565</v>
      </c>
      <c r="C17" s="18" t="s">
        <v>11566</v>
      </c>
      <c r="D17" s="18" t="s">
        <v>11567</v>
      </c>
    </row>
    <row r="18" spans="2:4" x14ac:dyDescent="0.25">
      <c r="B18" s="25" t="s">
        <v>11568</v>
      </c>
      <c r="C18" s="18" t="s">
        <v>11566</v>
      </c>
      <c r="D18" s="18" t="s">
        <v>11567</v>
      </c>
    </row>
    <row r="19" spans="2:4" x14ac:dyDescent="0.25">
      <c r="B19" s="25" t="s">
        <v>11569</v>
      </c>
      <c r="C19" s="18" t="s">
        <v>11555</v>
      </c>
      <c r="D19" s="18" t="s">
        <v>11556</v>
      </c>
    </row>
    <row r="20" spans="2:4" x14ac:dyDescent="0.25">
      <c r="B20" s="25" t="s">
        <v>11570</v>
      </c>
      <c r="C20" s="18" t="s">
        <v>102</v>
      </c>
      <c r="D20" s="18" t="s">
        <v>11554</v>
      </c>
    </row>
    <row r="21" spans="2:4" x14ac:dyDescent="0.25">
      <c r="B21" s="25" t="s">
        <v>11571</v>
      </c>
      <c r="C21" s="18"/>
      <c r="D21" s="18"/>
    </row>
    <row r="22" spans="2:4" x14ac:dyDescent="0.25">
      <c r="B22" s="25" t="s">
        <v>11572</v>
      </c>
      <c r="C22" s="18" t="s">
        <v>102</v>
      </c>
      <c r="D22" s="18" t="s">
        <v>11554</v>
      </c>
    </row>
    <row r="23" spans="2:4" x14ac:dyDescent="0.25">
      <c r="B23" s="25" t="s">
        <v>11573</v>
      </c>
      <c r="C23" s="18" t="s">
        <v>6061</v>
      </c>
      <c r="D23" s="18" t="s">
        <v>719</v>
      </c>
    </row>
    <row r="24" spans="2:4" x14ac:dyDescent="0.25">
      <c r="B24" s="25" t="s">
        <v>11574</v>
      </c>
      <c r="C24" s="18" t="s">
        <v>102</v>
      </c>
      <c r="D24" s="18" t="s">
        <v>11554</v>
      </c>
    </row>
    <row r="25" spans="2:4" x14ac:dyDescent="0.25">
      <c r="B25" s="25" t="s">
        <v>11575</v>
      </c>
      <c r="C25" s="18" t="s">
        <v>102</v>
      </c>
      <c r="D25" s="18" t="s">
        <v>11554</v>
      </c>
    </row>
    <row r="26" spans="2:4" x14ac:dyDescent="0.25">
      <c r="B26" s="25" t="s">
        <v>11576</v>
      </c>
      <c r="C26" s="18" t="s">
        <v>6061</v>
      </c>
      <c r="D26" s="18" t="s">
        <v>719</v>
      </c>
    </row>
    <row r="27" spans="2:4" x14ac:dyDescent="0.25">
      <c r="B27" s="25" t="s">
        <v>11577</v>
      </c>
      <c r="C27" s="18" t="s">
        <v>102</v>
      </c>
      <c r="D27" s="18" t="s">
        <v>11554</v>
      </c>
    </row>
    <row r="28" spans="2:4" x14ac:dyDescent="0.25">
      <c r="B28" s="25" t="s">
        <v>11578</v>
      </c>
      <c r="C28" s="18" t="s">
        <v>11579</v>
      </c>
      <c r="D28" s="18" t="s">
        <v>11580</v>
      </c>
    </row>
    <row r="29" spans="2:4" x14ac:dyDescent="0.25">
      <c r="B29" s="25" t="s">
        <v>11581</v>
      </c>
      <c r="C29" s="18" t="s">
        <v>102</v>
      </c>
      <c r="D29" s="18" t="s">
        <v>11554</v>
      </c>
    </row>
    <row r="30" spans="2:4" x14ac:dyDescent="0.25">
      <c r="B30" s="25" t="s">
        <v>11582</v>
      </c>
      <c r="C30" s="18" t="s">
        <v>11555</v>
      </c>
      <c r="D30" s="18" t="s">
        <v>11556</v>
      </c>
    </row>
    <row r="31" spans="2:4" x14ac:dyDescent="0.25">
      <c r="B31" s="25" t="s">
        <v>8836</v>
      </c>
      <c r="C31" s="18" t="s">
        <v>102</v>
      </c>
      <c r="D31" s="18" t="s">
        <v>11554</v>
      </c>
    </row>
    <row r="32" spans="2:4" x14ac:dyDescent="0.25">
      <c r="B32" s="25" t="s">
        <v>11583</v>
      </c>
      <c r="C32" s="18"/>
      <c r="D32" s="18"/>
    </row>
    <row r="33" spans="2:4" x14ac:dyDescent="0.25">
      <c r="B33" s="25" t="s">
        <v>11584</v>
      </c>
      <c r="C33" s="18"/>
      <c r="D33" s="18"/>
    </row>
    <row r="34" spans="2:4" x14ac:dyDescent="0.25">
      <c r="B34" s="25" t="s">
        <v>11585</v>
      </c>
      <c r="C34" s="18" t="s">
        <v>6061</v>
      </c>
      <c r="D34" s="18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Investor Master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Karekar</dc:creator>
  <cp:lastModifiedBy>Vedanti Karekar</cp:lastModifiedBy>
  <dcterms:created xsi:type="dcterms:W3CDTF">2026-04-28T06:34:58Z</dcterms:created>
  <dcterms:modified xsi:type="dcterms:W3CDTF">2026-04-28T06:37:01Z</dcterms:modified>
</cp:coreProperties>
</file>